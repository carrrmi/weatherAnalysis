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9005"/>
  <workbookPr/>
  <mc:AlternateContent xmlns:mc="http://schemas.openxmlformats.org/markup-compatibility/2006">
    <mc:Choice Requires="x15">
      <x15ac:absPath xmlns:x15ac="http://schemas.microsoft.com/office/spreadsheetml/2010/11/ac" url="/Users/carrrmi/dataAnalysis/data/weather-check/"/>
    </mc:Choice>
  </mc:AlternateContent>
  <bookViews>
    <workbookView xWindow="380" yWindow="460" windowWidth="32720" windowHeight="18300" tabRatio="500"/>
  </bookViews>
  <sheets>
    <sheet name="weather-check_no_nulls" sheetId="1" r:id="rId1"/>
    <sheet name="Histograms-Data Sampling" sheetId="4" r:id="rId2"/>
    <sheet name="Brainstorming exercise-mapping" sheetId="9" r:id="rId3"/>
    <sheet name="mappings" sheetId="2" r:id="rId4"/>
    <sheet name="Q1 Check weather daily and Q2" sheetId="7" r:id="rId5"/>
    <sheet name="Q3-various ways to group" sheetId="3" r:id="rId6"/>
    <sheet name="Q4 Stratified Answers" sheetId="5" r:id="rId7"/>
  </sheets>
  <definedNames>
    <definedName name="_xlnm._FilterDatabase" localSheetId="3" hidden="1">mappings!$A$1:$W$101</definedName>
    <definedName name="_xlnm._FilterDatabase" localSheetId="0" hidden="1">'weather-check_no_nulls'!$A$1:$P$929</definedName>
    <definedName name="Slicer_Q5__Age">#N/A</definedName>
    <definedName name="Slicer_Q6__What_is_your_gender?">#N/A</definedName>
    <definedName name="Slicer_Q7__How_much_total_combined_money_did_all_members_of_your_HOUSEHOLD_earn_last_year?">#N/A</definedName>
    <definedName name="Slicer_US_Region">#N/A</definedName>
  </definedNames>
  <calcPr calcId="150001" concurrentCalc="0"/>
  <pivotCaches>
    <pivotCache cacheId="13" r:id="rId8"/>
    <pivotCache cacheId="43" r:id="rId9"/>
    <pivotCache cacheId="48" r:id="rId10"/>
  </pivotCaches>
  <extLst>
    <ext xmlns:x14="http://schemas.microsoft.com/office/spreadsheetml/2009/9/main" uri="{BBE1A952-AA13-448e-AADC-164F8A28A991}">
      <x14:slicerCaches>
        <x14:slicerCache r:id="rId11"/>
        <x14:slicerCache r:id="rId12"/>
        <x14:slicerCache r:id="rId13"/>
        <x14:slicerCache r:id="rId14"/>
      </x14:slicerCaches>
    </ex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U2" i="2" l="1"/>
  <c r="N929" i="1"/>
  <c r="N928" i="1"/>
  <c r="N927" i="1"/>
  <c r="N926" i="1"/>
  <c r="N925" i="1"/>
  <c r="N924" i="1"/>
  <c r="N923" i="1"/>
  <c r="N922" i="1"/>
  <c r="N921" i="1"/>
  <c r="N920" i="1"/>
  <c r="N919" i="1"/>
  <c r="N918" i="1"/>
  <c r="N917" i="1"/>
  <c r="N916" i="1"/>
  <c r="N915" i="1"/>
  <c r="N914" i="1"/>
  <c r="N913" i="1"/>
  <c r="N912" i="1"/>
  <c r="N911" i="1"/>
  <c r="N910" i="1"/>
  <c r="N909" i="1"/>
  <c r="N908" i="1"/>
  <c r="N907" i="1"/>
  <c r="N906" i="1"/>
  <c r="N905" i="1"/>
  <c r="N904" i="1"/>
  <c r="N903" i="1"/>
  <c r="N902" i="1"/>
  <c r="N901" i="1"/>
  <c r="N900" i="1"/>
  <c r="N899" i="1"/>
  <c r="N898" i="1"/>
  <c r="N897" i="1"/>
  <c r="N896" i="1"/>
  <c r="N895" i="1"/>
  <c r="N894" i="1"/>
  <c r="N893" i="1"/>
  <c r="N892" i="1"/>
  <c r="N891" i="1"/>
  <c r="N890" i="1"/>
  <c r="N889" i="1"/>
  <c r="N888" i="1"/>
  <c r="N887" i="1"/>
  <c r="N886" i="1"/>
  <c r="N885" i="1"/>
  <c r="N884" i="1"/>
  <c r="N883" i="1"/>
  <c r="N882" i="1"/>
  <c r="N881" i="1"/>
  <c r="N880" i="1"/>
  <c r="N879" i="1"/>
  <c r="N878" i="1"/>
  <c r="N877" i="1"/>
  <c r="N876" i="1"/>
  <c r="N875" i="1"/>
  <c r="N874" i="1"/>
  <c r="N873" i="1"/>
  <c r="N872" i="1"/>
  <c r="N871" i="1"/>
  <c r="N870" i="1"/>
  <c r="N869" i="1"/>
  <c r="N868" i="1"/>
  <c r="N867" i="1"/>
  <c r="N866" i="1"/>
  <c r="N865" i="1"/>
  <c r="N864" i="1"/>
  <c r="N863" i="1"/>
  <c r="N862" i="1"/>
  <c r="N861" i="1"/>
  <c r="N860" i="1"/>
  <c r="N859" i="1"/>
  <c r="N858" i="1"/>
  <c r="N857" i="1"/>
  <c r="N856" i="1"/>
  <c r="N855" i="1"/>
  <c r="N854" i="1"/>
  <c r="N853" i="1"/>
  <c r="N852" i="1"/>
  <c r="N851" i="1"/>
  <c r="N850" i="1"/>
  <c r="N849" i="1"/>
  <c r="N848" i="1"/>
  <c r="N847" i="1"/>
  <c r="N846" i="1"/>
  <c r="N845" i="1"/>
  <c r="N844" i="1"/>
  <c r="N843" i="1"/>
  <c r="N842" i="1"/>
  <c r="N841" i="1"/>
  <c r="N840" i="1"/>
  <c r="N839" i="1"/>
  <c r="N838" i="1"/>
  <c r="N837" i="1"/>
  <c r="N836" i="1"/>
  <c r="N835" i="1"/>
  <c r="N834" i="1"/>
  <c r="N833" i="1"/>
  <c r="N832" i="1"/>
  <c r="N831" i="1"/>
  <c r="N830" i="1"/>
  <c r="N829" i="1"/>
  <c r="N828" i="1"/>
  <c r="N827" i="1"/>
  <c r="N826" i="1"/>
  <c r="N825" i="1"/>
  <c r="N824" i="1"/>
  <c r="N823" i="1"/>
  <c r="N822" i="1"/>
  <c r="N821" i="1"/>
  <c r="N820" i="1"/>
  <c r="N819" i="1"/>
  <c r="N818" i="1"/>
  <c r="N817" i="1"/>
  <c r="N816" i="1"/>
  <c r="N815" i="1"/>
  <c r="N814" i="1"/>
  <c r="N813" i="1"/>
  <c r="N812" i="1"/>
  <c r="N811" i="1"/>
  <c r="N810" i="1"/>
  <c r="N809" i="1"/>
  <c r="N808" i="1"/>
  <c r="N807" i="1"/>
  <c r="N806" i="1"/>
  <c r="N805" i="1"/>
  <c r="N804" i="1"/>
  <c r="N803" i="1"/>
  <c r="N802" i="1"/>
  <c r="N801" i="1"/>
  <c r="N800" i="1"/>
  <c r="N799" i="1"/>
  <c r="N798" i="1"/>
  <c r="N797" i="1"/>
  <c r="N796" i="1"/>
  <c r="N795" i="1"/>
  <c r="N794" i="1"/>
  <c r="N793" i="1"/>
  <c r="N792" i="1"/>
  <c r="N791" i="1"/>
  <c r="N790" i="1"/>
  <c r="N789" i="1"/>
  <c r="N788" i="1"/>
  <c r="N787" i="1"/>
  <c r="N786" i="1"/>
  <c r="N785" i="1"/>
  <c r="N784" i="1"/>
  <c r="N783" i="1"/>
  <c r="N782" i="1"/>
  <c r="N781" i="1"/>
  <c r="N780" i="1"/>
  <c r="N779" i="1"/>
  <c r="N778" i="1"/>
  <c r="N777" i="1"/>
  <c r="N776" i="1"/>
  <c r="N775" i="1"/>
  <c r="N774" i="1"/>
  <c r="N773" i="1"/>
  <c r="N772" i="1"/>
  <c r="N771" i="1"/>
  <c r="N770" i="1"/>
  <c r="N769" i="1"/>
  <c r="N768" i="1"/>
  <c r="N767" i="1"/>
  <c r="N766" i="1"/>
  <c r="N765" i="1"/>
  <c r="N764" i="1"/>
  <c r="N763" i="1"/>
  <c r="N762" i="1"/>
  <c r="N761" i="1"/>
  <c r="N760" i="1"/>
  <c r="N759" i="1"/>
  <c r="N758" i="1"/>
  <c r="N757" i="1"/>
  <c r="N756" i="1"/>
  <c r="N755" i="1"/>
  <c r="N754" i="1"/>
  <c r="N753" i="1"/>
  <c r="N752" i="1"/>
  <c r="N751" i="1"/>
  <c r="N750" i="1"/>
  <c r="N749" i="1"/>
  <c r="N748" i="1"/>
  <c r="N747" i="1"/>
  <c r="N746" i="1"/>
  <c r="N745" i="1"/>
  <c r="N744" i="1"/>
  <c r="N743" i="1"/>
  <c r="N742" i="1"/>
  <c r="N741" i="1"/>
  <c r="N740" i="1"/>
  <c r="N739" i="1"/>
  <c r="N738" i="1"/>
  <c r="N737" i="1"/>
  <c r="N736" i="1"/>
  <c r="N735" i="1"/>
  <c r="N734" i="1"/>
  <c r="N733" i="1"/>
  <c r="N732" i="1"/>
  <c r="N731" i="1"/>
  <c r="N730" i="1"/>
  <c r="N729" i="1"/>
  <c r="N728" i="1"/>
  <c r="N727" i="1"/>
  <c r="N726" i="1"/>
  <c r="N725" i="1"/>
  <c r="N724" i="1"/>
  <c r="N723" i="1"/>
  <c r="N722" i="1"/>
  <c r="N721" i="1"/>
  <c r="N720" i="1"/>
  <c r="N719" i="1"/>
  <c r="N718" i="1"/>
  <c r="N717" i="1"/>
  <c r="N716" i="1"/>
  <c r="N715" i="1"/>
  <c r="N714" i="1"/>
  <c r="N713" i="1"/>
  <c r="N712" i="1"/>
  <c r="N711" i="1"/>
  <c r="N710" i="1"/>
  <c r="N709" i="1"/>
  <c r="N708" i="1"/>
  <c r="N707" i="1"/>
  <c r="N706" i="1"/>
  <c r="N705" i="1"/>
  <c r="N704" i="1"/>
  <c r="N703" i="1"/>
  <c r="N702" i="1"/>
  <c r="N701" i="1"/>
  <c r="N700" i="1"/>
  <c r="N699" i="1"/>
  <c r="N698" i="1"/>
  <c r="N697" i="1"/>
  <c r="N696" i="1"/>
  <c r="N695" i="1"/>
  <c r="N694" i="1"/>
  <c r="N693" i="1"/>
  <c r="N692" i="1"/>
  <c r="N691" i="1"/>
  <c r="N690" i="1"/>
  <c r="N689" i="1"/>
  <c r="N688" i="1"/>
  <c r="N687" i="1"/>
  <c r="N686" i="1"/>
  <c r="N685" i="1"/>
  <c r="N684" i="1"/>
  <c r="N683" i="1"/>
  <c r="N682" i="1"/>
  <c r="N681" i="1"/>
  <c r="N680" i="1"/>
  <c r="N679" i="1"/>
  <c r="N678" i="1"/>
  <c r="N677" i="1"/>
  <c r="N676" i="1"/>
  <c r="N675" i="1"/>
  <c r="N674" i="1"/>
  <c r="N673" i="1"/>
  <c r="N672" i="1"/>
  <c r="N671" i="1"/>
  <c r="N670" i="1"/>
  <c r="N669" i="1"/>
  <c r="N668" i="1"/>
  <c r="N667" i="1"/>
  <c r="N666" i="1"/>
  <c r="N665" i="1"/>
  <c r="N664" i="1"/>
  <c r="N663" i="1"/>
  <c r="N662" i="1"/>
  <c r="N661" i="1"/>
  <c r="N660" i="1"/>
  <c r="N659" i="1"/>
  <c r="N658" i="1"/>
  <c r="N657" i="1"/>
  <c r="N656" i="1"/>
  <c r="N655" i="1"/>
  <c r="N654" i="1"/>
  <c r="N653" i="1"/>
  <c r="N652" i="1"/>
  <c r="N651" i="1"/>
  <c r="N650" i="1"/>
  <c r="N649" i="1"/>
  <c r="N648" i="1"/>
  <c r="N647" i="1"/>
  <c r="N646" i="1"/>
  <c r="N645" i="1"/>
  <c r="N644" i="1"/>
  <c r="N643" i="1"/>
  <c r="N642" i="1"/>
  <c r="N641" i="1"/>
  <c r="N640" i="1"/>
  <c r="N639" i="1"/>
  <c r="N638" i="1"/>
  <c r="N637" i="1"/>
  <c r="N636" i="1"/>
  <c r="N635" i="1"/>
  <c r="N634" i="1"/>
  <c r="N633" i="1"/>
  <c r="N632" i="1"/>
  <c r="N631" i="1"/>
  <c r="N630" i="1"/>
  <c r="N629" i="1"/>
  <c r="N628" i="1"/>
  <c r="N627" i="1"/>
  <c r="N626" i="1"/>
  <c r="N625" i="1"/>
  <c r="N624" i="1"/>
  <c r="N623" i="1"/>
  <c r="N622" i="1"/>
  <c r="N621" i="1"/>
  <c r="N620" i="1"/>
  <c r="N619" i="1"/>
  <c r="N618" i="1"/>
  <c r="N617" i="1"/>
  <c r="N616" i="1"/>
  <c r="N615" i="1"/>
  <c r="N614" i="1"/>
  <c r="N613" i="1"/>
  <c r="N612" i="1"/>
  <c r="N611" i="1"/>
  <c r="N610" i="1"/>
  <c r="N609" i="1"/>
  <c r="N608" i="1"/>
  <c r="N607" i="1"/>
  <c r="N606" i="1"/>
  <c r="N605" i="1"/>
  <c r="N604" i="1"/>
  <c r="N603" i="1"/>
  <c r="N602" i="1"/>
  <c r="N601" i="1"/>
  <c r="N600" i="1"/>
  <c r="N599" i="1"/>
  <c r="N598" i="1"/>
  <c r="N597" i="1"/>
  <c r="N596" i="1"/>
  <c r="N595" i="1"/>
  <c r="N594" i="1"/>
  <c r="N593" i="1"/>
  <c r="N592" i="1"/>
  <c r="N591" i="1"/>
  <c r="N590" i="1"/>
  <c r="N589" i="1"/>
  <c r="N588" i="1"/>
  <c r="N587" i="1"/>
  <c r="N586" i="1"/>
  <c r="N585" i="1"/>
  <c r="N584" i="1"/>
  <c r="N583" i="1"/>
  <c r="N582" i="1"/>
  <c r="N581" i="1"/>
  <c r="N580" i="1"/>
  <c r="N579" i="1"/>
  <c r="N578" i="1"/>
  <c r="N577" i="1"/>
  <c r="N576" i="1"/>
  <c r="N575" i="1"/>
  <c r="N574" i="1"/>
  <c r="N573" i="1"/>
  <c r="N572" i="1"/>
  <c r="N571" i="1"/>
  <c r="N570" i="1"/>
  <c r="N569" i="1"/>
  <c r="N568" i="1"/>
  <c r="N567" i="1"/>
  <c r="N566" i="1"/>
  <c r="N565" i="1"/>
  <c r="N564" i="1"/>
  <c r="N563" i="1"/>
  <c r="N562" i="1"/>
  <c r="N561" i="1"/>
  <c r="N560" i="1"/>
  <c r="N559" i="1"/>
  <c r="N558" i="1"/>
  <c r="N557" i="1"/>
  <c r="N556" i="1"/>
  <c r="N555" i="1"/>
  <c r="N554" i="1"/>
  <c r="N553" i="1"/>
  <c r="N552" i="1"/>
  <c r="N551" i="1"/>
  <c r="N550" i="1"/>
  <c r="N549" i="1"/>
  <c r="N548" i="1"/>
  <c r="N547" i="1"/>
  <c r="N546" i="1"/>
  <c r="N545" i="1"/>
  <c r="N544" i="1"/>
  <c r="N543" i="1"/>
  <c r="N542" i="1"/>
  <c r="N541" i="1"/>
  <c r="N540" i="1"/>
  <c r="N539" i="1"/>
  <c r="N538" i="1"/>
  <c r="N537" i="1"/>
  <c r="N536" i="1"/>
  <c r="N535" i="1"/>
  <c r="N534" i="1"/>
  <c r="N533" i="1"/>
  <c r="N532" i="1"/>
  <c r="N531" i="1"/>
  <c r="N530" i="1"/>
  <c r="N529" i="1"/>
  <c r="N528" i="1"/>
  <c r="N527" i="1"/>
  <c r="N526" i="1"/>
  <c r="N525" i="1"/>
  <c r="N524" i="1"/>
  <c r="N523" i="1"/>
  <c r="N522" i="1"/>
  <c r="N521" i="1"/>
  <c r="N520" i="1"/>
  <c r="N519" i="1"/>
  <c r="N518" i="1"/>
  <c r="N517" i="1"/>
  <c r="N516" i="1"/>
  <c r="N515" i="1"/>
  <c r="N514" i="1"/>
  <c r="N513" i="1"/>
  <c r="N512" i="1"/>
  <c r="N511" i="1"/>
  <c r="N510" i="1"/>
  <c r="N509" i="1"/>
  <c r="N508" i="1"/>
  <c r="N507" i="1"/>
  <c r="N506" i="1"/>
  <c r="N505" i="1"/>
  <c r="N504" i="1"/>
  <c r="N503" i="1"/>
  <c r="N502" i="1"/>
  <c r="N501" i="1"/>
  <c r="N500" i="1"/>
  <c r="N499" i="1"/>
  <c r="N498" i="1"/>
  <c r="N497" i="1"/>
  <c r="N496" i="1"/>
  <c r="N495" i="1"/>
  <c r="N494" i="1"/>
  <c r="N493" i="1"/>
  <c r="N492" i="1"/>
  <c r="N491" i="1"/>
  <c r="N490" i="1"/>
  <c r="N489" i="1"/>
  <c r="N488" i="1"/>
  <c r="N487" i="1"/>
  <c r="N486" i="1"/>
  <c r="N485" i="1"/>
  <c r="N484" i="1"/>
  <c r="N483" i="1"/>
  <c r="N482" i="1"/>
  <c r="N481" i="1"/>
  <c r="N480" i="1"/>
  <c r="N479" i="1"/>
  <c r="N478" i="1"/>
  <c r="N477" i="1"/>
  <c r="N476" i="1"/>
  <c r="N475" i="1"/>
  <c r="N474" i="1"/>
  <c r="N473" i="1"/>
  <c r="N472" i="1"/>
  <c r="N471" i="1"/>
  <c r="N470" i="1"/>
  <c r="N469" i="1"/>
  <c r="N468" i="1"/>
  <c r="N467" i="1"/>
  <c r="N466" i="1"/>
  <c r="N465" i="1"/>
  <c r="N464" i="1"/>
  <c r="N463" i="1"/>
  <c r="N462" i="1"/>
  <c r="N461" i="1"/>
  <c r="N460" i="1"/>
  <c r="N459" i="1"/>
  <c r="N458" i="1"/>
  <c r="N457" i="1"/>
  <c r="N456" i="1"/>
  <c r="N455" i="1"/>
  <c r="N454" i="1"/>
  <c r="N453" i="1"/>
  <c r="N452" i="1"/>
  <c r="N451" i="1"/>
  <c r="N450" i="1"/>
  <c r="N449" i="1"/>
  <c r="N448" i="1"/>
  <c r="N447" i="1"/>
  <c r="N446" i="1"/>
  <c r="N445" i="1"/>
  <c r="N444" i="1"/>
  <c r="N443" i="1"/>
  <c r="N442" i="1"/>
  <c r="N441" i="1"/>
  <c r="N440" i="1"/>
  <c r="N439" i="1"/>
  <c r="N438" i="1"/>
  <c r="N437" i="1"/>
  <c r="N436" i="1"/>
  <c r="N435" i="1"/>
  <c r="N434" i="1"/>
  <c r="N433" i="1"/>
  <c r="N432" i="1"/>
  <c r="N431" i="1"/>
  <c r="N430" i="1"/>
  <c r="N429" i="1"/>
  <c r="N428" i="1"/>
  <c r="N427" i="1"/>
  <c r="N426" i="1"/>
  <c r="N425" i="1"/>
  <c r="N424" i="1"/>
  <c r="N423" i="1"/>
  <c r="N422" i="1"/>
  <c r="N421" i="1"/>
  <c r="N420" i="1"/>
  <c r="N419" i="1"/>
  <c r="N418" i="1"/>
  <c r="N417" i="1"/>
  <c r="N416" i="1"/>
  <c r="N415" i="1"/>
  <c r="N414" i="1"/>
  <c r="N413" i="1"/>
  <c r="N412" i="1"/>
  <c r="N411" i="1"/>
  <c r="N410" i="1"/>
  <c r="N409" i="1"/>
  <c r="N408" i="1"/>
  <c r="N407" i="1"/>
  <c r="N406" i="1"/>
  <c r="N405" i="1"/>
  <c r="N404" i="1"/>
  <c r="N403" i="1"/>
  <c r="N402" i="1"/>
  <c r="N401" i="1"/>
  <c r="N400" i="1"/>
  <c r="N399" i="1"/>
  <c r="N398" i="1"/>
  <c r="N397" i="1"/>
  <c r="N396" i="1"/>
  <c r="N395" i="1"/>
  <c r="N394" i="1"/>
  <c r="N393" i="1"/>
  <c r="N392" i="1"/>
  <c r="N391" i="1"/>
  <c r="N390" i="1"/>
  <c r="N389" i="1"/>
  <c r="N388" i="1"/>
  <c r="N387" i="1"/>
  <c r="N386" i="1"/>
  <c r="N385" i="1"/>
  <c r="N384" i="1"/>
  <c r="N383" i="1"/>
  <c r="N382" i="1"/>
  <c r="N381" i="1"/>
  <c r="N380" i="1"/>
  <c r="N379" i="1"/>
  <c r="N378" i="1"/>
  <c r="N377" i="1"/>
  <c r="N376" i="1"/>
  <c r="N375" i="1"/>
  <c r="N374" i="1"/>
  <c r="N373" i="1"/>
  <c r="N372" i="1"/>
  <c r="N371" i="1"/>
  <c r="N370" i="1"/>
  <c r="N369" i="1"/>
  <c r="N368" i="1"/>
  <c r="N367" i="1"/>
  <c r="N366" i="1"/>
  <c r="N365" i="1"/>
  <c r="N364" i="1"/>
  <c r="N363" i="1"/>
  <c r="N362" i="1"/>
  <c r="N361" i="1"/>
  <c r="N360" i="1"/>
  <c r="N359" i="1"/>
  <c r="N358" i="1"/>
  <c r="N357" i="1"/>
  <c r="N356" i="1"/>
  <c r="N355" i="1"/>
  <c r="N354" i="1"/>
  <c r="N353" i="1"/>
  <c r="N352" i="1"/>
  <c r="N351" i="1"/>
  <c r="N350" i="1"/>
  <c r="N349" i="1"/>
  <c r="N348" i="1"/>
  <c r="N347" i="1"/>
  <c r="N346" i="1"/>
  <c r="N345" i="1"/>
  <c r="N344" i="1"/>
  <c r="N343" i="1"/>
  <c r="N342" i="1"/>
  <c r="N341" i="1"/>
  <c r="N340" i="1"/>
  <c r="N339" i="1"/>
  <c r="N338" i="1"/>
  <c r="N337" i="1"/>
  <c r="N336" i="1"/>
  <c r="N335" i="1"/>
  <c r="N334" i="1"/>
  <c r="N333" i="1"/>
  <c r="N332" i="1"/>
  <c r="N331" i="1"/>
  <c r="N330" i="1"/>
  <c r="N329" i="1"/>
  <c r="N328" i="1"/>
  <c r="N327" i="1"/>
  <c r="N326" i="1"/>
  <c r="N325" i="1"/>
  <c r="N324" i="1"/>
  <c r="N323" i="1"/>
  <c r="N322" i="1"/>
  <c r="N321" i="1"/>
  <c r="N320" i="1"/>
  <c r="N319" i="1"/>
  <c r="N318" i="1"/>
  <c r="N317" i="1"/>
  <c r="N316" i="1"/>
  <c r="N315" i="1"/>
  <c r="N314" i="1"/>
  <c r="N313" i="1"/>
  <c r="N312" i="1"/>
  <c r="N311" i="1"/>
  <c r="N310" i="1"/>
  <c r="N309" i="1"/>
  <c r="N308" i="1"/>
  <c r="N307" i="1"/>
  <c r="N306" i="1"/>
  <c r="N305" i="1"/>
  <c r="N304" i="1"/>
  <c r="N303" i="1"/>
  <c r="N302" i="1"/>
  <c r="N301" i="1"/>
  <c r="N300" i="1"/>
  <c r="N299" i="1"/>
  <c r="N298" i="1"/>
  <c r="N297" i="1"/>
  <c r="N296" i="1"/>
  <c r="N295" i="1"/>
  <c r="N294" i="1"/>
  <c r="N293" i="1"/>
  <c r="N292" i="1"/>
  <c r="N291" i="1"/>
  <c r="N290" i="1"/>
  <c r="N289" i="1"/>
  <c r="N288" i="1"/>
  <c r="N287" i="1"/>
  <c r="N286" i="1"/>
  <c r="N285" i="1"/>
  <c r="N284" i="1"/>
  <c r="N283" i="1"/>
  <c r="N282" i="1"/>
  <c r="N281" i="1"/>
  <c r="N280" i="1"/>
  <c r="N279" i="1"/>
  <c r="N278" i="1"/>
  <c r="N277" i="1"/>
  <c r="N276" i="1"/>
  <c r="N275" i="1"/>
  <c r="N274" i="1"/>
  <c r="N273" i="1"/>
  <c r="N272" i="1"/>
  <c r="N271" i="1"/>
  <c r="N270" i="1"/>
  <c r="N269" i="1"/>
  <c r="N268" i="1"/>
  <c r="N267" i="1"/>
  <c r="N266" i="1"/>
  <c r="N265" i="1"/>
  <c r="N264" i="1"/>
  <c r="N263" i="1"/>
  <c r="N262" i="1"/>
  <c r="N261" i="1"/>
  <c r="N260" i="1"/>
  <c r="N259" i="1"/>
  <c r="N258" i="1"/>
  <c r="N257" i="1"/>
  <c r="N256" i="1"/>
  <c r="N255" i="1"/>
  <c r="N254" i="1"/>
  <c r="N253" i="1"/>
  <c r="N252" i="1"/>
  <c r="N251" i="1"/>
  <c r="N250" i="1"/>
  <c r="N249" i="1"/>
  <c r="N248" i="1"/>
  <c r="N247" i="1"/>
  <c r="N246" i="1"/>
  <c r="N245" i="1"/>
  <c r="N244" i="1"/>
  <c r="N243" i="1"/>
  <c r="N242" i="1"/>
  <c r="N241" i="1"/>
  <c r="N240" i="1"/>
  <c r="N239" i="1"/>
  <c r="N238" i="1"/>
  <c r="N237" i="1"/>
  <c r="N236" i="1"/>
  <c r="N235" i="1"/>
  <c r="N234" i="1"/>
  <c r="N233" i="1"/>
  <c r="N232" i="1"/>
  <c r="N231" i="1"/>
  <c r="N230" i="1"/>
  <c r="N229" i="1"/>
  <c r="N228" i="1"/>
  <c r="N227" i="1"/>
  <c r="N226" i="1"/>
  <c r="N225" i="1"/>
  <c r="N224" i="1"/>
  <c r="N223" i="1"/>
  <c r="N222" i="1"/>
  <c r="N221" i="1"/>
  <c r="N220" i="1"/>
  <c r="N219" i="1"/>
  <c r="N218" i="1"/>
  <c r="N217" i="1"/>
  <c r="N216" i="1"/>
  <c r="N215" i="1"/>
  <c r="N214" i="1"/>
  <c r="N213" i="1"/>
  <c r="N212" i="1"/>
  <c r="N211" i="1"/>
  <c r="N210" i="1"/>
  <c r="N209" i="1"/>
  <c r="N208" i="1"/>
  <c r="N207" i="1"/>
  <c r="N206" i="1"/>
  <c r="N205" i="1"/>
  <c r="N204" i="1"/>
  <c r="N203" i="1"/>
  <c r="N202" i="1"/>
  <c r="N201" i="1"/>
  <c r="N200" i="1"/>
  <c r="N199" i="1"/>
  <c r="N198" i="1"/>
  <c r="N197" i="1"/>
  <c r="N196" i="1"/>
  <c r="N195" i="1"/>
  <c r="N194" i="1"/>
  <c r="N193" i="1"/>
  <c r="N192" i="1"/>
  <c r="N191" i="1"/>
  <c r="N190" i="1"/>
  <c r="N189" i="1"/>
  <c r="N188" i="1"/>
  <c r="N187" i="1"/>
  <c r="N186" i="1"/>
  <c r="N185" i="1"/>
  <c r="N184" i="1"/>
  <c r="N183" i="1"/>
  <c r="N182" i="1"/>
  <c r="N181" i="1"/>
  <c r="N180" i="1"/>
  <c r="N179" i="1"/>
  <c r="N178" i="1"/>
  <c r="N177" i="1"/>
  <c r="N176" i="1"/>
  <c r="N175" i="1"/>
  <c r="N174" i="1"/>
  <c r="N173" i="1"/>
  <c r="N172" i="1"/>
  <c r="N171" i="1"/>
  <c r="N170" i="1"/>
  <c r="N169" i="1"/>
  <c r="N168" i="1"/>
  <c r="N167" i="1"/>
  <c r="N166" i="1"/>
  <c r="N165" i="1"/>
  <c r="N164" i="1"/>
  <c r="N163" i="1"/>
  <c r="N162" i="1"/>
  <c r="N161" i="1"/>
  <c r="N160" i="1"/>
  <c r="N159" i="1"/>
  <c r="N158" i="1"/>
  <c r="N157" i="1"/>
  <c r="N156" i="1"/>
  <c r="N155" i="1"/>
  <c r="N154" i="1"/>
  <c r="N153" i="1"/>
  <c r="N152" i="1"/>
  <c r="N151" i="1"/>
  <c r="N150" i="1"/>
  <c r="N149" i="1"/>
  <c r="N148" i="1"/>
  <c r="N147" i="1"/>
  <c r="N146" i="1"/>
  <c r="N145" i="1"/>
  <c r="N144" i="1"/>
  <c r="N143" i="1"/>
  <c r="N142" i="1"/>
  <c r="N141" i="1"/>
  <c r="N140" i="1"/>
  <c r="N139" i="1"/>
  <c r="N138" i="1"/>
  <c r="N137" i="1"/>
  <c r="N136" i="1"/>
  <c r="N135" i="1"/>
  <c r="N134" i="1"/>
  <c r="N133" i="1"/>
  <c r="N132" i="1"/>
  <c r="N131" i="1"/>
  <c r="N130" i="1"/>
  <c r="N129" i="1"/>
  <c r="N128" i="1"/>
  <c r="N127" i="1"/>
  <c r="N126" i="1"/>
  <c r="N125" i="1"/>
  <c r="N124" i="1"/>
  <c r="N123" i="1"/>
  <c r="N122" i="1"/>
  <c r="N121" i="1"/>
  <c r="N120" i="1"/>
  <c r="N119" i="1"/>
  <c r="N118" i="1"/>
  <c r="N117" i="1"/>
  <c r="N116" i="1"/>
  <c r="N115" i="1"/>
  <c r="N114" i="1"/>
  <c r="N113" i="1"/>
  <c r="N112" i="1"/>
  <c r="N111" i="1"/>
  <c r="N110" i="1"/>
  <c r="N109" i="1"/>
  <c r="N108" i="1"/>
  <c r="N107" i="1"/>
  <c r="N106" i="1"/>
  <c r="N105" i="1"/>
  <c r="N104" i="1"/>
  <c r="N103" i="1"/>
  <c r="N102" i="1"/>
  <c r="N101" i="1"/>
  <c r="N100" i="1"/>
  <c r="N99" i="1"/>
  <c r="N98" i="1"/>
  <c r="N97" i="1"/>
  <c r="N96" i="1"/>
  <c r="N95" i="1"/>
  <c r="N94" i="1"/>
  <c r="N93" i="1"/>
  <c r="N92" i="1"/>
  <c r="N91" i="1"/>
  <c r="N90" i="1"/>
  <c r="N89" i="1"/>
  <c r="N88" i="1"/>
  <c r="N87" i="1"/>
  <c r="N86" i="1"/>
  <c r="N85" i="1"/>
  <c r="N84" i="1"/>
  <c r="N83" i="1"/>
  <c r="N82" i="1"/>
  <c r="N81" i="1"/>
  <c r="N80" i="1"/>
  <c r="N79" i="1"/>
  <c r="N78" i="1"/>
  <c r="N77" i="1"/>
  <c r="N76" i="1"/>
  <c r="N75" i="1"/>
  <c r="N74" i="1"/>
  <c r="N73" i="1"/>
  <c r="N72" i="1"/>
  <c r="N71" i="1"/>
  <c r="N70" i="1"/>
  <c r="N69" i="1"/>
  <c r="N68" i="1"/>
  <c r="N67" i="1"/>
  <c r="N66" i="1"/>
  <c r="N65" i="1"/>
  <c r="N64" i="1"/>
  <c r="N63" i="1"/>
  <c r="N62" i="1"/>
  <c r="N61" i="1"/>
  <c r="N60" i="1"/>
  <c r="N59" i="1"/>
  <c r="N58" i="1"/>
  <c r="N57" i="1"/>
  <c r="N56" i="1"/>
  <c r="N55" i="1"/>
  <c r="N54" i="1"/>
  <c r="N53" i="1"/>
  <c r="N52" i="1"/>
  <c r="N51" i="1"/>
  <c r="N50" i="1"/>
  <c r="N49" i="1"/>
  <c r="N48" i="1"/>
  <c r="N47" i="1"/>
  <c r="N46" i="1"/>
  <c r="N45" i="1"/>
  <c r="N44" i="1"/>
  <c r="N43" i="1"/>
  <c r="N42" i="1"/>
  <c r="N41" i="1"/>
  <c r="N40" i="1"/>
  <c r="N39" i="1"/>
  <c r="N38" i="1"/>
  <c r="N37" i="1"/>
  <c r="N36" i="1"/>
  <c r="N35" i="1"/>
  <c r="N34" i="1"/>
  <c r="N33" i="1"/>
  <c r="N32" i="1"/>
  <c r="N31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N9" i="1"/>
  <c r="N8" i="1"/>
  <c r="N6" i="1"/>
  <c r="N5" i="1"/>
  <c r="N4" i="1"/>
  <c r="N3" i="1"/>
  <c r="N2" i="1"/>
  <c r="B74" i="5"/>
  <c r="C74" i="5"/>
  <c r="D74" i="5"/>
  <c r="E74" i="5"/>
  <c r="F74" i="5"/>
  <c r="G74" i="5"/>
  <c r="H74" i="5"/>
  <c r="I74" i="5"/>
  <c r="J74" i="5"/>
  <c r="K74" i="5"/>
  <c r="M74" i="5"/>
  <c r="N74" i="5"/>
  <c r="O74" i="5"/>
  <c r="B69" i="5"/>
  <c r="B70" i="5"/>
  <c r="B71" i="5"/>
  <c r="B72" i="5"/>
  <c r="B73" i="5"/>
  <c r="B75" i="5"/>
  <c r="C69" i="5"/>
  <c r="C70" i="5"/>
  <c r="C71" i="5"/>
  <c r="C72" i="5"/>
  <c r="C73" i="5"/>
  <c r="C75" i="5"/>
  <c r="D69" i="5"/>
  <c r="D70" i="5"/>
  <c r="D71" i="5"/>
  <c r="D72" i="5"/>
  <c r="D73" i="5"/>
  <c r="D75" i="5"/>
  <c r="E69" i="5"/>
  <c r="E70" i="5"/>
  <c r="E71" i="5"/>
  <c r="E72" i="5"/>
  <c r="E73" i="5"/>
  <c r="E75" i="5"/>
  <c r="F69" i="5"/>
  <c r="F70" i="5"/>
  <c r="F71" i="5"/>
  <c r="F72" i="5"/>
  <c r="F73" i="5"/>
  <c r="F75" i="5"/>
  <c r="G69" i="5"/>
  <c r="G70" i="5"/>
  <c r="G71" i="5"/>
  <c r="G72" i="5"/>
  <c r="G73" i="5"/>
  <c r="G75" i="5"/>
  <c r="H69" i="5"/>
  <c r="H70" i="5"/>
  <c r="H71" i="5"/>
  <c r="H72" i="5"/>
  <c r="H73" i="5"/>
  <c r="H75" i="5"/>
  <c r="I69" i="5"/>
  <c r="I70" i="5"/>
  <c r="I71" i="5"/>
  <c r="I72" i="5"/>
  <c r="I73" i="5"/>
  <c r="I75" i="5"/>
  <c r="J69" i="5"/>
  <c r="J70" i="5"/>
  <c r="J71" i="5"/>
  <c r="J72" i="5"/>
  <c r="J73" i="5"/>
  <c r="J75" i="5"/>
  <c r="K69" i="5"/>
  <c r="K70" i="5"/>
  <c r="K71" i="5"/>
  <c r="K72" i="5"/>
  <c r="K73" i="5"/>
  <c r="K75" i="5"/>
  <c r="M69" i="5"/>
  <c r="M70" i="5"/>
  <c r="M71" i="5"/>
  <c r="M72" i="5"/>
  <c r="M73" i="5"/>
  <c r="M75" i="5"/>
  <c r="N69" i="5"/>
  <c r="N70" i="5"/>
  <c r="N71" i="5"/>
  <c r="N72" i="5"/>
  <c r="N73" i="5"/>
  <c r="N75" i="5"/>
  <c r="O75" i="5"/>
  <c r="O86" i="5"/>
  <c r="O87" i="5"/>
  <c r="N87" i="5"/>
  <c r="M87" i="5"/>
  <c r="N86" i="5"/>
  <c r="M86" i="5"/>
  <c r="O73" i="5"/>
  <c r="O85" i="5"/>
  <c r="O72" i="5"/>
  <c r="O84" i="5"/>
  <c r="N84" i="5"/>
  <c r="M84" i="5"/>
  <c r="O71" i="5"/>
  <c r="O83" i="5"/>
  <c r="N83" i="5"/>
  <c r="M83" i="5"/>
  <c r="O70" i="5"/>
  <c r="O82" i="5"/>
  <c r="N82" i="5"/>
  <c r="M82" i="5"/>
  <c r="O69" i="5"/>
  <c r="O81" i="5"/>
  <c r="N81" i="5"/>
  <c r="M81" i="5"/>
  <c r="L69" i="5"/>
  <c r="L70" i="5"/>
  <c r="L71" i="5"/>
  <c r="L72" i="5"/>
  <c r="L73" i="5"/>
  <c r="L85" i="5"/>
  <c r="L84" i="5"/>
  <c r="L83" i="5"/>
  <c r="L82" i="5"/>
  <c r="L81" i="5"/>
  <c r="C86" i="5"/>
  <c r="D86" i="5"/>
  <c r="E86" i="5"/>
  <c r="F86" i="5"/>
  <c r="G86" i="5"/>
  <c r="H86" i="5"/>
  <c r="I86" i="5"/>
  <c r="J86" i="5"/>
  <c r="K86" i="5"/>
  <c r="C87" i="5"/>
  <c r="D87" i="5"/>
  <c r="E87" i="5"/>
  <c r="F87" i="5"/>
  <c r="G87" i="5"/>
  <c r="H87" i="5"/>
  <c r="I87" i="5"/>
  <c r="J87" i="5"/>
  <c r="K87" i="5"/>
  <c r="B87" i="5"/>
  <c r="B86" i="5"/>
  <c r="K85" i="5"/>
  <c r="J85" i="5"/>
  <c r="I85" i="5"/>
  <c r="H85" i="5"/>
  <c r="G85" i="5"/>
  <c r="F85" i="5"/>
  <c r="E85" i="5"/>
  <c r="D85" i="5"/>
  <c r="C85" i="5"/>
  <c r="B85" i="5"/>
  <c r="C81" i="5"/>
  <c r="D81" i="5"/>
  <c r="E81" i="5"/>
  <c r="F81" i="5"/>
  <c r="G81" i="5"/>
  <c r="H81" i="5"/>
  <c r="I81" i="5"/>
  <c r="J81" i="5"/>
  <c r="K81" i="5"/>
  <c r="C82" i="5"/>
  <c r="D82" i="5"/>
  <c r="E82" i="5"/>
  <c r="F82" i="5"/>
  <c r="G82" i="5"/>
  <c r="H82" i="5"/>
  <c r="I82" i="5"/>
  <c r="J82" i="5"/>
  <c r="K82" i="5"/>
  <c r="C83" i="5"/>
  <c r="D83" i="5"/>
  <c r="E83" i="5"/>
  <c r="F83" i="5"/>
  <c r="G83" i="5"/>
  <c r="H83" i="5"/>
  <c r="I83" i="5"/>
  <c r="J83" i="5"/>
  <c r="K83" i="5"/>
  <c r="C84" i="5"/>
  <c r="D84" i="5"/>
  <c r="E84" i="5"/>
  <c r="F84" i="5"/>
  <c r="G84" i="5"/>
  <c r="H84" i="5"/>
  <c r="I84" i="5"/>
  <c r="J84" i="5"/>
  <c r="K84" i="5"/>
  <c r="B82" i="5"/>
  <c r="B83" i="5"/>
  <c r="B84" i="5"/>
  <c r="B81" i="5"/>
  <c r="B51" i="5"/>
  <c r="C51" i="5"/>
  <c r="E51" i="5"/>
  <c r="F51" i="5"/>
  <c r="B46" i="5"/>
  <c r="B47" i="5"/>
  <c r="B48" i="5"/>
  <c r="B49" i="5"/>
  <c r="B50" i="5"/>
  <c r="B52" i="5"/>
  <c r="C46" i="5"/>
  <c r="C47" i="5"/>
  <c r="C48" i="5"/>
  <c r="C49" i="5"/>
  <c r="C50" i="5"/>
  <c r="C52" i="5"/>
  <c r="E46" i="5"/>
  <c r="E47" i="5"/>
  <c r="E48" i="5"/>
  <c r="E49" i="5"/>
  <c r="E50" i="5"/>
  <c r="E52" i="5"/>
  <c r="F52" i="5"/>
  <c r="F62" i="5"/>
  <c r="F63" i="5"/>
  <c r="E63" i="5"/>
  <c r="C63" i="5"/>
  <c r="B63" i="5"/>
  <c r="E62" i="5"/>
  <c r="C62" i="5"/>
  <c r="B62" i="5"/>
  <c r="F50" i="5"/>
  <c r="F61" i="5"/>
  <c r="F49" i="5"/>
  <c r="F60" i="5"/>
  <c r="F48" i="5"/>
  <c r="F59" i="5"/>
  <c r="F47" i="5"/>
  <c r="F58" i="5"/>
  <c r="F46" i="5"/>
  <c r="F57" i="5"/>
  <c r="E61" i="5"/>
  <c r="D46" i="5"/>
  <c r="D47" i="5"/>
  <c r="D48" i="5"/>
  <c r="D49" i="5"/>
  <c r="D50" i="5"/>
  <c r="D61" i="5"/>
  <c r="E60" i="5"/>
  <c r="D60" i="5"/>
  <c r="E59" i="5"/>
  <c r="D59" i="5"/>
  <c r="E58" i="5"/>
  <c r="D58" i="5"/>
  <c r="E57" i="5"/>
  <c r="D57" i="5"/>
  <c r="C61" i="5"/>
  <c r="B61" i="5"/>
  <c r="C60" i="5"/>
  <c r="B60" i="5"/>
  <c r="C59" i="5"/>
  <c r="B59" i="5"/>
  <c r="C58" i="5"/>
  <c r="B58" i="5"/>
  <c r="C57" i="5"/>
  <c r="B57" i="5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15" i="3"/>
  <c r="O3" i="1"/>
  <c r="P3" i="1"/>
  <c r="O4" i="1"/>
  <c r="P4" i="1"/>
  <c r="O5" i="1"/>
  <c r="P5" i="1"/>
  <c r="O6" i="1"/>
  <c r="P6" i="1"/>
  <c r="O7" i="1"/>
  <c r="P7" i="1"/>
  <c r="O8" i="1"/>
  <c r="P8" i="1"/>
  <c r="O9" i="1"/>
  <c r="P9" i="1"/>
  <c r="O10" i="1"/>
  <c r="P10" i="1"/>
  <c r="O11" i="1"/>
  <c r="P11" i="1"/>
  <c r="O12" i="1"/>
  <c r="P12" i="1"/>
  <c r="O13" i="1"/>
  <c r="P13" i="1"/>
  <c r="O14" i="1"/>
  <c r="P14" i="1"/>
  <c r="O15" i="1"/>
  <c r="P15" i="1"/>
  <c r="O16" i="1"/>
  <c r="P16" i="1"/>
  <c r="O17" i="1"/>
  <c r="P17" i="1"/>
  <c r="O18" i="1"/>
  <c r="P18" i="1"/>
  <c r="O19" i="1"/>
  <c r="P19" i="1"/>
  <c r="O20" i="1"/>
  <c r="P20" i="1"/>
  <c r="O21" i="1"/>
  <c r="P21" i="1"/>
  <c r="O22" i="1"/>
  <c r="P22" i="1"/>
  <c r="O23" i="1"/>
  <c r="P23" i="1"/>
  <c r="O24" i="1"/>
  <c r="P24" i="1"/>
  <c r="O25" i="1"/>
  <c r="P25" i="1"/>
  <c r="O26" i="1"/>
  <c r="P26" i="1"/>
  <c r="O27" i="1"/>
  <c r="P27" i="1"/>
  <c r="O28" i="1"/>
  <c r="P28" i="1"/>
  <c r="O29" i="1"/>
  <c r="P29" i="1"/>
  <c r="O30" i="1"/>
  <c r="P30" i="1"/>
  <c r="O31" i="1"/>
  <c r="P31" i="1"/>
  <c r="O32" i="1"/>
  <c r="P32" i="1"/>
  <c r="O33" i="1"/>
  <c r="P33" i="1"/>
  <c r="O34" i="1"/>
  <c r="P34" i="1"/>
  <c r="O35" i="1"/>
  <c r="P35" i="1"/>
  <c r="O36" i="1"/>
  <c r="P36" i="1"/>
  <c r="O37" i="1"/>
  <c r="P37" i="1"/>
  <c r="O38" i="1"/>
  <c r="P38" i="1"/>
  <c r="O39" i="1"/>
  <c r="P39" i="1"/>
  <c r="O40" i="1"/>
  <c r="P40" i="1"/>
  <c r="O41" i="1"/>
  <c r="P41" i="1"/>
  <c r="O42" i="1"/>
  <c r="P42" i="1"/>
  <c r="O43" i="1"/>
  <c r="P43" i="1"/>
  <c r="O44" i="1"/>
  <c r="P44" i="1"/>
  <c r="O45" i="1"/>
  <c r="P45" i="1"/>
  <c r="O46" i="1"/>
  <c r="P46" i="1"/>
  <c r="O47" i="1"/>
  <c r="P47" i="1"/>
  <c r="O48" i="1"/>
  <c r="P48" i="1"/>
  <c r="O49" i="1"/>
  <c r="P49" i="1"/>
  <c r="O50" i="1"/>
  <c r="P50" i="1"/>
  <c r="O51" i="1"/>
  <c r="P51" i="1"/>
  <c r="O52" i="1"/>
  <c r="P52" i="1"/>
  <c r="O53" i="1"/>
  <c r="P53" i="1"/>
  <c r="O54" i="1"/>
  <c r="P54" i="1"/>
  <c r="O55" i="1"/>
  <c r="P55" i="1"/>
  <c r="O56" i="1"/>
  <c r="P56" i="1"/>
  <c r="O57" i="1"/>
  <c r="P57" i="1"/>
  <c r="O58" i="1"/>
  <c r="P58" i="1"/>
  <c r="O59" i="1"/>
  <c r="P59" i="1"/>
  <c r="O60" i="1"/>
  <c r="P60" i="1"/>
  <c r="O61" i="1"/>
  <c r="P61" i="1"/>
  <c r="O62" i="1"/>
  <c r="P62" i="1"/>
  <c r="O63" i="1"/>
  <c r="P63" i="1"/>
  <c r="O64" i="1"/>
  <c r="P64" i="1"/>
  <c r="O65" i="1"/>
  <c r="P65" i="1"/>
  <c r="O66" i="1"/>
  <c r="P66" i="1"/>
  <c r="O67" i="1"/>
  <c r="P67" i="1"/>
  <c r="O68" i="1"/>
  <c r="P68" i="1"/>
  <c r="O69" i="1"/>
  <c r="P69" i="1"/>
  <c r="O70" i="1"/>
  <c r="P70" i="1"/>
  <c r="O71" i="1"/>
  <c r="P71" i="1"/>
  <c r="O72" i="1"/>
  <c r="P72" i="1"/>
  <c r="O73" i="1"/>
  <c r="P73" i="1"/>
  <c r="O74" i="1"/>
  <c r="P74" i="1"/>
  <c r="O75" i="1"/>
  <c r="P75" i="1"/>
  <c r="O76" i="1"/>
  <c r="P76" i="1"/>
  <c r="O77" i="1"/>
  <c r="P77" i="1"/>
  <c r="O78" i="1"/>
  <c r="P78" i="1"/>
  <c r="O79" i="1"/>
  <c r="P79" i="1"/>
  <c r="O80" i="1"/>
  <c r="P80" i="1"/>
  <c r="O81" i="1"/>
  <c r="P81" i="1"/>
  <c r="O82" i="1"/>
  <c r="P82" i="1"/>
  <c r="O83" i="1"/>
  <c r="P83" i="1"/>
  <c r="O84" i="1"/>
  <c r="P84" i="1"/>
  <c r="O85" i="1"/>
  <c r="P85" i="1"/>
  <c r="O86" i="1"/>
  <c r="P86" i="1"/>
  <c r="O87" i="1"/>
  <c r="P87" i="1"/>
  <c r="O88" i="1"/>
  <c r="P88" i="1"/>
  <c r="O89" i="1"/>
  <c r="P89" i="1"/>
  <c r="O90" i="1"/>
  <c r="P90" i="1"/>
  <c r="O91" i="1"/>
  <c r="P91" i="1"/>
  <c r="O92" i="1"/>
  <c r="P92" i="1"/>
  <c r="O93" i="1"/>
  <c r="P93" i="1"/>
  <c r="O94" i="1"/>
  <c r="P94" i="1"/>
  <c r="O95" i="1"/>
  <c r="P95" i="1"/>
  <c r="O96" i="1"/>
  <c r="P96" i="1"/>
  <c r="O97" i="1"/>
  <c r="P97" i="1"/>
  <c r="O98" i="1"/>
  <c r="P98" i="1"/>
  <c r="O99" i="1"/>
  <c r="P99" i="1"/>
  <c r="O100" i="1"/>
  <c r="P100" i="1"/>
  <c r="O101" i="1"/>
  <c r="P101" i="1"/>
  <c r="O102" i="1"/>
  <c r="P102" i="1"/>
  <c r="O103" i="1"/>
  <c r="P103" i="1"/>
  <c r="O104" i="1"/>
  <c r="P104" i="1"/>
  <c r="O105" i="1"/>
  <c r="P105" i="1"/>
  <c r="O106" i="1"/>
  <c r="P106" i="1"/>
  <c r="O107" i="1"/>
  <c r="P107" i="1"/>
  <c r="O108" i="1"/>
  <c r="P108" i="1"/>
  <c r="O109" i="1"/>
  <c r="P109" i="1"/>
  <c r="O110" i="1"/>
  <c r="P110" i="1"/>
  <c r="O111" i="1"/>
  <c r="P111" i="1"/>
  <c r="O112" i="1"/>
  <c r="P112" i="1"/>
  <c r="O113" i="1"/>
  <c r="P113" i="1"/>
  <c r="O114" i="1"/>
  <c r="P114" i="1"/>
  <c r="O115" i="1"/>
  <c r="P115" i="1"/>
  <c r="O116" i="1"/>
  <c r="P116" i="1"/>
  <c r="O117" i="1"/>
  <c r="P117" i="1"/>
  <c r="O118" i="1"/>
  <c r="P118" i="1"/>
  <c r="O119" i="1"/>
  <c r="P119" i="1"/>
  <c r="O120" i="1"/>
  <c r="P120" i="1"/>
  <c r="O121" i="1"/>
  <c r="P121" i="1"/>
  <c r="O122" i="1"/>
  <c r="P122" i="1"/>
  <c r="O123" i="1"/>
  <c r="P123" i="1"/>
  <c r="O124" i="1"/>
  <c r="P124" i="1"/>
  <c r="O125" i="1"/>
  <c r="P125" i="1"/>
  <c r="O126" i="1"/>
  <c r="P126" i="1"/>
  <c r="O127" i="1"/>
  <c r="P127" i="1"/>
  <c r="O128" i="1"/>
  <c r="P128" i="1"/>
  <c r="O129" i="1"/>
  <c r="P129" i="1"/>
  <c r="O130" i="1"/>
  <c r="P130" i="1"/>
  <c r="O131" i="1"/>
  <c r="P131" i="1"/>
  <c r="O132" i="1"/>
  <c r="P132" i="1"/>
  <c r="O133" i="1"/>
  <c r="P133" i="1"/>
  <c r="O134" i="1"/>
  <c r="P134" i="1"/>
  <c r="O135" i="1"/>
  <c r="P135" i="1"/>
  <c r="O136" i="1"/>
  <c r="P136" i="1"/>
  <c r="O137" i="1"/>
  <c r="P137" i="1"/>
  <c r="O138" i="1"/>
  <c r="P138" i="1"/>
  <c r="O139" i="1"/>
  <c r="P139" i="1"/>
  <c r="O140" i="1"/>
  <c r="P140" i="1"/>
  <c r="O141" i="1"/>
  <c r="P141" i="1"/>
  <c r="O142" i="1"/>
  <c r="P142" i="1"/>
  <c r="O143" i="1"/>
  <c r="P143" i="1"/>
  <c r="O144" i="1"/>
  <c r="P144" i="1"/>
  <c r="O145" i="1"/>
  <c r="P145" i="1"/>
  <c r="O146" i="1"/>
  <c r="P146" i="1"/>
  <c r="O147" i="1"/>
  <c r="P147" i="1"/>
  <c r="O148" i="1"/>
  <c r="P148" i="1"/>
  <c r="O149" i="1"/>
  <c r="P149" i="1"/>
  <c r="O150" i="1"/>
  <c r="P150" i="1"/>
  <c r="O151" i="1"/>
  <c r="P151" i="1"/>
  <c r="O152" i="1"/>
  <c r="P152" i="1"/>
  <c r="O153" i="1"/>
  <c r="P153" i="1"/>
  <c r="O154" i="1"/>
  <c r="P154" i="1"/>
  <c r="O155" i="1"/>
  <c r="P155" i="1"/>
  <c r="O156" i="1"/>
  <c r="P156" i="1"/>
  <c r="O157" i="1"/>
  <c r="P157" i="1"/>
  <c r="O158" i="1"/>
  <c r="P158" i="1"/>
  <c r="O159" i="1"/>
  <c r="P159" i="1"/>
  <c r="O160" i="1"/>
  <c r="P160" i="1"/>
  <c r="O161" i="1"/>
  <c r="P161" i="1"/>
  <c r="O162" i="1"/>
  <c r="P162" i="1"/>
  <c r="O163" i="1"/>
  <c r="P163" i="1"/>
  <c r="O164" i="1"/>
  <c r="P164" i="1"/>
  <c r="O165" i="1"/>
  <c r="P165" i="1"/>
  <c r="O166" i="1"/>
  <c r="P166" i="1"/>
  <c r="O167" i="1"/>
  <c r="P167" i="1"/>
  <c r="O168" i="1"/>
  <c r="P168" i="1"/>
  <c r="O169" i="1"/>
  <c r="P169" i="1"/>
  <c r="O170" i="1"/>
  <c r="P170" i="1"/>
  <c r="O171" i="1"/>
  <c r="P171" i="1"/>
  <c r="O172" i="1"/>
  <c r="P172" i="1"/>
  <c r="O173" i="1"/>
  <c r="P173" i="1"/>
  <c r="O174" i="1"/>
  <c r="P174" i="1"/>
  <c r="O175" i="1"/>
  <c r="P175" i="1"/>
  <c r="O176" i="1"/>
  <c r="P176" i="1"/>
  <c r="O177" i="1"/>
  <c r="P177" i="1"/>
  <c r="O178" i="1"/>
  <c r="P178" i="1"/>
  <c r="O179" i="1"/>
  <c r="P179" i="1"/>
  <c r="O180" i="1"/>
  <c r="P180" i="1"/>
  <c r="O181" i="1"/>
  <c r="P181" i="1"/>
  <c r="O182" i="1"/>
  <c r="P182" i="1"/>
  <c r="O183" i="1"/>
  <c r="P183" i="1"/>
  <c r="O184" i="1"/>
  <c r="P184" i="1"/>
  <c r="O185" i="1"/>
  <c r="P185" i="1"/>
  <c r="O186" i="1"/>
  <c r="P186" i="1"/>
  <c r="O187" i="1"/>
  <c r="P187" i="1"/>
  <c r="O188" i="1"/>
  <c r="P188" i="1"/>
  <c r="O189" i="1"/>
  <c r="P189" i="1"/>
  <c r="O190" i="1"/>
  <c r="P190" i="1"/>
  <c r="O191" i="1"/>
  <c r="P191" i="1"/>
  <c r="O192" i="1"/>
  <c r="P192" i="1"/>
  <c r="O193" i="1"/>
  <c r="P193" i="1"/>
  <c r="O194" i="1"/>
  <c r="P194" i="1"/>
  <c r="O195" i="1"/>
  <c r="P195" i="1"/>
  <c r="O196" i="1"/>
  <c r="P196" i="1"/>
  <c r="O197" i="1"/>
  <c r="P197" i="1"/>
  <c r="O198" i="1"/>
  <c r="P198" i="1"/>
  <c r="O199" i="1"/>
  <c r="P199" i="1"/>
  <c r="O200" i="1"/>
  <c r="P200" i="1"/>
  <c r="O201" i="1"/>
  <c r="P201" i="1"/>
  <c r="O202" i="1"/>
  <c r="P202" i="1"/>
  <c r="O203" i="1"/>
  <c r="P203" i="1"/>
  <c r="O204" i="1"/>
  <c r="P204" i="1"/>
  <c r="O205" i="1"/>
  <c r="P205" i="1"/>
  <c r="O206" i="1"/>
  <c r="P206" i="1"/>
  <c r="O207" i="1"/>
  <c r="P207" i="1"/>
  <c r="O208" i="1"/>
  <c r="P208" i="1"/>
  <c r="O209" i="1"/>
  <c r="P209" i="1"/>
  <c r="O210" i="1"/>
  <c r="P210" i="1"/>
  <c r="O211" i="1"/>
  <c r="P211" i="1"/>
  <c r="O212" i="1"/>
  <c r="P212" i="1"/>
  <c r="O213" i="1"/>
  <c r="P213" i="1"/>
  <c r="O214" i="1"/>
  <c r="P214" i="1"/>
  <c r="O215" i="1"/>
  <c r="P215" i="1"/>
  <c r="O216" i="1"/>
  <c r="P216" i="1"/>
  <c r="O217" i="1"/>
  <c r="P217" i="1"/>
  <c r="O218" i="1"/>
  <c r="P218" i="1"/>
  <c r="O219" i="1"/>
  <c r="P219" i="1"/>
  <c r="O220" i="1"/>
  <c r="P220" i="1"/>
  <c r="O221" i="1"/>
  <c r="P221" i="1"/>
  <c r="O222" i="1"/>
  <c r="P222" i="1"/>
  <c r="O223" i="1"/>
  <c r="P223" i="1"/>
  <c r="O224" i="1"/>
  <c r="P224" i="1"/>
  <c r="O225" i="1"/>
  <c r="P225" i="1"/>
  <c r="O226" i="1"/>
  <c r="P226" i="1"/>
  <c r="O227" i="1"/>
  <c r="P227" i="1"/>
  <c r="O228" i="1"/>
  <c r="P228" i="1"/>
  <c r="O229" i="1"/>
  <c r="P229" i="1"/>
  <c r="O230" i="1"/>
  <c r="P230" i="1"/>
  <c r="O231" i="1"/>
  <c r="P231" i="1"/>
  <c r="O232" i="1"/>
  <c r="P232" i="1"/>
  <c r="O233" i="1"/>
  <c r="P233" i="1"/>
  <c r="O234" i="1"/>
  <c r="P234" i="1"/>
  <c r="O235" i="1"/>
  <c r="P235" i="1"/>
  <c r="O236" i="1"/>
  <c r="P236" i="1"/>
  <c r="O237" i="1"/>
  <c r="P237" i="1"/>
  <c r="O238" i="1"/>
  <c r="P238" i="1"/>
  <c r="O239" i="1"/>
  <c r="P239" i="1"/>
  <c r="O240" i="1"/>
  <c r="P240" i="1"/>
  <c r="O241" i="1"/>
  <c r="P241" i="1"/>
  <c r="O242" i="1"/>
  <c r="P242" i="1"/>
  <c r="O243" i="1"/>
  <c r="P243" i="1"/>
  <c r="O244" i="1"/>
  <c r="P244" i="1"/>
  <c r="O245" i="1"/>
  <c r="P245" i="1"/>
  <c r="O246" i="1"/>
  <c r="P246" i="1"/>
  <c r="O247" i="1"/>
  <c r="P247" i="1"/>
  <c r="O248" i="1"/>
  <c r="P248" i="1"/>
  <c r="O249" i="1"/>
  <c r="P249" i="1"/>
  <c r="O250" i="1"/>
  <c r="P250" i="1"/>
  <c r="O251" i="1"/>
  <c r="P251" i="1"/>
  <c r="O252" i="1"/>
  <c r="P252" i="1"/>
  <c r="O253" i="1"/>
  <c r="P253" i="1"/>
  <c r="O254" i="1"/>
  <c r="P254" i="1"/>
  <c r="O255" i="1"/>
  <c r="P255" i="1"/>
  <c r="O256" i="1"/>
  <c r="P256" i="1"/>
  <c r="O257" i="1"/>
  <c r="P257" i="1"/>
  <c r="O258" i="1"/>
  <c r="P258" i="1"/>
  <c r="O259" i="1"/>
  <c r="P259" i="1"/>
  <c r="O260" i="1"/>
  <c r="P260" i="1"/>
  <c r="O261" i="1"/>
  <c r="P261" i="1"/>
  <c r="O262" i="1"/>
  <c r="P262" i="1"/>
  <c r="O263" i="1"/>
  <c r="P263" i="1"/>
  <c r="O264" i="1"/>
  <c r="P264" i="1"/>
  <c r="O265" i="1"/>
  <c r="P265" i="1"/>
  <c r="O266" i="1"/>
  <c r="P266" i="1"/>
  <c r="O267" i="1"/>
  <c r="P267" i="1"/>
  <c r="O268" i="1"/>
  <c r="P268" i="1"/>
  <c r="O269" i="1"/>
  <c r="P269" i="1"/>
  <c r="O270" i="1"/>
  <c r="P270" i="1"/>
  <c r="O271" i="1"/>
  <c r="P271" i="1"/>
  <c r="O272" i="1"/>
  <c r="P272" i="1"/>
  <c r="O273" i="1"/>
  <c r="P273" i="1"/>
  <c r="O274" i="1"/>
  <c r="P274" i="1"/>
  <c r="O275" i="1"/>
  <c r="P275" i="1"/>
  <c r="O276" i="1"/>
  <c r="P276" i="1"/>
  <c r="O277" i="1"/>
  <c r="P277" i="1"/>
  <c r="O278" i="1"/>
  <c r="P278" i="1"/>
  <c r="O279" i="1"/>
  <c r="P279" i="1"/>
  <c r="O280" i="1"/>
  <c r="P280" i="1"/>
  <c r="O281" i="1"/>
  <c r="P281" i="1"/>
  <c r="O282" i="1"/>
  <c r="P282" i="1"/>
  <c r="O283" i="1"/>
  <c r="P283" i="1"/>
  <c r="O284" i="1"/>
  <c r="P284" i="1"/>
  <c r="O285" i="1"/>
  <c r="P285" i="1"/>
  <c r="O286" i="1"/>
  <c r="P286" i="1"/>
  <c r="O287" i="1"/>
  <c r="P287" i="1"/>
  <c r="O288" i="1"/>
  <c r="P288" i="1"/>
  <c r="O289" i="1"/>
  <c r="P289" i="1"/>
  <c r="O290" i="1"/>
  <c r="P290" i="1"/>
  <c r="O291" i="1"/>
  <c r="P291" i="1"/>
  <c r="O292" i="1"/>
  <c r="P292" i="1"/>
  <c r="O293" i="1"/>
  <c r="P293" i="1"/>
  <c r="O294" i="1"/>
  <c r="P294" i="1"/>
  <c r="O295" i="1"/>
  <c r="P295" i="1"/>
  <c r="O296" i="1"/>
  <c r="P296" i="1"/>
  <c r="O297" i="1"/>
  <c r="P297" i="1"/>
  <c r="O298" i="1"/>
  <c r="P298" i="1"/>
  <c r="O299" i="1"/>
  <c r="P299" i="1"/>
  <c r="O300" i="1"/>
  <c r="P300" i="1"/>
  <c r="O301" i="1"/>
  <c r="P301" i="1"/>
  <c r="O302" i="1"/>
  <c r="P302" i="1"/>
  <c r="O303" i="1"/>
  <c r="P303" i="1"/>
  <c r="O304" i="1"/>
  <c r="P304" i="1"/>
  <c r="O305" i="1"/>
  <c r="P305" i="1"/>
  <c r="O306" i="1"/>
  <c r="P306" i="1"/>
  <c r="O307" i="1"/>
  <c r="P307" i="1"/>
  <c r="O308" i="1"/>
  <c r="P308" i="1"/>
  <c r="O309" i="1"/>
  <c r="P309" i="1"/>
  <c r="O310" i="1"/>
  <c r="P310" i="1"/>
  <c r="O311" i="1"/>
  <c r="P311" i="1"/>
  <c r="O312" i="1"/>
  <c r="P312" i="1"/>
  <c r="O313" i="1"/>
  <c r="P313" i="1"/>
  <c r="O314" i="1"/>
  <c r="P314" i="1"/>
  <c r="O315" i="1"/>
  <c r="P315" i="1"/>
  <c r="O316" i="1"/>
  <c r="P316" i="1"/>
  <c r="O317" i="1"/>
  <c r="P317" i="1"/>
  <c r="O318" i="1"/>
  <c r="P318" i="1"/>
  <c r="O319" i="1"/>
  <c r="P319" i="1"/>
  <c r="O320" i="1"/>
  <c r="P320" i="1"/>
  <c r="O321" i="1"/>
  <c r="P321" i="1"/>
  <c r="O322" i="1"/>
  <c r="P322" i="1"/>
  <c r="O323" i="1"/>
  <c r="P323" i="1"/>
  <c r="O324" i="1"/>
  <c r="P324" i="1"/>
  <c r="O325" i="1"/>
  <c r="P325" i="1"/>
  <c r="O326" i="1"/>
  <c r="P326" i="1"/>
  <c r="O327" i="1"/>
  <c r="P327" i="1"/>
  <c r="O328" i="1"/>
  <c r="P328" i="1"/>
  <c r="O329" i="1"/>
  <c r="P329" i="1"/>
  <c r="O330" i="1"/>
  <c r="P330" i="1"/>
  <c r="O331" i="1"/>
  <c r="P331" i="1"/>
  <c r="O332" i="1"/>
  <c r="P332" i="1"/>
  <c r="O333" i="1"/>
  <c r="P333" i="1"/>
  <c r="O334" i="1"/>
  <c r="P334" i="1"/>
  <c r="O335" i="1"/>
  <c r="P335" i="1"/>
  <c r="O336" i="1"/>
  <c r="P336" i="1"/>
  <c r="O337" i="1"/>
  <c r="P337" i="1"/>
  <c r="O338" i="1"/>
  <c r="P338" i="1"/>
  <c r="O339" i="1"/>
  <c r="P339" i="1"/>
  <c r="O340" i="1"/>
  <c r="P340" i="1"/>
  <c r="O341" i="1"/>
  <c r="P341" i="1"/>
  <c r="O342" i="1"/>
  <c r="P342" i="1"/>
  <c r="O343" i="1"/>
  <c r="P343" i="1"/>
  <c r="O344" i="1"/>
  <c r="P344" i="1"/>
  <c r="O345" i="1"/>
  <c r="P345" i="1"/>
  <c r="O346" i="1"/>
  <c r="P346" i="1"/>
  <c r="O347" i="1"/>
  <c r="P347" i="1"/>
  <c r="O348" i="1"/>
  <c r="P348" i="1"/>
  <c r="O349" i="1"/>
  <c r="P349" i="1"/>
  <c r="O350" i="1"/>
  <c r="P350" i="1"/>
  <c r="O351" i="1"/>
  <c r="P351" i="1"/>
  <c r="O352" i="1"/>
  <c r="P352" i="1"/>
  <c r="O353" i="1"/>
  <c r="P353" i="1"/>
  <c r="O354" i="1"/>
  <c r="P354" i="1"/>
  <c r="O355" i="1"/>
  <c r="P355" i="1"/>
  <c r="O356" i="1"/>
  <c r="P356" i="1"/>
  <c r="O357" i="1"/>
  <c r="P357" i="1"/>
  <c r="O358" i="1"/>
  <c r="P358" i="1"/>
  <c r="O359" i="1"/>
  <c r="P359" i="1"/>
  <c r="O360" i="1"/>
  <c r="P360" i="1"/>
  <c r="O361" i="1"/>
  <c r="P361" i="1"/>
  <c r="O362" i="1"/>
  <c r="P362" i="1"/>
  <c r="O363" i="1"/>
  <c r="P363" i="1"/>
  <c r="O364" i="1"/>
  <c r="P364" i="1"/>
  <c r="O365" i="1"/>
  <c r="P365" i="1"/>
  <c r="O366" i="1"/>
  <c r="P366" i="1"/>
  <c r="O367" i="1"/>
  <c r="P367" i="1"/>
  <c r="O368" i="1"/>
  <c r="P368" i="1"/>
  <c r="O369" i="1"/>
  <c r="P369" i="1"/>
  <c r="O370" i="1"/>
  <c r="P370" i="1"/>
  <c r="O371" i="1"/>
  <c r="P371" i="1"/>
  <c r="O372" i="1"/>
  <c r="P372" i="1"/>
  <c r="O373" i="1"/>
  <c r="P373" i="1"/>
  <c r="O374" i="1"/>
  <c r="P374" i="1"/>
  <c r="O375" i="1"/>
  <c r="P375" i="1"/>
  <c r="O376" i="1"/>
  <c r="P376" i="1"/>
  <c r="O377" i="1"/>
  <c r="P377" i="1"/>
  <c r="O378" i="1"/>
  <c r="P378" i="1"/>
  <c r="O379" i="1"/>
  <c r="P379" i="1"/>
  <c r="O380" i="1"/>
  <c r="P380" i="1"/>
  <c r="O381" i="1"/>
  <c r="P381" i="1"/>
  <c r="O382" i="1"/>
  <c r="P382" i="1"/>
  <c r="O383" i="1"/>
  <c r="P383" i="1"/>
  <c r="O384" i="1"/>
  <c r="P384" i="1"/>
  <c r="O385" i="1"/>
  <c r="P385" i="1"/>
  <c r="O386" i="1"/>
  <c r="P386" i="1"/>
  <c r="O387" i="1"/>
  <c r="P387" i="1"/>
  <c r="O388" i="1"/>
  <c r="P388" i="1"/>
  <c r="O389" i="1"/>
  <c r="P389" i="1"/>
  <c r="O390" i="1"/>
  <c r="P390" i="1"/>
  <c r="O391" i="1"/>
  <c r="P391" i="1"/>
  <c r="O392" i="1"/>
  <c r="P392" i="1"/>
  <c r="O393" i="1"/>
  <c r="P393" i="1"/>
  <c r="O394" i="1"/>
  <c r="P394" i="1"/>
  <c r="O395" i="1"/>
  <c r="P395" i="1"/>
  <c r="O396" i="1"/>
  <c r="P396" i="1"/>
  <c r="O397" i="1"/>
  <c r="P397" i="1"/>
  <c r="O398" i="1"/>
  <c r="P398" i="1"/>
  <c r="O399" i="1"/>
  <c r="P399" i="1"/>
  <c r="O400" i="1"/>
  <c r="P400" i="1"/>
  <c r="O401" i="1"/>
  <c r="P401" i="1"/>
  <c r="O402" i="1"/>
  <c r="P402" i="1"/>
  <c r="O403" i="1"/>
  <c r="P403" i="1"/>
  <c r="O404" i="1"/>
  <c r="P404" i="1"/>
  <c r="O405" i="1"/>
  <c r="P405" i="1"/>
  <c r="O406" i="1"/>
  <c r="P406" i="1"/>
  <c r="O407" i="1"/>
  <c r="P407" i="1"/>
  <c r="O408" i="1"/>
  <c r="P408" i="1"/>
  <c r="O409" i="1"/>
  <c r="P409" i="1"/>
  <c r="O410" i="1"/>
  <c r="P410" i="1"/>
  <c r="O411" i="1"/>
  <c r="P411" i="1"/>
  <c r="O412" i="1"/>
  <c r="P412" i="1"/>
  <c r="O413" i="1"/>
  <c r="P413" i="1"/>
  <c r="O414" i="1"/>
  <c r="P414" i="1"/>
  <c r="O415" i="1"/>
  <c r="P415" i="1"/>
  <c r="O416" i="1"/>
  <c r="P416" i="1"/>
  <c r="O417" i="1"/>
  <c r="P417" i="1"/>
  <c r="O418" i="1"/>
  <c r="P418" i="1"/>
  <c r="O419" i="1"/>
  <c r="P419" i="1"/>
  <c r="O420" i="1"/>
  <c r="P420" i="1"/>
  <c r="O421" i="1"/>
  <c r="P421" i="1"/>
  <c r="O422" i="1"/>
  <c r="P422" i="1"/>
  <c r="O423" i="1"/>
  <c r="P423" i="1"/>
  <c r="O424" i="1"/>
  <c r="P424" i="1"/>
  <c r="O425" i="1"/>
  <c r="P425" i="1"/>
  <c r="O426" i="1"/>
  <c r="P426" i="1"/>
  <c r="O427" i="1"/>
  <c r="P427" i="1"/>
  <c r="O428" i="1"/>
  <c r="P428" i="1"/>
  <c r="O429" i="1"/>
  <c r="P429" i="1"/>
  <c r="O430" i="1"/>
  <c r="P430" i="1"/>
  <c r="O431" i="1"/>
  <c r="P431" i="1"/>
  <c r="O432" i="1"/>
  <c r="P432" i="1"/>
  <c r="O433" i="1"/>
  <c r="P433" i="1"/>
  <c r="O434" i="1"/>
  <c r="P434" i="1"/>
  <c r="O435" i="1"/>
  <c r="P435" i="1"/>
  <c r="O436" i="1"/>
  <c r="P436" i="1"/>
  <c r="O437" i="1"/>
  <c r="P437" i="1"/>
  <c r="O438" i="1"/>
  <c r="P438" i="1"/>
  <c r="O439" i="1"/>
  <c r="P439" i="1"/>
  <c r="O440" i="1"/>
  <c r="P440" i="1"/>
  <c r="O441" i="1"/>
  <c r="P441" i="1"/>
  <c r="O442" i="1"/>
  <c r="P442" i="1"/>
  <c r="O443" i="1"/>
  <c r="P443" i="1"/>
  <c r="O444" i="1"/>
  <c r="P444" i="1"/>
  <c r="O445" i="1"/>
  <c r="P445" i="1"/>
  <c r="O446" i="1"/>
  <c r="P446" i="1"/>
  <c r="O447" i="1"/>
  <c r="P447" i="1"/>
  <c r="O448" i="1"/>
  <c r="P448" i="1"/>
  <c r="O449" i="1"/>
  <c r="P449" i="1"/>
  <c r="O450" i="1"/>
  <c r="P450" i="1"/>
  <c r="O451" i="1"/>
  <c r="P451" i="1"/>
  <c r="O452" i="1"/>
  <c r="P452" i="1"/>
  <c r="O453" i="1"/>
  <c r="P453" i="1"/>
  <c r="O454" i="1"/>
  <c r="P454" i="1"/>
  <c r="O455" i="1"/>
  <c r="P455" i="1"/>
  <c r="O456" i="1"/>
  <c r="P456" i="1"/>
  <c r="O457" i="1"/>
  <c r="P457" i="1"/>
  <c r="O458" i="1"/>
  <c r="P458" i="1"/>
  <c r="O459" i="1"/>
  <c r="P459" i="1"/>
  <c r="O460" i="1"/>
  <c r="P460" i="1"/>
  <c r="O461" i="1"/>
  <c r="P461" i="1"/>
  <c r="O462" i="1"/>
  <c r="P462" i="1"/>
  <c r="O463" i="1"/>
  <c r="P463" i="1"/>
  <c r="O464" i="1"/>
  <c r="P464" i="1"/>
  <c r="O465" i="1"/>
  <c r="P465" i="1"/>
  <c r="O466" i="1"/>
  <c r="P466" i="1"/>
  <c r="O467" i="1"/>
  <c r="P467" i="1"/>
  <c r="O468" i="1"/>
  <c r="P468" i="1"/>
  <c r="O469" i="1"/>
  <c r="P469" i="1"/>
  <c r="O470" i="1"/>
  <c r="P470" i="1"/>
  <c r="O471" i="1"/>
  <c r="P471" i="1"/>
  <c r="O472" i="1"/>
  <c r="P472" i="1"/>
  <c r="O473" i="1"/>
  <c r="P473" i="1"/>
  <c r="O474" i="1"/>
  <c r="P474" i="1"/>
  <c r="O475" i="1"/>
  <c r="P475" i="1"/>
  <c r="O476" i="1"/>
  <c r="P476" i="1"/>
  <c r="O477" i="1"/>
  <c r="P477" i="1"/>
  <c r="O478" i="1"/>
  <c r="P478" i="1"/>
  <c r="O479" i="1"/>
  <c r="P479" i="1"/>
  <c r="O480" i="1"/>
  <c r="P480" i="1"/>
  <c r="O481" i="1"/>
  <c r="P481" i="1"/>
  <c r="O482" i="1"/>
  <c r="P482" i="1"/>
  <c r="O483" i="1"/>
  <c r="P483" i="1"/>
  <c r="O484" i="1"/>
  <c r="P484" i="1"/>
  <c r="O485" i="1"/>
  <c r="P485" i="1"/>
  <c r="O486" i="1"/>
  <c r="P486" i="1"/>
  <c r="O487" i="1"/>
  <c r="P487" i="1"/>
  <c r="O488" i="1"/>
  <c r="P488" i="1"/>
  <c r="O489" i="1"/>
  <c r="P489" i="1"/>
  <c r="O490" i="1"/>
  <c r="P490" i="1"/>
  <c r="O491" i="1"/>
  <c r="P491" i="1"/>
  <c r="O492" i="1"/>
  <c r="P492" i="1"/>
  <c r="O493" i="1"/>
  <c r="P493" i="1"/>
  <c r="O494" i="1"/>
  <c r="P494" i="1"/>
  <c r="O495" i="1"/>
  <c r="P495" i="1"/>
  <c r="O496" i="1"/>
  <c r="P496" i="1"/>
  <c r="O497" i="1"/>
  <c r="P497" i="1"/>
  <c r="O498" i="1"/>
  <c r="P498" i="1"/>
  <c r="O499" i="1"/>
  <c r="P499" i="1"/>
  <c r="O500" i="1"/>
  <c r="P500" i="1"/>
  <c r="O501" i="1"/>
  <c r="P501" i="1"/>
  <c r="O502" i="1"/>
  <c r="P502" i="1"/>
  <c r="O503" i="1"/>
  <c r="P503" i="1"/>
  <c r="O504" i="1"/>
  <c r="P504" i="1"/>
  <c r="O505" i="1"/>
  <c r="P505" i="1"/>
  <c r="O506" i="1"/>
  <c r="P506" i="1"/>
  <c r="O507" i="1"/>
  <c r="P507" i="1"/>
  <c r="O508" i="1"/>
  <c r="P508" i="1"/>
  <c r="O509" i="1"/>
  <c r="P509" i="1"/>
  <c r="O510" i="1"/>
  <c r="P510" i="1"/>
  <c r="O511" i="1"/>
  <c r="P511" i="1"/>
  <c r="O512" i="1"/>
  <c r="P512" i="1"/>
  <c r="O513" i="1"/>
  <c r="P513" i="1"/>
  <c r="O514" i="1"/>
  <c r="P514" i="1"/>
  <c r="O515" i="1"/>
  <c r="P515" i="1"/>
  <c r="O516" i="1"/>
  <c r="P516" i="1"/>
  <c r="O517" i="1"/>
  <c r="P517" i="1"/>
  <c r="O518" i="1"/>
  <c r="P518" i="1"/>
  <c r="O519" i="1"/>
  <c r="P519" i="1"/>
  <c r="O520" i="1"/>
  <c r="P520" i="1"/>
  <c r="O521" i="1"/>
  <c r="P521" i="1"/>
  <c r="O522" i="1"/>
  <c r="P522" i="1"/>
  <c r="O523" i="1"/>
  <c r="P523" i="1"/>
  <c r="O524" i="1"/>
  <c r="P524" i="1"/>
  <c r="O525" i="1"/>
  <c r="P525" i="1"/>
  <c r="O526" i="1"/>
  <c r="P526" i="1"/>
  <c r="O527" i="1"/>
  <c r="P527" i="1"/>
  <c r="O528" i="1"/>
  <c r="P528" i="1"/>
  <c r="O529" i="1"/>
  <c r="P529" i="1"/>
  <c r="O530" i="1"/>
  <c r="P530" i="1"/>
  <c r="O531" i="1"/>
  <c r="P531" i="1"/>
  <c r="O532" i="1"/>
  <c r="P532" i="1"/>
  <c r="O533" i="1"/>
  <c r="P533" i="1"/>
  <c r="O534" i="1"/>
  <c r="P534" i="1"/>
  <c r="O535" i="1"/>
  <c r="P535" i="1"/>
  <c r="O536" i="1"/>
  <c r="P536" i="1"/>
  <c r="O537" i="1"/>
  <c r="P537" i="1"/>
  <c r="O538" i="1"/>
  <c r="P538" i="1"/>
  <c r="O539" i="1"/>
  <c r="P539" i="1"/>
  <c r="O540" i="1"/>
  <c r="P540" i="1"/>
  <c r="O541" i="1"/>
  <c r="P541" i="1"/>
  <c r="O542" i="1"/>
  <c r="P542" i="1"/>
  <c r="O543" i="1"/>
  <c r="P543" i="1"/>
  <c r="O544" i="1"/>
  <c r="P544" i="1"/>
  <c r="O545" i="1"/>
  <c r="P545" i="1"/>
  <c r="O546" i="1"/>
  <c r="P546" i="1"/>
  <c r="O547" i="1"/>
  <c r="P547" i="1"/>
  <c r="O548" i="1"/>
  <c r="P548" i="1"/>
  <c r="O549" i="1"/>
  <c r="P549" i="1"/>
  <c r="O550" i="1"/>
  <c r="P550" i="1"/>
  <c r="O551" i="1"/>
  <c r="P551" i="1"/>
  <c r="O552" i="1"/>
  <c r="P552" i="1"/>
  <c r="O553" i="1"/>
  <c r="P553" i="1"/>
  <c r="O554" i="1"/>
  <c r="P554" i="1"/>
  <c r="O555" i="1"/>
  <c r="P555" i="1"/>
  <c r="O556" i="1"/>
  <c r="P556" i="1"/>
  <c r="O557" i="1"/>
  <c r="P557" i="1"/>
  <c r="O558" i="1"/>
  <c r="P558" i="1"/>
  <c r="O559" i="1"/>
  <c r="P559" i="1"/>
  <c r="O560" i="1"/>
  <c r="P560" i="1"/>
  <c r="O561" i="1"/>
  <c r="P561" i="1"/>
  <c r="O562" i="1"/>
  <c r="P562" i="1"/>
  <c r="O563" i="1"/>
  <c r="P563" i="1"/>
  <c r="O564" i="1"/>
  <c r="P564" i="1"/>
  <c r="O565" i="1"/>
  <c r="P565" i="1"/>
  <c r="O566" i="1"/>
  <c r="P566" i="1"/>
  <c r="O567" i="1"/>
  <c r="P567" i="1"/>
  <c r="O568" i="1"/>
  <c r="P568" i="1"/>
  <c r="O569" i="1"/>
  <c r="P569" i="1"/>
  <c r="O570" i="1"/>
  <c r="P570" i="1"/>
  <c r="O571" i="1"/>
  <c r="P571" i="1"/>
  <c r="O572" i="1"/>
  <c r="P572" i="1"/>
  <c r="O573" i="1"/>
  <c r="P573" i="1"/>
  <c r="O574" i="1"/>
  <c r="P574" i="1"/>
  <c r="O575" i="1"/>
  <c r="P575" i="1"/>
  <c r="O576" i="1"/>
  <c r="P576" i="1"/>
  <c r="O577" i="1"/>
  <c r="P577" i="1"/>
  <c r="O578" i="1"/>
  <c r="P578" i="1"/>
  <c r="O579" i="1"/>
  <c r="P579" i="1"/>
  <c r="O580" i="1"/>
  <c r="P580" i="1"/>
  <c r="O581" i="1"/>
  <c r="P581" i="1"/>
  <c r="O582" i="1"/>
  <c r="P582" i="1"/>
  <c r="O583" i="1"/>
  <c r="P583" i="1"/>
  <c r="O584" i="1"/>
  <c r="P584" i="1"/>
  <c r="O585" i="1"/>
  <c r="P585" i="1"/>
  <c r="O586" i="1"/>
  <c r="P586" i="1"/>
  <c r="O587" i="1"/>
  <c r="P587" i="1"/>
  <c r="O588" i="1"/>
  <c r="P588" i="1"/>
  <c r="O589" i="1"/>
  <c r="P589" i="1"/>
  <c r="O590" i="1"/>
  <c r="P590" i="1"/>
  <c r="O591" i="1"/>
  <c r="P591" i="1"/>
  <c r="O592" i="1"/>
  <c r="P592" i="1"/>
  <c r="O593" i="1"/>
  <c r="P593" i="1"/>
  <c r="O594" i="1"/>
  <c r="P594" i="1"/>
  <c r="O595" i="1"/>
  <c r="P595" i="1"/>
  <c r="O596" i="1"/>
  <c r="P596" i="1"/>
  <c r="O597" i="1"/>
  <c r="P597" i="1"/>
  <c r="O598" i="1"/>
  <c r="P598" i="1"/>
  <c r="O599" i="1"/>
  <c r="P599" i="1"/>
  <c r="O600" i="1"/>
  <c r="P600" i="1"/>
  <c r="O601" i="1"/>
  <c r="P601" i="1"/>
  <c r="O602" i="1"/>
  <c r="P602" i="1"/>
  <c r="O603" i="1"/>
  <c r="P603" i="1"/>
  <c r="O604" i="1"/>
  <c r="P604" i="1"/>
  <c r="O605" i="1"/>
  <c r="P605" i="1"/>
  <c r="O606" i="1"/>
  <c r="P606" i="1"/>
  <c r="O607" i="1"/>
  <c r="P607" i="1"/>
  <c r="O608" i="1"/>
  <c r="P608" i="1"/>
  <c r="O609" i="1"/>
  <c r="P609" i="1"/>
  <c r="O610" i="1"/>
  <c r="P610" i="1"/>
  <c r="O611" i="1"/>
  <c r="P611" i="1"/>
  <c r="O612" i="1"/>
  <c r="P612" i="1"/>
  <c r="O613" i="1"/>
  <c r="P613" i="1"/>
  <c r="O614" i="1"/>
  <c r="P614" i="1"/>
  <c r="O615" i="1"/>
  <c r="P615" i="1"/>
  <c r="O616" i="1"/>
  <c r="P616" i="1"/>
  <c r="O617" i="1"/>
  <c r="P617" i="1"/>
  <c r="O618" i="1"/>
  <c r="P618" i="1"/>
  <c r="O619" i="1"/>
  <c r="P619" i="1"/>
  <c r="O620" i="1"/>
  <c r="P620" i="1"/>
  <c r="O621" i="1"/>
  <c r="P621" i="1"/>
  <c r="O622" i="1"/>
  <c r="P622" i="1"/>
  <c r="O623" i="1"/>
  <c r="P623" i="1"/>
  <c r="O624" i="1"/>
  <c r="P624" i="1"/>
  <c r="O625" i="1"/>
  <c r="P625" i="1"/>
  <c r="O626" i="1"/>
  <c r="P626" i="1"/>
  <c r="O627" i="1"/>
  <c r="P627" i="1"/>
  <c r="O628" i="1"/>
  <c r="P628" i="1"/>
  <c r="O629" i="1"/>
  <c r="P629" i="1"/>
  <c r="O630" i="1"/>
  <c r="P630" i="1"/>
  <c r="O631" i="1"/>
  <c r="P631" i="1"/>
  <c r="O632" i="1"/>
  <c r="P632" i="1"/>
  <c r="O633" i="1"/>
  <c r="P633" i="1"/>
  <c r="O634" i="1"/>
  <c r="P634" i="1"/>
  <c r="O635" i="1"/>
  <c r="P635" i="1"/>
  <c r="O636" i="1"/>
  <c r="P636" i="1"/>
  <c r="O637" i="1"/>
  <c r="P637" i="1"/>
  <c r="O638" i="1"/>
  <c r="P638" i="1"/>
  <c r="O639" i="1"/>
  <c r="P639" i="1"/>
  <c r="O640" i="1"/>
  <c r="P640" i="1"/>
  <c r="O641" i="1"/>
  <c r="P641" i="1"/>
  <c r="O642" i="1"/>
  <c r="P642" i="1"/>
  <c r="O643" i="1"/>
  <c r="P643" i="1"/>
  <c r="O644" i="1"/>
  <c r="P644" i="1"/>
  <c r="O645" i="1"/>
  <c r="P645" i="1"/>
  <c r="O646" i="1"/>
  <c r="P646" i="1"/>
  <c r="O647" i="1"/>
  <c r="P647" i="1"/>
  <c r="O648" i="1"/>
  <c r="P648" i="1"/>
  <c r="O649" i="1"/>
  <c r="P649" i="1"/>
  <c r="O650" i="1"/>
  <c r="P650" i="1"/>
  <c r="O651" i="1"/>
  <c r="P651" i="1"/>
  <c r="O652" i="1"/>
  <c r="P652" i="1"/>
  <c r="O653" i="1"/>
  <c r="P653" i="1"/>
  <c r="O654" i="1"/>
  <c r="P654" i="1"/>
  <c r="O655" i="1"/>
  <c r="P655" i="1"/>
  <c r="O656" i="1"/>
  <c r="P656" i="1"/>
  <c r="O657" i="1"/>
  <c r="P657" i="1"/>
  <c r="O658" i="1"/>
  <c r="P658" i="1"/>
  <c r="O659" i="1"/>
  <c r="P659" i="1"/>
  <c r="O660" i="1"/>
  <c r="P660" i="1"/>
  <c r="O661" i="1"/>
  <c r="P661" i="1"/>
  <c r="O662" i="1"/>
  <c r="P662" i="1"/>
  <c r="O663" i="1"/>
  <c r="P663" i="1"/>
  <c r="O664" i="1"/>
  <c r="P664" i="1"/>
  <c r="O665" i="1"/>
  <c r="P665" i="1"/>
  <c r="O666" i="1"/>
  <c r="P666" i="1"/>
  <c r="O667" i="1"/>
  <c r="P667" i="1"/>
  <c r="O668" i="1"/>
  <c r="P668" i="1"/>
  <c r="O669" i="1"/>
  <c r="P669" i="1"/>
  <c r="O670" i="1"/>
  <c r="P670" i="1"/>
  <c r="O671" i="1"/>
  <c r="P671" i="1"/>
  <c r="O672" i="1"/>
  <c r="P672" i="1"/>
  <c r="O673" i="1"/>
  <c r="P673" i="1"/>
  <c r="O674" i="1"/>
  <c r="P674" i="1"/>
  <c r="O675" i="1"/>
  <c r="P675" i="1"/>
  <c r="O676" i="1"/>
  <c r="P676" i="1"/>
  <c r="O677" i="1"/>
  <c r="P677" i="1"/>
  <c r="O678" i="1"/>
  <c r="P678" i="1"/>
  <c r="O679" i="1"/>
  <c r="P679" i="1"/>
  <c r="O680" i="1"/>
  <c r="P680" i="1"/>
  <c r="O681" i="1"/>
  <c r="P681" i="1"/>
  <c r="O682" i="1"/>
  <c r="P682" i="1"/>
  <c r="O683" i="1"/>
  <c r="P683" i="1"/>
  <c r="O684" i="1"/>
  <c r="P684" i="1"/>
  <c r="O685" i="1"/>
  <c r="P685" i="1"/>
  <c r="O686" i="1"/>
  <c r="P686" i="1"/>
  <c r="O687" i="1"/>
  <c r="P687" i="1"/>
  <c r="O688" i="1"/>
  <c r="P688" i="1"/>
  <c r="O689" i="1"/>
  <c r="P689" i="1"/>
  <c r="O690" i="1"/>
  <c r="P690" i="1"/>
  <c r="O691" i="1"/>
  <c r="P691" i="1"/>
  <c r="O692" i="1"/>
  <c r="P692" i="1"/>
  <c r="O693" i="1"/>
  <c r="P693" i="1"/>
  <c r="O694" i="1"/>
  <c r="P694" i="1"/>
  <c r="O695" i="1"/>
  <c r="P695" i="1"/>
  <c r="O696" i="1"/>
  <c r="P696" i="1"/>
  <c r="O697" i="1"/>
  <c r="P697" i="1"/>
  <c r="O698" i="1"/>
  <c r="P698" i="1"/>
  <c r="O699" i="1"/>
  <c r="P699" i="1"/>
  <c r="O700" i="1"/>
  <c r="P700" i="1"/>
  <c r="O701" i="1"/>
  <c r="P701" i="1"/>
  <c r="O702" i="1"/>
  <c r="P702" i="1"/>
  <c r="O703" i="1"/>
  <c r="P703" i="1"/>
  <c r="O704" i="1"/>
  <c r="P704" i="1"/>
  <c r="O705" i="1"/>
  <c r="P705" i="1"/>
  <c r="O706" i="1"/>
  <c r="P706" i="1"/>
  <c r="O707" i="1"/>
  <c r="P707" i="1"/>
  <c r="O708" i="1"/>
  <c r="P708" i="1"/>
  <c r="O709" i="1"/>
  <c r="P709" i="1"/>
  <c r="O710" i="1"/>
  <c r="P710" i="1"/>
  <c r="O711" i="1"/>
  <c r="P711" i="1"/>
  <c r="O712" i="1"/>
  <c r="P712" i="1"/>
  <c r="O713" i="1"/>
  <c r="P713" i="1"/>
  <c r="O714" i="1"/>
  <c r="P714" i="1"/>
  <c r="O715" i="1"/>
  <c r="P715" i="1"/>
  <c r="O716" i="1"/>
  <c r="P716" i="1"/>
  <c r="O717" i="1"/>
  <c r="P717" i="1"/>
  <c r="O718" i="1"/>
  <c r="P718" i="1"/>
  <c r="O719" i="1"/>
  <c r="P719" i="1"/>
  <c r="O720" i="1"/>
  <c r="P720" i="1"/>
  <c r="O721" i="1"/>
  <c r="P721" i="1"/>
  <c r="O722" i="1"/>
  <c r="P722" i="1"/>
  <c r="O723" i="1"/>
  <c r="P723" i="1"/>
  <c r="O724" i="1"/>
  <c r="P724" i="1"/>
  <c r="O725" i="1"/>
  <c r="P725" i="1"/>
  <c r="O726" i="1"/>
  <c r="P726" i="1"/>
  <c r="O727" i="1"/>
  <c r="P727" i="1"/>
  <c r="O728" i="1"/>
  <c r="P728" i="1"/>
  <c r="O729" i="1"/>
  <c r="P729" i="1"/>
  <c r="O730" i="1"/>
  <c r="P730" i="1"/>
  <c r="O731" i="1"/>
  <c r="P731" i="1"/>
  <c r="O732" i="1"/>
  <c r="P732" i="1"/>
  <c r="O733" i="1"/>
  <c r="P733" i="1"/>
  <c r="O734" i="1"/>
  <c r="P734" i="1"/>
  <c r="O735" i="1"/>
  <c r="P735" i="1"/>
  <c r="O736" i="1"/>
  <c r="P736" i="1"/>
  <c r="O737" i="1"/>
  <c r="P737" i="1"/>
  <c r="O738" i="1"/>
  <c r="P738" i="1"/>
  <c r="O739" i="1"/>
  <c r="P739" i="1"/>
  <c r="O740" i="1"/>
  <c r="P740" i="1"/>
  <c r="O741" i="1"/>
  <c r="P741" i="1"/>
  <c r="O742" i="1"/>
  <c r="P742" i="1"/>
  <c r="O743" i="1"/>
  <c r="P743" i="1"/>
  <c r="O744" i="1"/>
  <c r="P744" i="1"/>
  <c r="O745" i="1"/>
  <c r="P745" i="1"/>
  <c r="O746" i="1"/>
  <c r="P746" i="1"/>
  <c r="O747" i="1"/>
  <c r="P747" i="1"/>
  <c r="O748" i="1"/>
  <c r="P748" i="1"/>
  <c r="O749" i="1"/>
  <c r="P749" i="1"/>
  <c r="O750" i="1"/>
  <c r="P750" i="1"/>
  <c r="O751" i="1"/>
  <c r="P751" i="1"/>
  <c r="O752" i="1"/>
  <c r="P752" i="1"/>
  <c r="O753" i="1"/>
  <c r="P753" i="1"/>
  <c r="O754" i="1"/>
  <c r="P754" i="1"/>
  <c r="O755" i="1"/>
  <c r="P755" i="1"/>
  <c r="O756" i="1"/>
  <c r="P756" i="1"/>
  <c r="O757" i="1"/>
  <c r="P757" i="1"/>
  <c r="O758" i="1"/>
  <c r="P758" i="1"/>
  <c r="O759" i="1"/>
  <c r="P759" i="1"/>
  <c r="O760" i="1"/>
  <c r="P760" i="1"/>
  <c r="O761" i="1"/>
  <c r="P761" i="1"/>
  <c r="O762" i="1"/>
  <c r="P762" i="1"/>
  <c r="O763" i="1"/>
  <c r="P763" i="1"/>
  <c r="O764" i="1"/>
  <c r="P764" i="1"/>
  <c r="O765" i="1"/>
  <c r="P765" i="1"/>
  <c r="O766" i="1"/>
  <c r="P766" i="1"/>
  <c r="O767" i="1"/>
  <c r="P767" i="1"/>
  <c r="O768" i="1"/>
  <c r="P768" i="1"/>
  <c r="O769" i="1"/>
  <c r="P769" i="1"/>
  <c r="O770" i="1"/>
  <c r="P770" i="1"/>
  <c r="O771" i="1"/>
  <c r="P771" i="1"/>
  <c r="O772" i="1"/>
  <c r="P772" i="1"/>
  <c r="O773" i="1"/>
  <c r="P773" i="1"/>
  <c r="O774" i="1"/>
  <c r="P774" i="1"/>
  <c r="O775" i="1"/>
  <c r="P775" i="1"/>
  <c r="O776" i="1"/>
  <c r="P776" i="1"/>
  <c r="O777" i="1"/>
  <c r="P777" i="1"/>
  <c r="O778" i="1"/>
  <c r="P778" i="1"/>
  <c r="O779" i="1"/>
  <c r="P779" i="1"/>
  <c r="O780" i="1"/>
  <c r="P780" i="1"/>
  <c r="O781" i="1"/>
  <c r="P781" i="1"/>
  <c r="O782" i="1"/>
  <c r="P782" i="1"/>
  <c r="O783" i="1"/>
  <c r="P783" i="1"/>
  <c r="O784" i="1"/>
  <c r="P784" i="1"/>
  <c r="O785" i="1"/>
  <c r="P785" i="1"/>
  <c r="O786" i="1"/>
  <c r="P786" i="1"/>
  <c r="O787" i="1"/>
  <c r="P787" i="1"/>
  <c r="O788" i="1"/>
  <c r="P788" i="1"/>
  <c r="O789" i="1"/>
  <c r="P789" i="1"/>
  <c r="O790" i="1"/>
  <c r="P790" i="1"/>
  <c r="O791" i="1"/>
  <c r="P791" i="1"/>
  <c r="O792" i="1"/>
  <c r="P792" i="1"/>
  <c r="O793" i="1"/>
  <c r="P793" i="1"/>
  <c r="O794" i="1"/>
  <c r="P794" i="1"/>
  <c r="O795" i="1"/>
  <c r="P795" i="1"/>
  <c r="O796" i="1"/>
  <c r="P796" i="1"/>
  <c r="O797" i="1"/>
  <c r="P797" i="1"/>
  <c r="O798" i="1"/>
  <c r="P798" i="1"/>
  <c r="O799" i="1"/>
  <c r="P799" i="1"/>
  <c r="O800" i="1"/>
  <c r="P800" i="1"/>
  <c r="O801" i="1"/>
  <c r="P801" i="1"/>
  <c r="O802" i="1"/>
  <c r="P802" i="1"/>
  <c r="O803" i="1"/>
  <c r="P803" i="1"/>
  <c r="O804" i="1"/>
  <c r="P804" i="1"/>
  <c r="O805" i="1"/>
  <c r="P805" i="1"/>
  <c r="O806" i="1"/>
  <c r="P806" i="1"/>
  <c r="O807" i="1"/>
  <c r="P807" i="1"/>
  <c r="O808" i="1"/>
  <c r="P808" i="1"/>
  <c r="O809" i="1"/>
  <c r="P809" i="1"/>
  <c r="O810" i="1"/>
  <c r="P810" i="1"/>
  <c r="O811" i="1"/>
  <c r="P811" i="1"/>
  <c r="O812" i="1"/>
  <c r="P812" i="1"/>
  <c r="O813" i="1"/>
  <c r="P813" i="1"/>
  <c r="O814" i="1"/>
  <c r="P814" i="1"/>
  <c r="O815" i="1"/>
  <c r="P815" i="1"/>
  <c r="O816" i="1"/>
  <c r="P816" i="1"/>
  <c r="O817" i="1"/>
  <c r="P817" i="1"/>
  <c r="O818" i="1"/>
  <c r="P818" i="1"/>
  <c r="O819" i="1"/>
  <c r="P819" i="1"/>
  <c r="O820" i="1"/>
  <c r="P820" i="1"/>
  <c r="O821" i="1"/>
  <c r="P821" i="1"/>
  <c r="O822" i="1"/>
  <c r="P822" i="1"/>
  <c r="O823" i="1"/>
  <c r="P823" i="1"/>
  <c r="O824" i="1"/>
  <c r="P824" i="1"/>
  <c r="O825" i="1"/>
  <c r="P825" i="1"/>
  <c r="O826" i="1"/>
  <c r="P826" i="1"/>
  <c r="O827" i="1"/>
  <c r="P827" i="1"/>
  <c r="O828" i="1"/>
  <c r="P828" i="1"/>
  <c r="O829" i="1"/>
  <c r="P829" i="1"/>
  <c r="O830" i="1"/>
  <c r="P830" i="1"/>
  <c r="O831" i="1"/>
  <c r="P831" i="1"/>
  <c r="O832" i="1"/>
  <c r="P832" i="1"/>
  <c r="O833" i="1"/>
  <c r="P833" i="1"/>
  <c r="O834" i="1"/>
  <c r="P834" i="1"/>
  <c r="O835" i="1"/>
  <c r="P835" i="1"/>
  <c r="O836" i="1"/>
  <c r="P836" i="1"/>
  <c r="O837" i="1"/>
  <c r="P837" i="1"/>
  <c r="O838" i="1"/>
  <c r="P838" i="1"/>
  <c r="O839" i="1"/>
  <c r="P839" i="1"/>
  <c r="O840" i="1"/>
  <c r="P840" i="1"/>
  <c r="O841" i="1"/>
  <c r="P841" i="1"/>
  <c r="O842" i="1"/>
  <c r="P842" i="1"/>
  <c r="O843" i="1"/>
  <c r="P843" i="1"/>
  <c r="O844" i="1"/>
  <c r="P844" i="1"/>
  <c r="O845" i="1"/>
  <c r="P845" i="1"/>
  <c r="O846" i="1"/>
  <c r="P846" i="1"/>
  <c r="O847" i="1"/>
  <c r="P847" i="1"/>
  <c r="O848" i="1"/>
  <c r="P848" i="1"/>
  <c r="O849" i="1"/>
  <c r="P849" i="1"/>
  <c r="O850" i="1"/>
  <c r="P850" i="1"/>
  <c r="O851" i="1"/>
  <c r="P851" i="1"/>
  <c r="O852" i="1"/>
  <c r="P852" i="1"/>
  <c r="O853" i="1"/>
  <c r="P853" i="1"/>
  <c r="O854" i="1"/>
  <c r="P854" i="1"/>
  <c r="O855" i="1"/>
  <c r="P855" i="1"/>
  <c r="O856" i="1"/>
  <c r="P856" i="1"/>
  <c r="O857" i="1"/>
  <c r="P857" i="1"/>
  <c r="O858" i="1"/>
  <c r="P858" i="1"/>
  <c r="O859" i="1"/>
  <c r="P859" i="1"/>
  <c r="O860" i="1"/>
  <c r="P860" i="1"/>
  <c r="O861" i="1"/>
  <c r="P861" i="1"/>
  <c r="O862" i="1"/>
  <c r="P862" i="1"/>
  <c r="O863" i="1"/>
  <c r="P863" i="1"/>
  <c r="O864" i="1"/>
  <c r="P864" i="1"/>
  <c r="O865" i="1"/>
  <c r="P865" i="1"/>
  <c r="O866" i="1"/>
  <c r="P866" i="1"/>
  <c r="O867" i="1"/>
  <c r="P867" i="1"/>
  <c r="O868" i="1"/>
  <c r="P868" i="1"/>
  <c r="O869" i="1"/>
  <c r="P869" i="1"/>
  <c r="O870" i="1"/>
  <c r="P870" i="1"/>
  <c r="O871" i="1"/>
  <c r="P871" i="1"/>
  <c r="O872" i="1"/>
  <c r="P872" i="1"/>
  <c r="O873" i="1"/>
  <c r="P873" i="1"/>
  <c r="O874" i="1"/>
  <c r="P874" i="1"/>
  <c r="O875" i="1"/>
  <c r="P875" i="1"/>
  <c r="O876" i="1"/>
  <c r="P876" i="1"/>
  <c r="O877" i="1"/>
  <c r="P877" i="1"/>
  <c r="O878" i="1"/>
  <c r="P878" i="1"/>
  <c r="O879" i="1"/>
  <c r="P879" i="1"/>
  <c r="O880" i="1"/>
  <c r="P880" i="1"/>
  <c r="O881" i="1"/>
  <c r="P881" i="1"/>
  <c r="O882" i="1"/>
  <c r="P882" i="1"/>
  <c r="O883" i="1"/>
  <c r="P883" i="1"/>
  <c r="O884" i="1"/>
  <c r="P884" i="1"/>
  <c r="O885" i="1"/>
  <c r="P885" i="1"/>
  <c r="O886" i="1"/>
  <c r="P886" i="1"/>
  <c r="O887" i="1"/>
  <c r="P887" i="1"/>
  <c r="O888" i="1"/>
  <c r="P888" i="1"/>
  <c r="O889" i="1"/>
  <c r="P889" i="1"/>
  <c r="O890" i="1"/>
  <c r="P890" i="1"/>
  <c r="O891" i="1"/>
  <c r="P891" i="1"/>
  <c r="O892" i="1"/>
  <c r="P892" i="1"/>
  <c r="O893" i="1"/>
  <c r="P893" i="1"/>
  <c r="O894" i="1"/>
  <c r="P894" i="1"/>
  <c r="O895" i="1"/>
  <c r="P895" i="1"/>
  <c r="O896" i="1"/>
  <c r="P896" i="1"/>
  <c r="O897" i="1"/>
  <c r="P897" i="1"/>
  <c r="O898" i="1"/>
  <c r="P898" i="1"/>
  <c r="O899" i="1"/>
  <c r="P899" i="1"/>
  <c r="O900" i="1"/>
  <c r="P900" i="1"/>
  <c r="O901" i="1"/>
  <c r="P901" i="1"/>
  <c r="O902" i="1"/>
  <c r="P902" i="1"/>
  <c r="O903" i="1"/>
  <c r="P903" i="1"/>
  <c r="O904" i="1"/>
  <c r="P904" i="1"/>
  <c r="O905" i="1"/>
  <c r="P905" i="1"/>
  <c r="O906" i="1"/>
  <c r="P906" i="1"/>
  <c r="O907" i="1"/>
  <c r="P907" i="1"/>
  <c r="O908" i="1"/>
  <c r="P908" i="1"/>
  <c r="O909" i="1"/>
  <c r="P909" i="1"/>
  <c r="O910" i="1"/>
  <c r="P910" i="1"/>
  <c r="O911" i="1"/>
  <c r="P911" i="1"/>
  <c r="O912" i="1"/>
  <c r="P912" i="1"/>
  <c r="O913" i="1"/>
  <c r="P913" i="1"/>
  <c r="O914" i="1"/>
  <c r="P914" i="1"/>
  <c r="O915" i="1"/>
  <c r="P915" i="1"/>
  <c r="O916" i="1"/>
  <c r="P916" i="1"/>
  <c r="O917" i="1"/>
  <c r="P917" i="1"/>
  <c r="O918" i="1"/>
  <c r="P918" i="1"/>
  <c r="O919" i="1"/>
  <c r="P919" i="1"/>
  <c r="O920" i="1"/>
  <c r="P920" i="1"/>
  <c r="O921" i="1"/>
  <c r="P921" i="1"/>
  <c r="O922" i="1"/>
  <c r="P922" i="1"/>
  <c r="O923" i="1"/>
  <c r="P923" i="1"/>
  <c r="O924" i="1"/>
  <c r="P924" i="1"/>
  <c r="O925" i="1"/>
  <c r="P925" i="1"/>
  <c r="O926" i="1"/>
  <c r="P926" i="1"/>
  <c r="O927" i="1"/>
  <c r="P927" i="1"/>
  <c r="O928" i="1"/>
  <c r="P928" i="1"/>
  <c r="O929" i="1"/>
  <c r="P929" i="1"/>
  <c r="P2" i="1"/>
  <c r="O2" i="1"/>
  <c r="N7" i="1"/>
  <c r="U3" i="2"/>
  <c r="U4" i="2"/>
  <c r="U5" i="2"/>
  <c r="U6" i="2"/>
  <c r="U7" i="2"/>
  <c r="U8" i="2"/>
  <c r="U9" i="2"/>
  <c r="U10" i="2"/>
  <c r="U11" i="2"/>
  <c r="U12" i="2"/>
  <c r="U13" i="2"/>
  <c r="U14" i="2"/>
  <c r="U15" i="2"/>
  <c r="U16" i="2"/>
  <c r="V16" i="2"/>
  <c r="U17" i="2"/>
  <c r="U18" i="2"/>
  <c r="W18" i="2"/>
  <c r="W14" i="2"/>
  <c r="W4" i="2"/>
  <c r="W13" i="2"/>
  <c r="W12" i="2"/>
  <c r="W11" i="2"/>
  <c r="W10" i="2"/>
  <c r="W6" i="2"/>
  <c r="W9" i="2"/>
  <c r="W8" i="2"/>
  <c r="W5" i="2"/>
  <c r="W15" i="2"/>
  <c r="W7" i="2"/>
  <c r="W3" i="2"/>
  <c r="W2" i="2"/>
  <c r="W17" i="2"/>
  <c r="V7" i="2"/>
  <c r="V15" i="2"/>
  <c r="V5" i="2"/>
  <c r="V8" i="2"/>
  <c r="V9" i="2"/>
  <c r="V6" i="2"/>
  <c r="V10" i="2"/>
  <c r="V11" i="2"/>
  <c r="V12" i="2"/>
  <c r="V13" i="2"/>
  <c r="V4" i="2"/>
  <c r="V14" i="2"/>
  <c r="V3" i="2"/>
  <c r="V2" i="2"/>
  <c r="F17" i="9"/>
  <c r="P101" i="2"/>
  <c r="B24" i="5"/>
  <c r="B25" i="5"/>
  <c r="B26" i="5"/>
  <c r="B27" i="5"/>
  <c r="B28" i="5"/>
  <c r="B29" i="5"/>
  <c r="B30" i="5"/>
  <c r="C24" i="5"/>
  <c r="C25" i="5"/>
  <c r="C26" i="5"/>
  <c r="C27" i="5"/>
  <c r="C28" i="5"/>
  <c r="C29" i="5"/>
  <c r="C30" i="5"/>
  <c r="D24" i="5"/>
  <c r="D25" i="5"/>
  <c r="D26" i="5"/>
  <c r="D27" i="5"/>
  <c r="D28" i="5"/>
  <c r="D29" i="5"/>
  <c r="D30" i="5"/>
  <c r="E24" i="5"/>
  <c r="E25" i="5"/>
  <c r="E26" i="5"/>
  <c r="E27" i="5"/>
  <c r="E28" i="5"/>
  <c r="E29" i="5"/>
  <c r="E30" i="5"/>
  <c r="F24" i="5"/>
  <c r="F25" i="5"/>
  <c r="F26" i="5"/>
  <c r="F27" i="5"/>
  <c r="F28" i="5"/>
  <c r="F29" i="5"/>
  <c r="F30" i="5"/>
  <c r="G24" i="5"/>
  <c r="G25" i="5"/>
  <c r="G26" i="5"/>
  <c r="G27" i="5"/>
  <c r="G28" i="5"/>
  <c r="G29" i="5"/>
  <c r="G30" i="5"/>
  <c r="H24" i="5"/>
  <c r="H25" i="5"/>
  <c r="H26" i="5"/>
  <c r="H27" i="5"/>
  <c r="H28" i="5"/>
  <c r="H29" i="5"/>
  <c r="H30" i="5"/>
  <c r="I24" i="5"/>
  <c r="I25" i="5"/>
  <c r="I26" i="5"/>
  <c r="I27" i="5"/>
  <c r="I28" i="5"/>
  <c r="I29" i="5"/>
  <c r="I30" i="5"/>
  <c r="J24" i="5"/>
  <c r="J25" i="5"/>
  <c r="J26" i="5"/>
  <c r="J27" i="5"/>
  <c r="J28" i="5"/>
  <c r="J29" i="5"/>
  <c r="J30" i="5"/>
  <c r="L24" i="5"/>
  <c r="L25" i="5"/>
  <c r="L26" i="5"/>
  <c r="L27" i="5"/>
  <c r="L29" i="5"/>
  <c r="L30" i="5"/>
  <c r="M30" i="5"/>
  <c r="M41" i="5"/>
  <c r="L41" i="5"/>
  <c r="M29" i="5"/>
  <c r="M40" i="5"/>
  <c r="L40" i="5"/>
  <c r="C40" i="5"/>
  <c r="D40" i="5"/>
  <c r="E40" i="5"/>
  <c r="F40" i="5"/>
  <c r="G40" i="5"/>
  <c r="H40" i="5"/>
  <c r="I40" i="5"/>
  <c r="J40" i="5"/>
  <c r="C39" i="5"/>
  <c r="C41" i="5"/>
  <c r="D39" i="5"/>
  <c r="D41" i="5"/>
  <c r="E39" i="5"/>
  <c r="E41" i="5"/>
  <c r="F39" i="5"/>
  <c r="F41" i="5"/>
  <c r="G39" i="5"/>
  <c r="G41" i="5"/>
  <c r="H39" i="5"/>
  <c r="H41" i="5"/>
  <c r="I39" i="5"/>
  <c r="I41" i="5"/>
  <c r="J39" i="5"/>
  <c r="J41" i="5"/>
  <c r="B40" i="5"/>
  <c r="B7" i="5"/>
  <c r="B2" i="5"/>
  <c r="B3" i="5"/>
  <c r="B4" i="5"/>
  <c r="B5" i="5"/>
  <c r="B6" i="5"/>
  <c r="B8" i="5"/>
  <c r="B18" i="5"/>
  <c r="K27" i="5"/>
  <c r="M27" i="5"/>
  <c r="K24" i="5"/>
  <c r="M24" i="5"/>
  <c r="K25" i="5"/>
  <c r="M25" i="5"/>
  <c r="K26" i="5"/>
  <c r="M26" i="5"/>
  <c r="M38" i="5"/>
  <c r="M37" i="5"/>
  <c r="M36" i="5"/>
  <c r="M35" i="5"/>
  <c r="L36" i="5"/>
  <c r="L37" i="5"/>
  <c r="L38" i="5"/>
  <c r="L35" i="5"/>
  <c r="K28" i="5"/>
  <c r="K39" i="5"/>
  <c r="B39" i="5"/>
  <c r="K38" i="5"/>
  <c r="J38" i="5"/>
  <c r="I38" i="5"/>
  <c r="H38" i="5"/>
  <c r="G38" i="5"/>
  <c r="F38" i="5"/>
  <c r="E38" i="5"/>
  <c r="D38" i="5"/>
  <c r="C38" i="5"/>
  <c r="B38" i="5"/>
  <c r="K37" i="5"/>
  <c r="J37" i="5"/>
  <c r="I37" i="5"/>
  <c r="H37" i="5"/>
  <c r="G37" i="5"/>
  <c r="F37" i="5"/>
  <c r="E37" i="5"/>
  <c r="D37" i="5"/>
  <c r="C37" i="5"/>
  <c r="B37" i="5"/>
  <c r="K36" i="5"/>
  <c r="J36" i="5"/>
  <c r="I36" i="5"/>
  <c r="H36" i="5"/>
  <c r="G36" i="5"/>
  <c r="F36" i="5"/>
  <c r="E36" i="5"/>
  <c r="D36" i="5"/>
  <c r="C36" i="5"/>
  <c r="B36" i="5"/>
  <c r="K35" i="5"/>
  <c r="J35" i="5"/>
  <c r="I35" i="5"/>
  <c r="H35" i="5"/>
  <c r="G35" i="5"/>
  <c r="F35" i="5"/>
  <c r="E35" i="5"/>
  <c r="D35" i="5"/>
  <c r="C35" i="5"/>
  <c r="B35" i="5"/>
  <c r="B41" i="5"/>
  <c r="C2" i="5"/>
  <c r="C3" i="5"/>
  <c r="C4" i="5"/>
  <c r="C5" i="5"/>
  <c r="C6" i="5"/>
  <c r="D2" i="5"/>
  <c r="D3" i="5"/>
  <c r="D4" i="5"/>
  <c r="D5" i="5"/>
  <c r="D6" i="5"/>
  <c r="E2" i="5"/>
  <c r="E3" i="5"/>
  <c r="E4" i="5"/>
  <c r="E5" i="5"/>
  <c r="E6" i="5"/>
  <c r="F6" i="5"/>
  <c r="C7" i="5"/>
  <c r="C8" i="5"/>
  <c r="D7" i="5"/>
  <c r="D8" i="5"/>
  <c r="E7" i="5"/>
  <c r="E8" i="5"/>
  <c r="G2" i="5"/>
  <c r="G3" i="5"/>
  <c r="G4" i="5"/>
  <c r="G5" i="5"/>
  <c r="G7" i="5"/>
  <c r="G8" i="5"/>
  <c r="H8" i="5"/>
  <c r="H19" i="5"/>
  <c r="G19" i="5"/>
  <c r="E19" i="5"/>
  <c r="D19" i="5"/>
  <c r="C19" i="5"/>
  <c r="B19" i="5"/>
  <c r="H7" i="5"/>
  <c r="H18" i="5"/>
  <c r="G18" i="5"/>
  <c r="E18" i="5"/>
  <c r="D18" i="5"/>
  <c r="C18" i="5"/>
  <c r="F17" i="5"/>
  <c r="E17" i="5"/>
  <c r="D17" i="5"/>
  <c r="C17" i="5"/>
  <c r="B17" i="5"/>
  <c r="F5" i="5"/>
  <c r="H5" i="5"/>
  <c r="F2" i="5"/>
  <c r="H2" i="5"/>
  <c r="F3" i="5"/>
  <c r="H3" i="5"/>
  <c r="F4" i="5"/>
  <c r="H4" i="5"/>
  <c r="H16" i="5"/>
  <c r="G16" i="5"/>
  <c r="F16" i="5"/>
  <c r="E16" i="5"/>
  <c r="D16" i="5"/>
  <c r="C16" i="5"/>
  <c r="B16" i="5"/>
  <c r="H15" i="5"/>
  <c r="G15" i="5"/>
  <c r="F15" i="5"/>
  <c r="E15" i="5"/>
  <c r="D15" i="5"/>
  <c r="C15" i="5"/>
  <c r="B15" i="5"/>
  <c r="H14" i="5"/>
  <c r="G14" i="5"/>
  <c r="F14" i="5"/>
  <c r="E14" i="5"/>
  <c r="D14" i="5"/>
  <c r="C14" i="5"/>
  <c r="B14" i="5"/>
  <c r="H13" i="5"/>
  <c r="G13" i="5"/>
  <c r="F13" i="5"/>
  <c r="E13" i="5"/>
  <c r="D13" i="5"/>
  <c r="C13" i="5"/>
  <c r="B13" i="5"/>
  <c r="L74" i="4"/>
  <c r="L75" i="4"/>
  <c r="L76" i="4"/>
  <c r="L77" i="4"/>
  <c r="L79" i="4"/>
  <c r="L80" i="4"/>
  <c r="L91" i="4"/>
  <c r="B74" i="4"/>
  <c r="C74" i="4"/>
  <c r="D74" i="4"/>
  <c r="E74" i="4"/>
  <c r="F74" i="4"/>
  <c r="G74" i="4"/>
  <c r="H74" i="4"/>
  <c r="I74" i="4"/>
  <c r="J74" i="4"/>
  <c r="M74" i="4"/>
  <c r="B75" i="4"/>
  <c r="C75" i="4"/>
  <c r="D75" i="4"/>
  <c r="E75" i="4"/>
  <c r="F75" i="4"/>
  <c r="G75" i="4"/>
  <c r="H75" i="4"/>
  <c r="I75" i="4"/>
  <c r="J75" i="4"/>
  <c r="M75" i="4"/>
  <c r="B76" i="4"/>
  <c r="C76" i="4"/>
  <c r="D76" i="4"/>
  <c r="E76" i="4"/>
  <c r="F76" i="4"/>
  <c r="G76" i="4"/>
  <c r="H76" i="4"/>
  <c r="I76" i="4"/>
  <c r="J76" i="4"/>
  <c r="M76" i="4"/>
  <c r="B77" i="4"/>
  <c r="C77" i="4"/>
  <c r="D77" i="4"/>
  <c r="E77" i="4"/>
  <c r="F77" i="4"/>
  <c r="G77" i="4"/>
  <c r="H77" i="4"/>
  <c r="I77" i="4"/>
  <c r="J77" i="4"/>
  <c r="M77" i="4"/>
  <c r="B79" i="4"/>
  <c r="C79" i="4"/>
  <c r="D79" i="4"/>
  <c r="E79" i="4"/>
  <c r="F79" i="4"/>
  <c r="G79" i="4"/>
  <c r="H79" i="4"/>
  <c r="I79" i="4"/>
  <c r="J79" i="4"/>
  <c r="M79" i="4"/>
  <c r="M80" i="4"/>
  <c r="M91" i="4"/>
  <c r="M90" i="4"/>
  <c r="L90" i="4"/>
  <c r="L88" i="4"/>
  <c r="L85" i="4"/>
  <c r="M102" i="4"/>
  <c r="L102" i="4"/>
  <c r="M101" i="4"/>
  <c r="L101" i="4"/>
  <c r="K101" i="4"/>
  <c r="B78" i="4"/>
  <c r="B80" i="4"/>
  <c r="C78" i="4"/>
  <c r="C80" i="4"/>
  <c r="D78" i="4"/>
  <c r="D80" i="4"/>
  <c r="E78" i="4"/>
  <c r="E80" i="4"/>
  <c r="F78" i="4"/>
  <c r="F80" i="4"/>
  <c r="G78" i="4"/>
  <c r="G80" i="4"/>
  <c r="H78" i="4"/>
  <c r="H80" i="4"/>
  <c r="I78" i="4"/>
  <c r="I80" i="4"/>
  <c r="J78" i="4"/>
  <c r="J80" i="4"/>
  <c r="K102" i="4"/>
  <c r="J102" i="4"/>
  <c r="I102" i="4"/>
  <c r="H102" i="4"/>
  <c r="G102" i="4"/>
  <c r="F102" i="4"/>
  <c r="E102" i="4"/>
  <c r="D102" i="4"/>
  <c r="C102" i="4"/>
  <c r="B102" i="4"/>
  <c r="C101" i="4"/>
  <c r="D101" i="4"/>
  <c r="E101" i="4"/>
  <c r="F101" i="4"/>
  <c r="G101" i="4"/>
  <c r="H101" i="4"/>
  <c r="I101" i="4"/>
  <c r="J101" i="4"/>
  <c r="B101" i="4"/>
  <c r="L97" i="4"/>
  <c r="M97" i="4"/>
  <c r="L98" i="4"/>
  <c r="M98" i="4"/>
  <c r="L99" i="4"/>
  <c r="M99" i="4"/>
  <c r="M96" i="4"/>
  <c r="L96" i="4"/>
  <c r="K78" i="4"/>
  <c r="K100" i="4"/>
  <c r="J100" i="4"/>
  <c r="I100" i="4"/>
  <c r="H100" i="4"/>
  <c r="G100" i="4"/>
  <c r="F100" i="4"/>
  <c r="E100" i="4"/>
  <c r="D100" i="4"/>
  <c r="C100" i="4"/>
  <c r="B100" i="4"/>
  <c r="K77" i="4"/>
  <c r="K99" i="4"/>
  <c r="J99" i="4"/>
  <c r="I99" i="4"/>
  <c r="H99" i="4"/>
  <c r="G99" i="4"/>
  <c r="F99" i="4"/>
  <c r="E99" i="4"/>
  <c r="D99" i="4"/>
  <c r="C99" i="4"/>
  <c r="B99" i="4"/>
  <c r="K76" i="4"/>
  <c r="K98" i="4"/>
  <c r="J98" i="4"/>
  <c r="I98" i="4"/>
  <c r="H98" i="4"/>
  <c r="G98" i="4"/>
  <c r="F98" i="4"/>
  <c r="E98" i="4"/>
  <c r="D98" i="4"/>
  <c r="C98" i="4"/>
  <c r="B98" i="4"/>
  <c r="K75" i="4"/>
  <c r="K97" i="4"/>
  <c r="J97" i="4"/>
  <c r="I97" i="4"/>
  <c r="H97" i="4"/>
  <c r="G97" i="4"/>
  <c r="F97" i="4"/>
  <c r="E97" i="4"/>
  <c r="D97" i="4"/>
  <c r="C97" i="4"/>
  <c r="B97" i="4"/>
  <c r="K74" i="4"/>
  <c r="K96" i="4"/>
  <c r="J96" i="4"/>
  <c r="I96" i="4"/>
  <c r="H96" i="4"/>
  <c r="G96" i="4"/>
  <c r="F96" i="4"/>
  <c r="E96" i="4"/>
  <c r="D96" i="4"/>
  <c r="C96" i="4"/>
  <c r="B96" i="4"/>
  <c r="L86" i="4"/>
  <c r="M86" i="4"/>
  <c r="L87" i="4"/>
  <c r="M87" i="4"/>
  <c r="M88" i="4"/>
  <c r="M85" i="4"/>
  <c r="J90" i="4"/>
  <c r="J91" i="4"/>
  <c r="C90" i="4"/>
  <c r="D90" i="4"/>
  <c r="E90" i="4"/>
  <c r="F90" i="4"/>
  <c r="G90" i="4"/>
  <c r="H90" i="4"/>
  <c r="I90" i="4"/>
  <c r="C91" i="4"/>
  <c r="D91" i="4"/>
  <c r="E91" i="4"/>
  <c r="F91" i="4"/>
  <c r="G91" i="4"/>
  <c r="H91" i="4"/>
  <c r="I91" i="4"/>
  <c r="B91" i="4"/>
  <c r="B90" i="4"/>
  <c r="K89" i="4"/>
  <c r="J89" i="4"/>
  <c r="I89" i="4"/>
  <c r="H89" i="4"/>
  <c r="G89" i="4"/>
  <c r="F89" i="4"/>
  <c r="E89" i="4"/>
  <c r="D89" i="4"/>
  <c r="C89" i="4"/>
  <c r="B89" i="4"/>
  <c r="K88" i="4"/>
  <c r="J88" i="4"/>
  <c r="I88" i="4"/>
  <c r="H88" i="4"/>
  <c r="G88" i="4"/>
  <c r="F88" i="4"/>
  <c r="E88" i="4"/>
  <c r="D88" i="4"/>
  <c r="C88" i="4"/>
  <c r="B88" i="4"/>
  <c r="K87" i="4"/>
  <c r="J87" i="4"/>
  <c r="I87" i="4"/>
  <c r="H87" i="4"/>
  <c r="G87" i="4"/>
  <c r="F87" i="4"/>
  <c r="E87" i="4"/>
  <c r="D87" i="4"/>
  <c r="C87" i="4"/>
  <c r="B87" i="4"/>
  <c r="K86" i="4"/>
  <c r="J86" i="4"/>
  <c r="I86" i="4"/>
  <c r="H86" i="4"/>
  <c r="G86" i="4"/>
  <c r="F86" i="4"/>
  <c r="E86" i="4"/>
  <c r="D86" i="4"/>
  <c r="C86" i="4"/>
  <c r="B86" i="4"/>
  <c r="K85" i="4"/>
  <c r="J85" i="4"/>
  <c r="I85" i="4"/>
  <c r="H85" i="4"/>
  <c r="G85" i="4"/>
  <c r="F85" i="4"/>
  <c r="E85" i="4"/>
  <c r="D85" i="4"/>
  <c r="C85" i="4"/>
  <c r="B85" i="4"/>
  <c r="F11" i="4"/>
  <c r="F2" i="4"/>
  <c r="F3" i="4"/>
  <c r="F4" i="4"/>
  <c r="F5" i="4"/>
  <c r="F6" i="4"/>
  <c r="F7" i="4"/>
  <c r="F8" i="4"/>
  <c r="F9" i="4"/>
  <c r="F10" i="4"/>
  <c r="F12" i="4"/>
  <c r="F29" i="4"/>
  <c r="L13" i="4"/>
  <c r="L2" i="4"/>
  <c r="L3" i="4"/>
  <c r="L4" i="4"/>
  <c r="L5" i="4"/>
  <c r="L6" i="4"/>
  <c r="L7" i="4"/>
  <c r="L8" i="4"/>
  <c r="L9" i="4"/>
  <c r="L10" i="4"/>
  <c r="L11" i="4"/>
  <c r="L14" i="4"/>
  <c r="L15" i="4"/>
  <c r="L31" i="4"/>
  <c r="B5" i="4"/>
  <c r="C5" i="4"/>
  <c r="D5" i="4"/>
  <c r="E5" i="4"/>
  <c r="G5" i="4"/>
  <c r="H5" i="4"/>
  <c r="I5" i="4"/>
  <c r="J5" i="4"/>
  <c r="M5" i="4"/>
  <c r="B6" i="4"/>
  <c r="C6" i="4"/>
  <c r="D6" i="4"/>
  <c r="E6" i="4"/>
  <c r="G6" i="4"/>
  <c r="H6" i="4"/>
  <c r="I6" i="4"/>
  <c r="J6" i="4"/>
  <c r="M6" i="4"/>
  <c r="B7" i="4"/>
  <c r="C7" i="4"/>
  <c r="D7" i="4"/>
  <c r="E7" i="4"/>
  <c r="G7" i="4"/>
  <c r="H7" i="4"/>
  <c r="I7" i="4"/>
  <c r="J7" i="4"/>
  <c r="M7" i="4"/>
  <c r="B8" i="4"/>
  <c r="C8" i="4"/>
  <c r="D8" i="4"/>
  <c r="E8" i="4"/>
  <c r="G8" i="4"/>
  <c r="H8" i="4"/>
  <c r="I8" i="4"/>
  <c r="J8" i="4"/>
  <c r="M8" i="4"/>
  <c r="B9" i="4"/>
  <c r="C9" i="4"/>
  <c r="D9" i="4"/>
  <c r="E9" i="4"/>
  <c r="G9" i="4"/>
  <c r="H9" i="4"/>
  <c r="I9" i="4"/>
  <c r="J9" i="4"/>
  <c r="M9" i="4"/>
  <c r="B10" i="4"/>
  <c r="C10" i="4"/>
  <c r="D10" i="4"/>
  <c r="E10" i="4"/>
  <c r="G10" i="4"/>
  <c r="H10" i="4"/>
  <c r="I10" i="4"/>
  <c r="J10" i="4"/>
  <c r="M10" i="4"/>
  <c r="B11" i="4"/>
  <c r="C11" i="4"/>
  <c r="D11" i="4"/>
  <c r="E11" i="4"/>
  <c r="G11" i="4"/>
  <c r="H11" i="4"/>
  <c r="I11" i="4"/>
  <c r="J11" i="4"/>
  <c r="M11" i="4"/>
  <c r="B13" i="4"/>
  <c r="C13" i="4"/>
  <c r="D13" i="4"/>
  <c r="E13" i="4"/>
  <c r="F13" i="4"/>
  <c r="G13" i="4"/>
  <c r="H13" i="4"/>
  <c r="I13" i="4"/>
  <c r="J13" i="4"/>
  <c r="M13" i="4"/>
  <c r="B14" i="4"/>
  <c r="C14" i="4"/>
  <c r="D14" i="4"/>
  <c r="E14" i="4"/>
  <c r="F14" i="4"/>
  <c r="G14" i="4"/>
  <c r="H14" i="4"/>
  <c r="I14" i="4"/>
  <c r="J14" i="4"/>
  <c r="M14" i="4"/>
  <c r="M51" i="4"/>
  <c r="L51" i="4"/>
  <c r="B4" i="4"/>
  <c r="C4" i="4"/>
  <c r="D4" i="4"/>
  <c r="E4" i="4"/>
  <c r="G4" i="4"/>
  <c r="H4" i="4"/>
  <c r="I4" i="4"/>
  <c r="J4" i="4"/>
  <c r="M4" i="4"/>
  <c r="M50" i="4"/>
  <c r="L50" i="4"/>
  <c r="B3" i="4"/>
  <c r="C3" i="4"/>
  <c r="D3" i="4"/>
  <c r="E3" i="4"/>
  <c r="G3" i="4"/>
  <c r="H3" i="4"/>
  <c r="I3" i="4"/>
  <c r="J3" i="4"/>
  <c r="M3" i="4"/>
  <c r="M49" i="4"/>
  <c r="L49" i="4"/>
  <c r="J2" i="4"/>
  <c r="J15" i="4"/>
  <c r="B2" i="4"/>
  <c r="B15" i="4"/>
  <c r="C2" i="4"/>
  <c r="C15" i="4"/>
  <c r="D2" i="4"/>
  <c r="D15" i="4"/>
  <c r="E2" i="4"/>
  <c r="E15" i="4"/>
  <c r="F15" i="4"/>
  <c r="G2" i="4"/>
  <c r="G15" i="4"/>
  <c r="H2" i="4"/>
  <c r="H15" i="4"/>
  <c r="I2" i="4"/>
  <c r="I15" i="4"/>
  <c r="J51" i="4"/>
  <c r="I51" i="4"/>
  <c r="H51" i="4"/>
  <c r="G51" i="4"/>
  <c r="F51" i="4"/>
  <c r="E51" i="4"/>
  <c r="D51" i="4"/>
  <c r="C51" i="4"/>
  <c r="B51" i="4"/>
  <c r="J50" i="4"/>
  <c r="I50" i="4"/>
  <c r="H50" i="4"/>
  <c r="G50" i="4"/>
  <c r="F50" i="4"/>
  <c r="E50" i="4"/>
  <c r="D50" i="4"/>
  <c r="C50" i="4"/>
  <c r="B50" i="4"/>
  <c r="C49" i="4"/>
  <c r="D49" i="4"/>
  <c r="E49" i="4"/>
  <c r="F49" i="4"/>
  <c r="G49" i="4"/>
  <c r="H49" i="4"/>
  <c r="I49" i="4"/>
  <c r="J49" i="4"/>
  <c r="B49" i="4"/>
  <c r="L39" i="4"/>
  <c r="M39" i="4"/>
  <c r="L40" i="4"/>
  <c r="M40" i="4"/>
  <c r="L41" i="4"/>
  <c r="M41" i="4"/>
  <c r="L42" i="4"/>
  <c r="M42" i="4"/>
  <c r="L43" i="4"/>
  <c r="M43" i="4"/>
  <c r="L44" i="4"/>
  <c r="M44" i="4"/>
  <c r="L45" i="4"/>
  <c r="M45" i="4"/>
  <c r="L46" i="4"/>
  <c r="M46" i="4"/>
  <c r="L47" i="4"/>
  <c r="M47" i="4"/>
  <c r="M2" i="4"/>
  <c r="M38" i="4"/>
  <c r="L38" i="4"/>
  <c r="M29" i="4"/>
  <c r="M28" i="4"/>
  <c r="M27" i="4"/>
  <c r="M26" i="4"/>
  <c r="M25" i="4"/>
  <c r="M24" i="4"/>
  <c r="M23" i="4"/>
  <c r="M22" i="4"/>
  <c r="M21" i="4"/>
  <c r="M20" i="4"/>
  <c r="L21" i="4"/>
  <c r="L22" i="4"/>
  <c r="L23" i="4"/>
  <c r="L24" i="4"/>
  <c r="L25" i="4"/>
  <c r="L26" i="4"/>
  <c r="L27" i="4"/>
  <c r="L28" i="4"/>
  <c r="L29" i="4"/>
  <c r="L20" i="4"/>
  <c r="M15" i="4"/>
  <c r="M33" i="4"/>
  <c r="L33" i="4"/>
  <c r="M32" i="4"/>
  <c r="L32" i="4"/>
  <c r="M31" i="4"/>
  <c r="C12" i="4"/>
  <c r="K12" i="4"/>
  <c r="C48" i="4"/>
  <c r="D12" i="4"/>
  <c r="D48" i="4"/>
  <c r="E12" i="4"/>
  <c r="E48" i="4"/>
  <c r="F48" i="4"/>
  <c r="G12" i="4"/>
  <c r="G48" i="4"/>
  <c r="H12" i="4"/>
  <c r="H48" i="4"/>
  <c r="I12" i="4"/>
  <c r="I48" i="4"/>
  <c r="J12" i="4"/>
  <c r="J48" i="4"/>
  <c r="K48" i="4"/>
  <c r="B12" i="4"/>
  <c r="B48" i="4"/>
  <c r="K3" i="4"/>
  <c r="B39" i="4"/>
  <c r="C39" i="4"/>
  <c r="D39" i="4"/>
  <c r="E39" i="4"/>
  <c r="F39" i="4"/>
  <c r="G39" i="4"/>
  <c r="H39" i="4"/>
  <c r="I39" i="4"/>
  <c r="J39" i="4"/>
  <c r="K39" i="4"/>
  <c r="K4" i="4"/>
  <c r="B40" i="4"/>
  <c r="C40" i="4"/>
  <c r="D40" i="4"/>
  <c r="E40" i="4"/>
  <c r="F40" i="4"/>
  <c r="G40" i="4"/>
  <c r="H40" i="4"/>
  <c r="I40" i="4"/>
  <c r="J40" i="4"/>
  <c r="K40" i="4"/>
  <c r="K5" i="4"/>
  <c r="B41" i="4"/>
  <c r="C41" i="4"/>
  <c r="D41" i="4"/>
  <c r="E41" i="4"/>
  <c r="F41" i="4"/>
  <c r="G41" i="4"/>
  <c r="H41" i="4"/>
  <c r="I41" i="4"/>
  <c r="J41" i="4"/>
  <c r="K41" i="4"/>
  <c r="K6" i="4"/>
  <c r="B42" i="4"/>
  <c r="C42" i="4"/>
  <c r="D42" i="4"/>
  <c r="E42" i="4"/>
  <c r="F42" i="4"/>
  <c r="G42" i="4"/>
  <c r="H42" i="4"/>
  <c r="I42" i="4"/>
  <c r="J42" i="4"/>
  <c r="K42" i="4"/>
  <c r="K7" i="4"/>
  <c r="B43" i="4"/>
  <c r="C43" i="4"/>
  <c r="D43" i="4"/>
  <c r="E43" i="4"/>
  <c r="F43" i="4"/>
  <c r="G43" i="4"/>
  <c r="H43" i="4"/>
  <c r="I43" i="4"/>
  <c r="J43" i="4"/>
  <c r="K43" i="4"/>
  <c r="K8" i="4"/>
  <c r="B44" i="4"/>
  <c r="C44" i="4"/>
  <c r="D44" i="4"/>
  <c r="E44" i="4"/>
  <c r="F44" i="4"/>
  <c r="G44" i="4"/>
  <c r="H44" i="4"/>
  <c r="I44" i="4"/>
  <c r="J44" i="4"/>
  <c r="K44" i="4"/>
  <c r="K9" i="4"/>
  <c r="B45" i="4"/>
  <c r="C45" i="4"/>
  <c r="D45" i="4"/>
  <c r="E45" i="4"/>
  <c r="F45" i="4"/>
  <c r="G45" i="4"/>
  <c r="H45" i="4"/>
  <c r="I45" i="4"/>
  <c r="J45" i="4"/>
  <c r="K45" i="4"/>
  <c r="K10" i="4"/>
  <c r="B46" i="4"/>
  <c r="C46" i="4"/>
  <c r="D46" i="4"/>
  <c r="E46" i="4"/>
  <c r="F46" i="4"/>
  <c r="G46" i="4"/>
  <c r="H46" i="4"/>
  <c r="I46" i="4"/>
  <c r="J46" i="4"/>
  <c r="K46" i="4"/>
  <c r="K11" i="4"/>
  <c r="B47" i="4"/>
  <c r="C47" i="4"/>
  <c r="D47" i="4"/>
  <c r="E47" i="4"/>
  <c r="F47" i="4"/>
  <c r="G47" i="4"/>
  <c r="H47" i="4"/>
  <c r="I47" i="4"/>
  <c r="J47" i="4"/>
  <c r="K47" i="4"/>
  <c r="K2" i="4"/>
  <c r="K38" i="4"/>
  <c r="B38" i="4"/>
  <c r="C38" i="4"/>
  <c r="D38" i="4"/>
  <c r="E38" i="4"/>
  <c r="F38" i="4"/>
  <c r="G38" i="4"/>
  <c r="H38" i="4"/>
  <c r="I38" i="4"/>
  <c r="J38" i="4"/>
  <c r="K20" i="4"/>
  <c r="K30" i="4"/>
  <c r="K29" i="4"/>
  <c r="K28" i="4"/>
  <c r="K27" i="4"/>
  <c r="K26" i="4"/>
  <c r="K25" i="4"/>
  <c r="K24" i="4"/>
  <c r="K23" i="4"/>
  <c r="K22" i="4"/>
  <c r="K21" i="4"/>
  <c r="J31" i="4"/>
  <c r="J32" i="4"/>
  <c r="J33" i="4"/>
  <c r="B31" i="4"/>
  <c r="C31" i="4"/>
  <c r="D31" i="4"/>
  <c r="E31" i="4"/>
  <c r="F31" i="4"/>
  <c r="G31" i="4"/>
  <c r="H31" i="4"/>
  <c r="I31" i="4"/>
  <c r="B32" i="4"/>
  <c r="C32" i="4"/>
  <c r="D32" i="4"/>
  <c r="E32" i="4"/>
  <c r="F32" i="4"/>
  <c r="G32" i="4"/>
  <c r="H32" i="4"/>
  <c r="I32" i="4"/>
  <c r="B33" i="4"/>
  <c r="C33" i="4"/>
  <c r="D33" i="4"/>
  <c r="E33" i="4"/>
  <c r="F33" i="4"/>
  <c r="G33" i="4"/>
  <c r="H33" i="4"/>
  <c r="I33" i="4"/>
  <c r="B20" i="4"/>
  <c r="C20" i="4"/>
  <c r="D20" i="4"/>
  <c r="E20" i="4"/>
  <c r="F20" i="4"/>
  <c r="G20" i="4"/>
  <c r="H20" i="4"/>
  <c r="I20" i="4"/>
  <c r="J20" i="4"/>
  <c r="B21" i="4"/>
  <c r="C21" i="4"/>
  <c r="D21" i="4"/>
  <c r="E21" i="4"/>
  <c r="F21" i="4"/>
  <c r="G21" i="4"/>
  <c r="H21" i="4"/>
  <c r="I21" i="4"/>
  <c r="J21" i="4"/>
  <c r="B22" i="4"/>
  <c r="C22" i="4"/>
  <c r="D22" i="4"/>
  <c r="E22" i="4"/>
  <c r="F22" i="4"/>
  <c r="G22" i="4"/>
  <c r="H22" i="4"/>
  <c r="I22" i="4"/>
  <c r="J22" i="4"/>
  <c r="B23" i="4"/>
  <c r="C23" i="4"/>
  <c r="D23" i="4"/>
  <c r="E23" i="4"/>
  <c r="F23" i="4"/>
  <c r="G23" i="4"/>
  <c r="H23" i="4"/>
  <c r="I23" i="4"/>
  <c r="J23" i="4"/>
  <c r="B24" i="4"/>
  <c r="C24" i="4"/>
  <c r="D24" i="4"/>
  <c r="E24" i="4"/>
  <c r="F24" i="4"/>
  <c r="G24" i="4"/>
  <c r="H24" i="4"/>
  <c r="I24" i="4"/>
  <c r="J24" i="4"/>
  <c r="B25" i="4"/>
  <c r="C25" i="4"/>
  <c r="D25" i="4"/>
  <c r="E25" i="4"/>
  <c r="F25" i="4"/>
  <c r="G25" i="4"/>
  <c r="H25" i="4"/>
  <c r="I25" i="4"/>
  <c r="J25" i="4"/>
  <c r="B26" i="4"/>
  <c r="C26" i="4"/>
  <c r="D26" i="4"/>
  <c r="E26" i="4"/>
  <c r="F26" i="4"/>
  <c r="G26" i="4"/>
  <c r="H26" i="4"/>
  <c r="I26" i="4"/>
  <c r="J26" i="4"/>
  <c r="B27" i="4"/>
  <c r="C27" i="4"/>
  <c r="D27" i="4"/>
  <c r="E27" i="4"/>
  <c r="F27" i="4"/>
  <c r="G27" i="4"/>
  <c r="H27" i="4"/>
  <c r="I27" i="4"/>
  <c r="J27" i="4"/>
  <c r="B28" i="4"/>
  <c r="C28" i="4"/>
  <c r="D28" i="4"/>
  <c r="E28" i="4"/>
  <c r="F28" i="4"/>
  <c r="G28" i="4"/>
  <c r="H28" i="4"/>
  <c r="I28" i="4"/>
  <c r="J28" i="4"/>
  <c r="B29" i="4"/>
  <c r="C29" i="4"/>
  <c r="D29" i="4"/>
  <c r="E29" i="4"/>
  <c r="G29" i="4"/>
  <c r="H29" i="4"/>
  <c r="I29" i="4"/>
  <c r="J29" i="4"/>
  <c r="B30" i="4"/>
  <c r="C30" i="4"/>
  <c r="D30" i="4"/>
  <c r="E30" i="4"/>
  <c r="F30" i="4"/>
  <c r="G30" i="4"/>
  <c r="H30" i="4"/>
  <c r="I30" i="4"/>
  <c r="J30" i="4"/>
  <c r="P100" i="2"/>
  <c r="P99" i="2"/>
  <c r="P98" i="2"/>
  <c r="P97" i="2"/>
  <c r="P96" i="2"/>
  <c r="P95" i="2"/>
  <c r="P94" i="2"/>
  <c r="P93" i="2"/>
  <c r="P92" i="2"/>
  <c r="P91" i="2"/>
  <c r="P90" i="2"/>
  <c r="P89" i="2"/>
  <c r="P88" i="2"/>
  <c r="P87" i="2"/>
  <c r="P86" i="2"/>
  <c r="P85" i="2"/>
  <c r="P84" i="2"/>
  <c r="P83" i="2"/>
  <c r="P82" i="2"/>
  <c r="P81" i="2"/>
  <c r="P80" i="2"/>
  <c r="P79" i="2"/>
  <c r="P78" i="2"/>
  <c r="P77" i="2"/>
  <c r="P76" i="2"/>
  <c r="P75" i="2"/>
  <c r="P74" i="2"/>
  <c r="P73" i="2"/>
  <c r="P72" i="2"/>
  <c r="P71" i="2"/>
  <c r="P70" i="2"/>
  <c r="P69" i="2"/>
  <c r="P68" i="2"/>
  <c r="P67" i="2"/>
  <c r="P66" i="2"/>
  <c r="P65" i="2"/>
  <c r="P64" i="2"/>
  <c r="P63" i="2"/>
  <c r="P62" i="2"/>
  <c r="P61" i="2"/>
  <c r="P60" i="2"/>
  <c r="P59" i="2"/>
  <c r="P58" i="2"/>
  <c r="P57" i="2"/>
  <c r="P56" i="2"/>
  <c r="P55" i="2"/>
  <c r="P54" i="2"/>
  <c r="P53" i="2"/>
  <c r="P52" i="2"/>
  <c r="P51" i="2"/>
  <c r="P50" i="2"/>
  <c r="P49" i="2"/>
  <c r="P48" i="2"/>
  <c r="P47" i="2"/>
  <c r="P46" i="2"/>
  <c r="P45" i="2"/>
  <c r="P44" i="2"/>
  <c r="P43" i="2"/>
  <c r="P42" i="2"/>
  <c r="P41" i="2"/>
  <c r="P40" i="2"/>
  <c r="P39" i="2"/>
  <c r="P38" i="2"/>
  <c r="P37" i="2"/>
  <c r="P36" i="2"/>
  <c r="P35" i="2"/>
  <c r="P34" i="2"/>
  <c r="P33" i="2"/>
  <c r="P32" i="2"/>
  <c r="P31" i="2"/>
  <c r="P30" i="2"/>
  <c r="P29" i="2"/>
  <c r="P28" i="2"/>
  <c r="P27" i="2"/>
  <c r="P26" i="2"/>
  <c r="P25" i="2"/>
  <c r="P24" i="2"/>
  <c r="P23" i="2"/>
  <c r="P22" i="2"/>
  <c r="P21" i="2"/>
  <c r="P20" i="2"/>
  <c r="P19" i="2"/>
  <c r="P18" i="2"/>
  <c r="P17" i="2"/>
  <c r="P16" i="2"/>
  <c r="P15" i="2"/>
  <c r="P14" i="2"/>
  <c r="P13" i="2"/>
  <c r="P12" i="2"/>
  <c r="P11" i="2"/>
  <c r="P10" i="2"/>
  <c r="P9" i="2"/>
  <c r="P8" i="2"/>
  <c r="P7" i="2"/>
  <c r="P6" i="2"/>
  <c r="P5" i="2"/>
  <c r="P4" i="2"/>
  <c r="P3" i="2"/>
  <c r="P2" i="2"/>
  <c r="G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2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</calcChain>
</file>

<file path=xl/comments1.xml><?xml version="1.0" encoding="utf-8"?>
<comments xmlns="http://schemas.openxmlformats.org/spreadsheetml/2006/main">
  <authors>
    <author>Microsoft Office User</author>
  </authors>
  <commentList>
    <comment ref="C9" authorId="0">
      <text>
        <r>
          <rPr>
            <b/>
            <sz val="10"/>
            <color indexed="81"/>
            <rFont val="Calibri"/>
            <family val="2"/>
          </rPr>
          <t>Microsoft Office User:</t>
        </r>
        <r>
          <rPr>
            <sz val="10"/>
            <color indexed="81"/>
            <rFont val="Calibri"/>
            <family val="2"/>
          </rPr>
          <t xml:space="preserve">
could be TV station, website, and maybe a little bit on app if tried already by then</t>
        </r>
      </text>
    </comment>
  </commentList>
</comments>
</file>

<file path=xl/comments2.xml><?xml version="1.0" encoding="utf-8"?>
<comments xmlns="http://schemas.openxmlformats.org/spreadsheetml/2006/main">
  <authors>
    <author>Microsoft Office User</author>
  </authors>
  <commentList>
    <comment ref="M9" authorId="0">
      <text>
        <r>
          <rPr>
            <b/>
            <sz val="10"/>
            <color indexed="81"/>
            <rFont val="Calibri"/>
            <family val="2"/>
          </rPr>
          <t>Microsoft Office User:</t>
        </r>
        <r>
          <rPr>
            <sz val="10"/>
            <color indexed="81"/>
            <rFont val="Calibri"/>
            <family val="2"/>
          </rPr>
          <t xml:space="preserve">
Apple weather replied on Yahoo weather before moving to Weather Channel</t>
        </r>
      </text>
    </comment>
    <comment ref="M10" authorId="0">
      <text>
        <r>
          <rPr>
            <b/>
            <sz val="10"/>
            <color indexed="81"/>
            <rFont val="Calibri"/>
            <family val="2"/>
          </rPr>
          <t>Microsoft Office User:</t>
        </r>
        <r>
          <rPr>
            <sz val="10"/>
            <color indexed="81"/>
            <rFont val="Calibri"/>
            <family val="2"/>
          </rPr>
          <t xml:space="preserve">
Apple weather replied on Yahoo weather before moving to Weather Channel</t>
        </r>
      </text>
    </comment>
    <comment ref="M11" authorId="0">
      <text>
        <r>
          <rPr>
            <b/>
            <sz val="10"/>
            <color indexed="81"/>
            <rFont val="Calibri"/>
            <family val="2"/>
          </rPr>
          <t>Microsoft Office User:</t>
        </r>
        <r>
          <rPr>
            <sz val="10"/>
            <color indexed="81"/>
            <rFont val="Calibri"/>
            <family val="2"/>
          </rPr>
          <t xml:space="preserve">
Apple weather replied on Yahoo weather before moving to Weather Channel</t>
        </r>
      </text>
    </comment>
    <comment ref="M12" authorId="0">
      <text>
        <r>
          <rPr>
            <b/>
            <sz val="10"/>
            <color indexed="81"/>
            <rFont val="Calibri"/>
            <family val="2"/>
          </rPr>
          <t>Microsoft Office User:</t>
        </r>
        <r>
          <rPr>
            <sz val="10"/>
            <color indexed="81"/>
            <rFont val="Calibri"/>
            <family val="2"/>
          </rPr>
          <t xml:space="preserve">
Apple weather replied on Yahoo weather before moving to Weather Channel</t>
        </r>
      </text>
    </comment>
    <comment ref="O83" authorId="0">
      <text>
        <r>
          <rPr>
            <b/>
            <sz val="10"/>
            <color indexed="81"/>
            <rFont val="Calibri"/>
            <family val="2"/>
          </rPr>
          <t>Microsoft Office User:</t>
        </r>
        <r>
          <rPr>
            <sz val="10"/>
            <color indexed="81"/>
            <rFont val="Calibri"/>
            <family val="2"/>
          </rPr>
          <t xml:space="preserve">
Android and ios versions available</t>
        </r>
      </text>
    </comment>
    <comment ref="O84" authorId="0">
      <text>
        <r>
          <rPr>
            <b/>
            <sz val="10"/>
            <color indexed="81"/>
            <rFont val="Calibri"/>
            <family val="2"/>
          </rPr>
          <t>Microsoft Office User:</t>
        </r>
        <r>
          <rPr>
            <sz val="10"/>
            <color indexed="81"/>
            <rFont val="Calibri"/>
            <family val="2"/>
          </rPr>
          <t xml:space="preserve">
Android and ios versions available</t>
        </r>
      </text>
    </comment>
    <comment ref="O85" authorId="0">
      <text>
        <r>
          <rPr>
            <b/>
            <sz val="10"/>
            <color indexed="81"/>
            <rFont val="Calibri"/>
            <family val="2"/>
          </rPr>
          <t>Microsoft Office User:</t>
        </r>
        <r>
          <rPr>
            <sz val="10"/>
            <color indexed="81"/>
            <rFont val="Calibri"/>
            <family val="2"/>
          </rPr>
          <t xml:space="preserve">
Android and ios versions available</t>
        </r>
      </text>
    </comment>
    <comment ref="O97" authorId="0">
      <text>
        <r>
          <rPr>
            <b/>
            <sz val="10"/>
            <color indexed="81"/>
            <rFont val="Calibri"/>
            <family val="2"/>
          </rPr>
          <t>Microsoft Office User:</t>
        </r>
        <r>
          <rPr>
            <sz val="10"/>
            <color indexed="81"/>
            <rFont val="Calibri"/>
            <family val="2"/>
          </rPr>
          <t xml:space="preserve">
apps available for both ios and Android devices</t>
        </r>
      </text>
    </comment>
  </commentList>
</comments>
</file>

<file path=xl/sharedStrings.xml><?xml version="1.0" encoding="utf-8"?>
<sst xmlns="http://schemas.openxmlformats.org/spreadsheetml/2006/main" count="8632" uniqueCount="313">
  <si>
    <t>RespondentID</t>
  </si>
  <si>
    <t>A specific website or app (please provide the answer)</t>
  </si>
  <si>
    <t>If you had a smartwatch (like the soon to be released Apple Watch), how likely or unlikely would you be to check the weather on that device?</t>
  </si>
  <si>
    <t>Age</t>
  </si>
  <si>
    <t>How much total combined money did all members of your HOUSEHOLD earn last year?</t>
  </si>
  <si>
    <t>US Region</t>
  </si>
  <si>
    <t>Yes</t>
  </si>
  <si>
    <t>The default weather app on your phone</t>
  </si>
  <si>
    <t>No answer provided</t>
  </si>
  <si>
    <t>Very likely</t>
  </si>
  <si>
    <t>Male</t>
  </si>
  <si>
    <t>$50,000 to $74,999</t>
  </si>
  <si>
    <t>South Atlantic</t>
  </si>
  <si>
    <t>Prefer not to answer</t>
  </si>
  <si>
    <t>$100,000 to $124,999</t>
  </si>
  <si>
    <t>Middle Atlantic</t>
  </si>
  <si>
    <t>Somewhat likely</t>
  </si>
  <si>
    <t>Iphone app</t>
  </si>
  <si>
    <t>$150,000 to $174,999</t>
  </si>
  <si>
    <t>AccuWeather App</t>
  </si>
  <si>
    <t>West South Central</t>
  </si>
  <si>
    <t>The Weather Channel</t>
  </si>
  <si>
    <t>Very unlikely</t>
  </si>
  <si>
    <t>$25,000 to $49,999</t>
  </si>
  <si>
    <t>Pacific</t>
  </si>
  <si>
    <t>West North Central</t>
  </si>
  <si>
    <t>No</t>
  </si>
  <si>
    <t>Internet search</t>
  </si>
  <si>
    <t>Somewhat unlikely</t>
  </si>
  <si>
    <t>$0 to $9,999</t>
  </si>
  <si>
    <t>East North Central</t>
  </si>
  <si>
    <t>Local TV News</t>
  </si>
  <si>
    <t>$10,000 to $24,999</t>
  </si>
  <si>
    <t>$75,000 to $99,999</t>
  </si>
  <si>
    <t>Mountain</t>
  </si>
  <si>
    <t>nice</t>
  </si>
  <si>
    <t>Female</t>
  </si>
  <si>
    <t>Weather.com</t>
  </si>
  <si>
    <t>New England</t>
  </si>
  <si>
    <t>$200,000 and up</t>
  </si>
  <si>
    <t>Newspaper</t>
  </si>
  <si>
    <t>Radio weather</t>
  </si>
  <si>
    <t>East South Central</t>
  </si>
  <si>
    <t>60+</t>
  </si>
  <si>
    <t>Weatherbug</t>
  </si>
  <si>
    <t>weather channel app</t>
  </si>
  <si>
    <t>Yahoo weather iphone</t>
  </si>
  <si>
    <t>$175,000 to $199,999</t>
  </si>
  <si>
    <t>$125,000 to $149,999</t>
  </si>
  <si>
    <t>Weather Puppy</t>
  </si>
  <si>
    <t>AccuWeather</t>
  </si>
  <si>
    <t>Newsletter</t>
  </si>
  <si>
    <t>Apple weater</t>
  </si>
  <si>
    <t>The Weather Channel app</t>
  </si>
  <si>
    <t>google "weather"</t>
  </si>
  <si>
    <t>Weather Underground</t>
  </si>
  <si>
    <t>Weather Timeline (android)</t>
  </si>
  <si>
    <t>1 weather</t>
  </si>
  <si>
    <t>Weather Channel app</t>
  </si>
  <si>
    <t>Weather Underground, also local tv news half the time.</t>
  </si>
  <si>
    <t>weatherbug app</t>
  </si>
  <si>
    <t>weather bug</t>
  </si>
  <si>
    <t>FancyClock app on my phone and accuweather.com</t>
  </si>
  <si>
    <t>GOES West Satalite</t>
  </si>
  <si>
    <t>Intellicast / Storm</t>
  </si>
  <si>
    <t xml:space="preserve">ipod weather </t>
  </si>
  <si>
    <t>weatherbug</t>
  </si>
  <si>
    <t>weatherbug.com</t>
  </si>
  <si>
    <t>iphone weather app</t>
  </si>
  <si>
    <t>Weather Bug</t>
  </si>
  <si>
    <t>Accuweather</t>
  </si>
  <si>
    <t>www.wunderground.com</t>
  </si>
  <si>
    <t>noaa.gov</t>
  </si>
  <si>
    <t>1weather</t>
  </si>
  <si>
    <t>yahoo</t>
  </si>
  <si>
    <t>Weather Bug App</t>
  </si>
  <si>
    <t>Yo Window</t>
  </si>
  <si>
    <t>Weather bug</t>
  </si>
  <si>
    <t>Dark Sky</t>
  </si>
  <si>
    <t>aol</t>
  </si>
  <si>
    <t>NOAA and The Weather Channel</t>
  </si>
  <si>
    <t>Weather Kitty</t>
  </si>
  <si>
    <t>Internet, tv, radio, newspaper</t>
  </si>
  <si>
    <t>App on Iphone</t>
  </si>
  <si>
    <t>yr.no</t>
  </si>
  <si>
    <t>weather.com</t>
  </si>
  <si>
    <t>weatherunderground</t>
  </si>
  <si>
    <t>wunderground.com</t>
  </si>
  <si>
    <t>Weather channel app</t>
  </si>
  <si>
    <t>intellicast</t>
  </si>
  <si>
    <t>Weather Risk</t>
  </si>
  <si>
    <t>local newspaper online  Weather Bug  NOAH</t>
  </si>
  <si>
    <t>AccuWeather or Weather Underground</t>
  </si>
  <si>
    <t>Weatherbug, Storm</t>
  </si>
  <si>
    <t>look/feel the weather outside</t>
  </si>
  <si>
    <t>accuweather</t>
  </si>
  <si>
    <t>Weather channel app on my phone and ipad</t>
  </si>
  <si>
    <t>Numerous local weather apps</t>
  </si>
  <si>
    <t>The Weather Channel app on my phone</t>
  </si>
  <si>
    <t>Storm Team 4</t>
  </si>
  <si>
    <t>KCRA online</t>
  </si>
  <si>
    <t>yahoo weather</t>
  </si>
  <si>
    <t>weatherbug on my phone</t>
  </si>
  <si>
    <t>the weather channel app on my phone</t>
  </si>
  <si>
    <t>Weather Channel.com</t>
  </si>
  <si>
    <t>Weather Channel app on phone</t>
  </si>
  <si>
    <t xml:space="preserve"> Weather underground </t>
  </si>
  <si>
    <t>IPhone</t>
  </si>
  <si>
    <t>Weather Channel app android</t>
  </si>
  <si>
    <t>NOAA app</t>
  </si>
  <si>
    <t>Via my iPhone builtin app</t>
  </si>
  <si>
    <t>weatherforyou.com</t>
  </si>
  <si>
    <t>Weather Underground through HD Widgets</t>
  </si>
  <si>
    <t>weather app</t>
  </si>
  <si>
    <t>iPhone app</t>
  </si>
  <si>
    <t>National Weather Service site</t>
  </si>
  <si>
    <t>Weather channel</t>
  </si>
  <si>
    <t>the weather channel</t>
  </si>
  <si>
    <t>iPhone weather app</t>
  </si>
  <si>
    <t xml:space="preserve">The Weather Channel for iPhone or iPad </t>
  </si>
  <si>
    <t>m.accuweather.com</t>
  </si>
  <si>
    <t>National Weather Service</t>
  </si>
  <si>
    <t>weather channel</t>
  </si>
  <si>
    <t>Google App</t>
  </si>
  <si>
    <t>The Weather Channel app on my phone.</t>
  </si>
  <si>
    <t>WEatherbug</t>
  </si>
  <si>
    <t>DirecTv Weather App</t>
  </si>
  <si>
    <t>iphone</t>
  </si>
  <si>
    <t>smart phone</t>
  </si>
  <si>
    <t>Weather app</t>
  </si>
  <si>
    <t>basic weather app on my iPhone</t>
  </si>
  <si>
    <t>phone</t>
  </si>
  <si>
    <t>WeatherBug</t>
  </si>
  <si>
    <t>the weather channel app</t>
  </si>
  <si>
    <t>Bing</t>
  </si>
  <si>
    <t>Weather Channel App</t>
  </si>
  <si>
    <t>Talk to my mother.</t>
  </si>
  <si>
    <t>i look outside</t>
  </si>
  <si>
    <t>Weather Channel App in IPhone</t>
  </si>
  <si>
    <t>Weather Channel</t>
  </si>
  <si>
    <t xml:space="preserve">The weather app on the iPhone </t>
  </si>
  <si>
    <t>The weather channel iPad app</t>
  </si>
  <si>
    <t>weather underground</t>
  </si>
  <si>
    <t>My husband usually informs me about the next day's weather.</t>
  </si>
  <si>
    <t>Default iPhone app</t>
  </si>
  <si>
    <t>Google now</t>
  </si>
  <si>
    <t>Chrome app</t>
  </si>
  <si>
    <t>Apple Weather App</t>
  </si>
  <si>
    <t>Iphone weather app</t>
  </si>
  <si>
    <t>desktop icon</t>
  </si>
  <si>
    <t>The one that comes on your iphone</t>
  </si>
  <si>
    <t>the weather channel and local TV kxan</t>
  </si>
  <si>
    <t>Wunderground</t>
  </si>
  <si>
    <t xml:space="preserve">Intellicast (site) &amp; WUnderground (app) </t>
  </si>
  <si>
    <t>myphone</t>
  </si>
  <si>
    <t>weather.gov</t>
  </si>
  <si>
    <t>www.weather.gov</t>
  </si>
  <si>
    <t>Weather &amp; Clock widget</t>
  </si>
  <si>
    <t>yahoo weather app</t>
  </si>
  <si>
    <t>Www.weather.com</t>
  </si>
  <si>
    <t>weather app on iphone</t>
  </si>
  <si>
    <t>30-44</t>
  </si>
  <si>
    <t>18-29</t>
  </si>
  <si>
    <t>45-59</t>
  </si>
  <si>
    <t>na</t>
  </si>
  <si>
    <t>Q1: Do you typically check a daily weather report?</t>
  </si>
  <si>
    <t>Q2: How do you typically check the weather?</t>
  </si>
  <si>
    <t>Q3: A specific website or app (please provide the answer)</t>
  </si>
  <si>
    <t>Q4: If you had a smartwatch (like the soon to be released Apple Watch), how likely or unlikely would you be to check the weather on that device?</t>
  </si>
  <si>
    <t>Q4: Ranking</t>
  </si>
  <si>
    <t>Q5: Age</t>
  </si>
  <si>
    <t>Q5: Age Category</t>
  </si>
  <si>
    <t>Q6: What is your gender?</t>
  </si>
  <si>
    <t>Q7: How much total combined money did all members of your HOUSEHOLD earn last year?</t>
  </si>
  <si>
    <t>Q7: Income Range Category</t>
  </si>
  <si>
    <t>Record ID</t>
  </si>
  <si>
    <t>apple-provided site</t>
  </si>
  <si>
    <t>Google</t>
  </si>
  <si>
    <t>my phone has a pre-loaded app</t>
  </si>
  <si>
    <t>NOAA</t>
  </si>
  <si>
    <t>Android App</t>
  </si>
  <si>
    <t>None</t>
  </si>
  <si>
    <t>On phone uspecified</t>
  </si>
  <si>
    <t>On phone uspecified app</t>
  </si>
  <si>
    <t>Other search engines</t>
  </si>
  <si>
    <t>Intellicast</t>
  </si>
  <si>
    <t>Local News</t>
  </si>
  <si>
    <t>Other weather site</t>
  </si>
  <si>
    <t>Other or unspecified weather app</t>
  </si>
  <si>
    <t>Other internet site</t>
  </si>
  <si>
    <t>Main Source</t>
  </si>
  <si>
    <t>Count</t>
  </si>
  <si>
    <t>Row Labels</t>
  </si>
  <si>
    <t>Grand Total</t>
  </si>
  <si>
    <t>Sum of Count</t>
  </si>
  <si>
    <t>TOTAL</t>
  </si>
  <si>
    <t>All Regions</t>
  </si>
  <si>
    <t>Subtotal Income provided</t>
  </si>
  <si>
    <t>Subtotal Region provided</t>
  </si>
  <si>
    <t>Income provided</t>
  </si>
  <si>
    <t>All Incomes</t>
  </si>
  <si>
    <t>DISTRIBUTION OF INCOME BY REGION</t>
  </si>
  <si>
    <t>NEW ENGLAND HAS HIGHEST PROPORTION OF RESPONDENTS IN THE TOP 5 BRACKETS (61%), FOLLOWED BY PACIFIC REGION (45%)</t>
  </si>
  <si>
    <t>MOST RESPONDENTS FROM THE TOP 5 BRACKETS ARE FROM PACIFIC, BUT MOST RESPONDENTS ARE FROM THIS REGIION (I.E. 185 OUT OF 928; NEW ENGLAND RESPONDENTS ARE AMONG THE FEWEST--52)</t>
  </si>
  <si>
    <t>Subtotal age provided</t>
  </si>
  <si>
    <t>All Respondents, including unknown age</t>
  </si>
  <si>
    <t>DISTRIBUTION OF RESPONDENTS IN EACH INCOME BRACKET BY REGION</t>
  </si>
  <si>
    <t>DISTRIBUTION OF AGES BY REGION</t>
  </si>
  <si>
    <t>NA</t>
  </si>
  <si>
    <t>Subtotal Age provided</t>
  </si>
  <si>
    <t>Subtotal Q4 Answer provided</t>
  </si>
  <si>
    <t>All Ages</t>
  </si>
  <si>
    <t>All respondents regadless whether Q4 answer provided or not</t>
  </si>
  <si>
    <t>Q4 ANSWERS STRATIFIED BY AGE</t>
  </si>
  <si>
    <t>Subtotal Region Provided</t>
  </si>
  <si>
    <t>Q4 ANSWERS STRATIFIED BY REGION</t>
  </si>
  <si>
    <t>Count of Q1: Do you typically check a daily weather report?</t>
  </si>
  <si>
    <t>Column Labels</t>
  </si>
  <si>
    <t>PACIFIC AND SOUTH ATLANTIC CHECK WEATHER DAILY LEAST</t>
  </si>
  <si>
    <t>(All)</t>
  </si>
  <si>
    <t>Count of RespondentID</t>
  </si>
  <si>
    <t>SOME NOTABLE DIFFERENCES IN PATTERNS OF BEHAVIOR PER Q3 BETWEEN RESPONDENTS WHO CHECK WEATHER DAILY VERSUS DON'T CHECK THE WEATHER DAILY</t>
  </si>
  <si>
    <t>SPECIFIC WEBSITE, INTERNET SEARCH , WEATHER CHANNEL</t>
  </si>
  <si>
    <t>Pivot table use --illustration</t>
  </si>
  <si>
    <t>Total Count of RespondentID</t>
  </si>
  <si>
    <t>TREND HOLDS FOR FEMALE VS MALE</t>
  </si>
  <si>
    <t>Yes Total</t>
  </si>
  <si>
    <t>No Total</t>
  </si>
  <si>
    <t>THE YOUNGEST AGE GROUP WATCHES THE LOCAL NEWS LEAST AND USES THE DEFAULT WEATHER APP ON THEIR PHONE MOST, REGARDLESS WEATHER CHECKING WEATHER DAILY OR NOT</t>
  </si>
  <si>
    <t>Calculated Field</t>
  </si>
  <si>
    <t>Solve Order</t>
  </si>
  <si>
    <t>Field</t>
  </si>
  <si>
    <t>Formula</t>
  </si>
  <si>
    <t>Calculated Item</t>
  </si>
  <si>
    <t>Item</t>
  </si>
  <si>
    <t>Diff % Users Answering Q2 Y vs N who provided this answer</t>
  </si>
  <si>
    <t>='Q5: Age Category' /'Q1: Do you typically check a daily weather report?'</t>
  </si>
  <si>
    <t>Note:</t>
  </si>
  <si>
    <t>When a cell is updated by more than one formula,</t>
  </si>
  <si>
    <t>the value is set by the formula with the last solve order.</t>
  </si>
  <si>
    <t>To change formula solve orders,</t>
  </si>
  <si>
    <t>use the Solve Order command on the PivotTable command bar.</t>
  </si>
  <si>
    <t>n=175 (total answers to Q4 across sample)</t>
  </si>
  <si>
    <t>Total Count of Record ID</t>
  </si>
  <si>
    <t>Count of Record ID</t>
  </si>
  <si>
    <t>Fields Combined</t>
  </si>
  <si>
    <t>Delivery Method</t>
  </si>
  <si>
    <t>Weather Data Source</t>
  </si>
  <si>
    <t>Not specified</t>
  </si>
  <si>
    <t>some records will have info</t>
  </si>
  <si>
    <t>Default app on phone</t>
  </si>
  <si>
    <t>Print</t>
  </si>
  <si>
    <t>Not Specified</t>
  </si>
  <si>
    <t>Q2</t>
  </si>
  <si>
    <t>A specific website or app (please provide the answer--Q3)</t>
  </si>
  <si>
    <t>Radio</t>
  </si>
  <si>
    <t>Local TV news</t>
  </si>
  <si>
    <t>any options above plus "Other or unspecified app"</t>
  </si>
  <si>
    <t>Device</t>
  </si>
  <si>
    <t>Unspecified</t>
  </si>
  <si>
    <t>TV</t>
  </si>
  <si>
    <t>App</t>
  </si>
  <si>
    <t>"App" or "Website" or "Unspecified"</t>
  </si>
  <si>
    <t>App--device</t>
  </si>
  <si>
    <t>Iphone</t>
  </si>
  <si>
    <t>Android</t>
  </si>
  <si>
    <t xml:space="preserve">Ipad </t>
  </si>
  <si>
    <t>Tablet</t>
  </si>
  <si>
    <t>Key words</t>
  </si>
  <si>
    <t>apple</t>
  </si>
  <si>
    <t>ipod</t>
  </si>
  <si>
    <t>Samsung</t>
  </si>
  <si>
    <t>LG</t>
  </si>
  <si>
    <t>Interest b/c of Apple watch  using it</t>
  </si>
  <si>
    <t xml:space="preserve">apple </t>
  </si>
  <si>
    <t>samsung</t>
  </si>
  <si>
    <t>others</t>
  </si>
  <si>
    <t>Market Share of smartphone subscribers US</t>
  </si>
  <si>
    <t>ios app</t>
  </si>
  <si>
    <t>Android app</t>
  </si>
  <si>
    <t>emerging smartwatch manufacturerd</t>
  </si>
  <si>
    <t>% Answers Provided</t>
  </si>
  <si>
    <t>% All Answers</t>
  </si>
  <si>
    <t>All Answers</t>
  </si>
  <si>
    <t>Apple</t>
  </si>
  <si>
    <t>Device--Apple; Android device; Other or unknown</t>
  </si>
  <si>
    <t>Other or unkown</t>
  </si>
  <si>
    <t>Website</t>
  </si>
  <si>
    <t>Website, Web Search or App</t>
  </si>
  <si>
    <t>Web Search</t>
  </si>
  <si>
    <t>Yahoo</t>
  </si>
  <si>
    <t>Other or unknown</t>
  </si>
  <si>
    <t>All Provided Answers</t>
  </si>
  <si>
    <t>Q3 Refined Answer 2 -Website, Web Search or App</t>
  </si>
  <si>
    <t>Q3 Refined Answer-Source</t>
  </si>
  <si>
    <t>Raw</t>
  </si>
  <si>
    <t>Q3 Data Source (175 provided answers only):</t>
  </si>
  <si>
    <t>Q3 Website, Web Search, or App (175 provided answers only):</t>
  </si>
  <si>
    <t>Q3 Apple, Android, or other device (175 provided answers only):</t>
  </si>
  <si>
    <t>Q2 or Q3</t>
  </si>
  <si>
    <t>may be inflated, b/c Weather Channel may mean the TV Channel, Website, or any Weather Channel app (if already available at that time)</t>
  </si>
  <si>
    <t>https://www.forbes.com/sites/chuckjones/2014/06/04/apples-u-s-iphone-market-share-holding-steady/#53163261428a</t>
  </si>
  <si>
    <t>Source:</t>
  </si>
  <si>
    <t>PROPORTIONALLY, THE OLDER RESPONDENTS TEND CHECK THE WEATHER DAILY MORE FREQUENTLY THAN THE YOUNGER RESPONDENTS</t>
  </si>
  <si>
    <t>All Genders</t>
  </si>
  <si>
    <t>Subtotal gender provided</t>
  </si>
  <si>
    <t>Q4 ANSWERS STRATIFIED BY GENDER</t>
  </si>
  <si>
    <t>Q4 ANSWERS STRATIFIED BY INCOME</t>
  </si>
  <si>
    <t>Subtotal income provided</t>
  </si>
  <si>
    <t>could have considered aggregating these in 8 or less categories (best practice)</t>
  </si>
  <si>
    <t>this would be across all media, but the survey was not optimally designed for answerring this particular questions; this conclusion should be used with caution</t>
  </si>
  <si>
    <t>Q3 Refined Answer 1 -Source of weather info</t>
  </si>
  <si>
    <t>Q3 Refined Answer 3 -Device--Apple; Android device; Other or unknown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</si>
</sst>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12"/>
      <color theme="9" tint="-0.49998474074526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0"/>
      <color indexed="81"/>
      <name val="Calibri"/>
      <family val="2"/>
    </font>
    <font>
      <b/>
      <sz val="10"/>
      <color indexed="81"/>
      <name val="Calibri"/>
      <family val="2"/>
    </font>
    <font>
      <sz val="12"/>
      <color theme="0" tint="-0.499984740745262"/>
      <name val="Calibri"/>
      <family val="2"/>
      <scheme val="minor"/>
    </font>
    <font>
      <b/>
      <sz val="12"/>
      <color rgb="FF7030A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</fills>
  <borders count="9">
    <border>
      <left/>
      <right/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</borders>
  <cellStyleXfs count="25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65">
    <xf numFmtId="0" fontId="0" fillId="0" borderId="0" xfId="0"/>
    <xf numFmtId="0" fontId="1" fillId="0" borderId="0" xfId="0" applyFont="1"/>
    <xf numFmtId="0" fontId="0" fillId="0" borderId="0" xfId="0" applyAlignment="1">
      <alignment horizontal="right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2" fillId="0" borderId="0" xfId="0" applyFont="1"/>
    <xf numFmtId="0" fontId="2" fillId="0" borderId="0" xfId="0" applyFont="1" applyAlignment="1">
      <alignment horizontal="right"/>
    </xf>
    <xf numFmtId="0" fontId="0" fillId="2" borderId="0" xfId="0" applyFill="1"/>
    <xf numFmtId="0" fontId="0" fillId="3" borderId="0" xfId="0" applyFill="1"/>
    <xf numFmtId="0" fontId="1" fillId="0" borderId="0" xfId="0" applyFont="1" applyAlignment="1">
      <alignment wrapText="1"/>
    </xf>
    <xf numFmtId="0" fontId="0" fillId="0" borderId="0" xfId="0" applyAlignment="1">
      <alignment wrapText="1"/>
    </xf>
    <xf numFmtId="0" fontId="1" fillId="0" borderId="0" xfId="0" applyFont="1" applyAlignment="1"/>
    <xf numFmtId="0" fontId="0" fillId="4" borderId="0" xfId="0" applyFill="1"/>
    <xf numFmtId="0" fontId="0" fillId="4" borderId="0" xfId="0" applyFill="1" applyAlignment="1">
      <alignment wrapText="1"/>
    </xf>
    <xf numFmtId="0" fontId="3" fillId="4" borderId="0" xfId="0" applyFont="1" applyFill="1"/>
    <xf numFmtId="0" fontId="3" fillId="5" borderId="0" xfId="0" applyFont="1" applyFill="1"/>
    <xf numFmtId="0" fontId="1" fillId="5" borderId="0" xfId="0" applyFont="1" applyFill="1"/>
    <xf numFmtId="0" fontId="0" fillId="5" borderId="0" xfId="0" applyFill="1"/>
    <xf numFmtId="9" fontId="0" fillId="0" borderId="0" xfId="0" applyNumberFormat="1"/>
    <xf numFmtId="9" fontId="0" fillId="4" borderId="0" xfId="0" applyNumberFormat="1" applyFill="1"/>
    <xf numFmtId="9" fontId="0" fillId="2" borderId="0" xfId="0" applyNumberFormat="1" applyFill="1"/>
    <xf numFmtId="9" fontId="3" fillId="5" borderId="0" xfId="0" applyNumberFormat="1" applyFont="1" applyFill="1"/>
    <xf numFmtId="9" fontId="0" fillId="5" borderId="0" xfId="0" applyNumberFormat="1" applyFill="1"/>
    <xf numFmtId="9" fontId="1" fillId="5" borderId="0" xfId="0" applyNumberFormat="1" applyFont="1" applyFill="1"/>
    <xf numFmtId="9" fontId="0" fillId="5" borderId="0" xfId="0" applyNumberFormat="1" applyFont="1" applyFill="1"/>
    <xf numFmtId="9" fontId="0" fillId="0" borderId="0" xfId="0" applyNumberFormat="1" applyFont="1"/>
    <xf numFmtId="9" fontId="5" fillId="0" borderId="0" xfId="0" applyNumberFormat="1" applyFont="1"/>
    <xf numFmtId="9" fontId="0" fillId="0" borderId="0" xfId="0" applyNumberFormat="1" applyFill="1"/>
    <xf numFmtId="9" fontId="0" fillId="6" borderId="0" xfId="0" applyNumberFormat="1" applyFill="1"/>
    <xf numFmtId="0" fontId="0" fillId="7" borderId="0" xfId="0" applyFill="1"/>
    <xf numFmtId="0" fontId="1" fillId="7" borderId="0" xfId="0" applyFont="1" applyFill="1"/>
    <xf numFmtId="0" fontId="0" fillId="0" borderId="0" xfId="0" applyAlignment="1">
      <alignment horizontal="left" indent="1"/>
    </xf>
    <xf numFmtId="0" fontId="0" fillId="0" borderId="0" xfId="0" applyFont="1"/>
    <xf numFmtId="0" fontId="0" fillId="8" borderId="0" xfId="0" applyFill="1"/>
    <xf numFmtId="0" fontId="0" fillId="8" borderId="0" xfId="0" applyFont="1" applyFill="1"/>
    <xf numFmtId="0" fontId="0" fillId="0" borderId="0" xfId="0" applyFill="1"/>
    <xf numFmtId="0" fontId="0" fillId="6" borderId="0" xfId="0" applyFill="1"/>
    <xf numFmtId="0" fontId="0" fillId="10" borderId="0" xfId="0" applyFill="1"/>
    <xf numFmtId="9" fontId="0" fillId="10" borderId="0" xfId="0" applyNumberFormat="1" applyFill="1"/>
    <xf numFmtId="0" fontId="3" fillId="11" borderId="0" xfId="0" applyFont="1" applyFill="1"/>
    <xf numFmtId="0" fontId="0" fillId="11" borderId="0" xfId="0" applyFill="1"/>
    <xf numFmtId="9" fontId="3" fillId="11" borderId="0" xfId="0" applyNumberFormat="1" applyFont="1" applyFill="1"/>
    <xf numFmtId="0" fontId="10" fillId="0" borderId="0" xfId="0" applyFont="1"/>
    <xf numFmtId="0" fontId="3" fillId="6" borderId="0" xfId="0" applyFont="1" applyFill="1"/>
    <xf numFmtId="9" fontId="3" fillId="6" borderId="0" xfId="0" applyNumberFormat="1" applyFont="1" applyFill="1"/>
    <xf numFmtId="0" fontId="11" fillId="0" borderId="0" xfId="0" applyFont="1"/>
    <xf numFmtId="0" fontId="11" fillId="6" borderId="0" xfId="0" applyFont="1" applyFill="1"/>
    <xf numFmtId="9" fontId="11" fillId="6" borderId="0" xfId="0" applyNumberFormat="1" applyFont="1" applyFill="1"/>
    <xf numFmtId="9" fontId="11" fillId="10" borderId="0" xfId="0" applyNumberFormat="1" applyFont="1" applyFill="1"/>
    <xf numFmtId="0" fontId="1" fillId="0" borderId="1" xfId="0" applyFont="1" applyBorder="1"/>
    <xf numFmtId="0" fontId="0" fillId="0" borderId="2" xfId="0" applyBorder="1"/>
    <xf numFmtId="0" fontId="0" fillId="0" borderId="3" xfId="0" applyBorder="1"/>
    <xf numFmtId="0" fontId="1" fillId="0" borderId="4" xfId="0" applyFont="1" applyBorder="1"/>
    <xf numFmtId="9" fontId="1" fillId="0" borderId="0" xfId="0" applyNumberFormat="1" applyFont="1" applyBorder="1"/>
    <xf numFmtId="0" fontId="0" fillId="9" borderId="0" xfId="0" applyFill="1" applyBorder="1"/>
    <xf numFmtId="0" fontId="0" fillId="0" borderId="0" xfId="0" applyBorder="1"/>
    <xf numFmtId="0" fontId="0" fillId="0" borderId="5" xfId="0" applyBorder="1"/>
    <xf numFmtId="0" fontId="0" fillId="0" borderId="4" xfId="0" applyBorder="1"/>
    <xf numFmtId="9" fontId="0" fillId="0" borderId="0" xfId="0" applyNumberFormat="1" applyBorder="1"/>
    <xf numFmtId="0" fontId="1" fillId="0" borderId="6" xfId="0" applyFont="1" applyBorder="1"/>
    <xf numFmtId="0" fontId="0" fillId="0" borderId="7" xfId="0" applyBorder="1"/>
    <xf numFmtId="0" fontId="0" fillId="0" borderId="8" xfId="0" applyBorder="1"/>
    <xf numFmtId="0" fontId="1" fillId="4" borderId="0" xfId="0" applyFont="1" applyFill="1"/>
    <xf numFmtId="0" fontId="4" fillId="0" borderId="0" xfId="0" applyFont="1"/>
  </cellXfs>
  <cellStyles count="25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microsoft.com/office/2007/relationships/slicerCache" Target="slicerCaches/slicerCache1.xml"/><Relationship Id="rId12" Type="http://schemas.microsoft.com/office/2007/relationships/slicerCache" Target="slicerCaches/slicerCache2.xml"/><Relationship Id="rId13" Type="http://schemas.microsoft.com/office/2007/relationships/slicerCache" Target="slicerCaches/slicerCache3.xml"/><Relationship Id="rId14" Type="http://schemas.microsoft.com/office/2007/relationships/slicerCache" Target="slicerCaches/slicerCache4.xml"/><Relationship Id="rId15" Type="http://schemas.openxmlformats.org/officeDocument/2006/relationships/theme" Target="theme/theme1.xml"/><Relationship Id="rId16" Type="http://schemas.openxmlformats.org/officeDocument/2006/relationships/styles" Target="styles.xml"/><Relationship Id="rId17" Type="http://schemas.openxmlformats.org/officeDocument/2006/relationships/sharedStrings" Target="sharedStrings.xml"/><Relationship Id="rId18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pivotCacheDefinition" Target="pivotCache/pivotCacheDefinition1.xml"/><Relationship Id="rId9" Type="http://schemas.openxmlformats.org/officeDocument/2006/relationships/pivotCacheDefinition" Target="pivotCache/pivotCacheDefinition2.xml"/><Relationship Id="rId10" Type="http://schemas.openxmlformats.org/officeDocument/2006/relationships/pivotCacheDefinition" Target="pivotCache/pivotCacheDefinition3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341935817716104"/>
          <c:y val="0.0410458644993571"/>
          <c:w val="0.92018076601323"/>
          <c:h val="0.958954135500643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9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1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2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3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4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5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2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3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4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5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6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7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4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5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6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7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8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9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1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3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5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6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7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8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0.0"/>
                  <c:y val="0.004767580452920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'Q3-various ways to group'!$A$4:$A$102</c:f>
              <c:strCache>
                <c:ptCount val="99"/>
                <c:pt idx="0">
                  <c:v>AccuWeather</c:v>
                </c:pt>
                <c:pt idx="1">
                  <c:v>Weather.com</c:v>
                </c:pt>
                <c:pt idx="2">
                  <c:v>Weatherbug</c:v>
                </c:pt>
                <c:pt idx="3">
                  <c:v>weather bug</c:v>
                </c:pt>
                <c:pt idx="4">
                  <c:v>The Weather Channel app</c:v>
                </c:pt>
                <c:pt idx="5">
                  <c:v>Weather Underground</c:v>
                </c:pt>
                <c:pt idx="6">
                  <c:v>weather channel app</c:v>
                </c:pt>
                <c:pt idx="7">
                  <c:v>Weather channel</c:v>
                </c:pt>
                <c:pt idx="8">
                  <c:v>The Weather Channel</c:v>
                </c:pt>
                <c:pt idx="9">
                  <c:v>intellicast</c:v>
                </c:pt>
                <c:pt idx="10">
                  <c:v>iphone weather app</c:v>
                </c:pt>
                <c:pt idx="11">
                  <c:v>The Weather Channel app on my phone</c:v>
                </c:pt>
                <c:pt idx="12">
                  <c:v>IPhone</c:v>
                </c:pt>
                <c:pt idx="13">
                  <c:v>Iphone app</c:v>
                </c:pt>
                <c:pt idx="14">
                  <c:v>Weather Bug App</c:v>
                </c:pt>
                <c:pt idx="15">
                  <c:v>National Weather Service site</c:v>
                </c:pt>
                <c:pt idx="16">
                  <c:v>weather app</c:v>
                </c:pt>
                <c:pt idx="17">
                  <c:v>yahoo weather</c:v>
                </c:pt>
                <c:pt idx="18">
                  <c:v>DirecTv Weather App</c:v>
                </c:pt>
                <c:pt idx="19">
                  <c:v>Chrome app</c:v>
                </c:pt>
                <c:pt idx="20">
                  <c:v>The Weather Channel for iPhone or iPad </c:v>
                </c:pt>
                <c:pt idx="21">
                  <c:v>GOES West Satalite</c:v>
                </c:pt>
                <c:pt idx="22">
                  <c:v>Weather Puppy</c:v>
                </c:pt>
                <c:pt idx="23">
                  <c:v>google "weather"</c:v>
                </c:pt>
                <c:pt idx="24">
                  <c:v>wunderground.com</c:v>
                </c:pt>
                <c:pt idx="25">
                  <c:v>Google App</c:v>
                </c:pt>
                <c:pt idx="26">
                  <c:v>apple-provided site</c:v>
                </c:pt>
                <c:pt idx="27">
                  <c:v>Google now</c:v>
                </c:pt>
                <c:pt idx="28">
                  <c:v>Weather channel app on my phone and ipad</c:v>
                </c:pt>
                <c:pt idx="29">
                  <c:v>i look outside</c:v>
                </c:pt>
                <c:pt idx="30">
                  <c:v>Weather Underground through HD Widgets</c:v>
                </c:pt>
                <c:pt idx="31">
                  <c:v>1weather</c:v>
                </c:pt>
                <c:pt idx="32">
                  <c:v>weatherbug.com</c:v>
                </c:pt>
                <c:pt idx="33">
                  <c:v>Intellicast (site) &amp; WUnderground (app) </c:v>
                </c:pt>
                <c:pt idx="34">
                  <c:v>FancyClock app on my phone and accuweather.com</c:v>
                </c:pt>
                <c:pt idx="35">
                  <c:v>Intellicast / Storm</c:v>
                </c:pt>
                <c:pt idx="36">
                  <c:v>Via my iPhone builtin app</c:v>
                </c:pt>
                <c:pt idx="37">
                  <c:v>Internet, tv, radio, newspaper</c:v>
                </c:pt>
                <c:pt idx="38">
                  <c:v>basic weather app on my iPhone</c:v>
                </c:pt>
                <c:pt idx="39">
                  <c:v>1 weather</c:v>
                </c:pt>
                <c:pt idx="40">
                  <c:v>Weather Channel app android</c:v>
                </c:pt>
                <c:pt idx="41">
                  <c:v>AccuWeather App</c:v>
                </c:pt>
                <c:pt idx="42">
                  <c:v>Weather Channel.com</c:v>
                </c:pt>
                <c:pt idx="43">
                  <c:v>AccuWeather or Weather Underground</c:v>
                </c:pt>
                <c:pt idx="44">
                  <c:v>Weather Timeline (android)</c:v>
                </c:pt>
                <c:pt idx="45">
                  <c:v>ipod weather </c:v>
                </c:pt>
                <c:pt idx="46">
                  <c:v>desktop icon</c:v>
                </c:pt>
                <c:pt idx="47">
                  <c:v>KCRA online</c:v>
                </c:pt>
                <c:pt idx="48">
                  <c:v>weatherbug on my phone</c:v>
                </c:pt>
                <c:pt idx="49">
                  <c:v>local newspaper online  Weather Bug  NOAH</c:v>
                </c:pt>
                <c:pt idx="50">
                  <c:v>weatherunderground</c:v>
                </c:pt>
                <c:pt idx="51">
                  <c:v>look/feel the weather outside</c:v>
                </c:pt>
                <c:pt idx="52">
                  <c:v>www.weather.gov</c:v>
                </c:pt>
                <c:pt idx="53">
                  <c:v>m.accuweather.com</c:v>
                </c:pt>
                <c:pt idx="54">
                  <c:v>The Weather Channel app on my phone.</c:v>
                </c:pt>
                <c:pt idx="55">
                  <c:v>My husband usually informs me about the next day's weather.</c:v>
                </c:pt>
                <c:pt idx="56">
                  <c:v>The weather channel iPad app</c:v>
                </c:pt>
                <c:pt idx="57">
                  <c:v>my phone has a pre-loaded app</c:v>
                </c:pt>
                <c:pt idx="58">
                  <c:v>Weather &amp; Clock widget</c:v>
                </c:pt>
                <c:pt idx="59">
                  <c:v>myphone</c:v>
                </c:pt>
                <c:pt idx="60">
                  <c:v>weather app on iphone</c:v>
                </c:pt>
                <c:pt idx="61">
                  <c:v>National Weather Service</c:v>
                </c:pt>
                <c:pt idx="62">
                  <c:v>Bing</c:v>
                </c:pt>
                <c:pt idx="63">
                  <c:v>aol</c:v>
                </c:pt>
                <c:pt idx="64">
                  <c:v>Dark Sky</c:v>
                </c:pt>
                <c:pt idx="65">
                  <c:v>nice</c:v>
                </c:pt>
                <c:pt idx="66">
                  <c:v>Weather Channel App in IPhone</c:v>
                </c:pt>
                <c:pt idx="67">
                  <c:v>NOAA and The Weather Channel</c:v>
                </c:pt>
                <c:pt idx="68">
                  <c:v>Weather Channel app on phone</c:v>
                </c:pt>
                <c:pt idx="69">
                  <c:v>NOAA app</c:v>
                </c:pt>
                <c:pt idx="70">
                  <c:v>Weather Kitty</c:v>
                </c:pt>
                <c:pt idx="71">
                  <c:v>noaa.gov</c:v>
                </c:pt>
                <c:pt idx="72">
                  <c:v>Weather Risk</c:v>
                </c:pt>
                <c:pt idx="73">
                  <c:v>Numerous local weather apps</c:v>
                </c:pt>
                <c:pt idx="74">
                  <c:v>Default iPhone app</c:v>
                </c:pt>
                <c:pt idx="75">
                  <c:v>yahoo</c:v>
                </c:pt>
                <c:pt idx="76">
                  <c:v>Weather Underground, also local tv news half the time.</c:v>
                </c:pt>
                <c:pt idx="77">
                  <c:v>yahoo weather app</c:v>
                </c:pt>
                <c:pt idx="78">
                  <c:v>weather.gov</c:v>
                </c:pt>
                <c:pt idx="79">
                  <c:v>Yo Window</c:v>
                </c:pt>
                <c:pt idx="80">
                  <c:v>weatherbug app</c:v>
                </c:pt>
                <c:pt idx="81">
                  <c:v> Weather underground </c:v>
                </c:pt>
                <c:pt idx="82">
                  <c:v>Weatherbug, Storm</c:v>
                </c:pt>
                <c:pt idx="83">
                  <c:v>The one that comes on your iphone</c:v>
                </c:pt>
                <c:pt idx="84">
                  <c:v>weatherforyou.com</c:v>
                </c:pt>
                <c:pt idx="85">
                  <c:v>The weather app on the iPhone </c:v>
                </c:pt>
                <c:pt idx="86">
                  <c:v>Wunderground</c:v>
                </c:pt>
                <c:pt idx="87">
                  <c:v>App on Iphone</c:v>
                </c:pt>
                <c:pt idx="88">
                  <c:v>Www.weather.com</c:v>
                </c:pt>
                <c:pt idx="89">
                  <c:v>the weather channel and local TV kxan</c:v>
                </c:pt>
                <c:pt idx="90">
                  <c:v>www.wunderground.com</c:v>
                </c:pt>
                <c:pt idx="91">
                  <c:v>Apple weater</c:v>
                </c:pt>
                <c:pt idx="92">
                  <c:v>Apple Weather App</c:v>
                </c:pt>
                <c:pt idx="93">
                  <c:v>phone</c:v>
                </c:pt>
                <c:pt idx="94">
                  <c:v>Yahoo weather iphone</c:v>
                </c:pt>
                <c:pt idx="95">
                  <c:v>smart phone</c:v>
                </c:pt>
                <c:pt idx="96">
                  <c:v>yr.no</c:v>
                </c:pt>
                <c:pt idx="97">
                  <c:v>Storm Team 4</c:v>
                </c:pt>
                <c:pt idx="98">
                  <c:v>Talk to my mother.</c:v>
                </c:pt>
              </c:strCache>
            </c:strRef>
          </c:cat>
          <c:val>
            <c:numRef>
              <c:f>'Q3-various ways to group'!$B$4:$B$102</c:f>
              <c:numCache>
                <c:formatCode>General</c:formatCode>
                <c:ptCount val="99"/>
                <c:pt idx="0">
                  <c:v>17.0</c:v>
                </c:pt>
                <c:pt idx="1">
                  <c:v>13.0</c:v>
                </c:pt>
                <c:pt idx="2">
                  <c:v>10.0</c:v>
                </c:pt>
                <c:pt idx="3">
                  <c:v>8.0</c:v>
                </c:pt>
                <c:pt idx="4">
                  <c:v>7.0</c:v>
                </c:pt>
                <c:pt idx="5">
                  <c:v>6.0</c:v>
                </c:pt>
                <c:pt idx="6">
                  <c:v>5.0</c:v>
                </c:pt>
                <c:pt idx="7">
                  <c:v>4.0</c:v>
                </c:pt>
                <c:pt idx="8">
                  <c:v>4.0</c:v>
                </c:pt>
                <c:pt idx="9">
                  <c:v>3.0</c:v>
                </c:pt>
                <c:pt idx="10">
                  <c:v>3.0</c:v>
                </c:pt>
                <c:pt idx="11">
                  <c:v>2.0</c:v>
                </c:pt>
                <c:pt idx="12">
                  <c:v>2.0</c:v>
                </c:pt>
                <c:pt idx="13">
                  <c:v>2.0</c:v>
                </c:pt>
                <c:pt idx="14">
                  <c:v>2.0</c:v>
                </c:pt>
                <c:pt idx="15">
                  <c:v>2.0</c:v>
                </c:pt>
                <c:pt idx="16">
                  <c:v>2.0</c:v>
                </c:pt>
                <c:pt idx="17">
                  <c:v>2.0</c:v>
                </c:pt>
                <c:pt idx="18">
                  <c:v>1.0</c:v>
                </c:pt>
                <c:pt idx="19">
                  <c:v>1.0</c:v>
                </c:pt>
                <c:pt idx="20">
                  <c:v>1.0</c:v>
                </c:pt>
                <c:pt idx="21">
                  <c:v>1.0</c:v>
                </c:pt>
                <c:pt idx="22">
                  <c:v>1.0</c:v>
                </c:pt>
                <c:pt idx="23">
                  <c:v>1.0</c:v>
                </c:pt>
                <c:pt idx="24">
                  <c:v>1.0</c:v>
                </c:pt>
                <c:pt idx="25">
                  <c:v>1.0</c:v>
                </c:pt>
                <c:pt idx="26">
                  <c:v>1.0</c:v>
                </c:pt>
                <c:pt idx="27">
                  <c:v>1.0</c:v>
                </c:pt>
                <c:pt idx="28">
                  <c:v>1.0</c:v>
                </c:pt>
                <c:pt idx="29">
                  <c:v>1.0</c:v>
                </c:pt>
                <c:pt idx="30">
                  <c:v>1.0</c:v>
                </c:pt>
                <c:pt idx="31">
                  <c:v>1.0</c:v>
                </c:pt>
                <c:pt idx="32">
                  <c:v>1.0</c:v>
                </c:pt>
                <c:pt idx="33">
                  <c:v>1.0</c:v>
                </c:pt>
                <c:pt idx="34">
                  <c:v>1.0</c:v>
                </c:pt>
                <c:pt idx="35">
                  <c:v>1.0</c:v>
                </c:pt>
                <c:pt idx="36">
                  <c:v>1.0</c:v>
                </c:pt>
                <c:pt idx="37">
                  <c:v>1.0</c:v>
                </c:pt>
                <c:pt idx="38">
                  <c:v>1.0</c:v>
                </c:pt>
                <c:pt idx="39">
                  <c:v>1.0</c:v>
                </c:pt>
                <c:pt idx="40">
                  <c:v>1.0</c:v>
                </c:pt>
                <c:pt idx="41">
                  <c:v>1.0</c:v>
                </c:pt>
                <c:pt idx="42">
                  <c:v>1.0</c:v>
                </c:pt>
                <c:pt idx="43">
                  <c:v>1.0</c:v>
                </c:pt>
                <c:pt idx="44">
                  <c:v>1.0</c:v>
                </c:pt>
                <c:pt idx="45">
                  <c:v>1.0</c:v>
                </c:pt>
                <c:pt idx="46">
                  <c:v>1.0</c:v>
                </c:pt>
                <c:pt idx="47">
                  <c:v>1.0</c:v>
                </c:pt>
                <c:pt idx="48">
                  <c:v>1.0</c:v>
                </c:pt>
                <c:pt idx="49">
                  <c:v>1.0</c:v>
                </c:pt>
                <c:pt idx="50">
                  <c:v>1.0</c:v>
                </c:pt>
                <c:pt idx="51">
                  <c:v>1.0</c:v>
                </c:pt>
                <c:pt idx="52">
                  <c:v>1.0</c:v>
                </c:pt>
                <c:pt idx="53">
                  <c:v>1.0</c:v>
                </c:pt>
                <c:pt idx="54">
                  <c:v>1.0</c:v>
                </c:pt>
                <c:pt idx="55">
                  <c:v>1.0</c:v>
                </c:pt>
                <c:pt idx="56">
                  <c:v>1.0</c:v>
                </c:pt>
                <c:pt idx="57">
                  <c:v>1.0</c:v>
                </c:pt>
                <c:pt idx="58">
                  <c:v>1.0</c:v>
                </c:pt>
                <c:pt idx="59">
                  <c:v>1.0</c:v>
                </c:pt>
                <c:pt idx="60">
                  <c:v>1.0</c:v>
                </c:pt>
                <c:pt idx="61">
                  <c:v>1.0</c:v>
                </c:pt>
                <c:pt idx="62">
                  <c:v>1.0</c:v>
                </c:pt>
                <c:pt idx="63">
                  <c:v>1.0</c:v>
                </c:pt>
                <c:pt idx="64">
                  <c:v>1.0</c:v>
                </c:pt>
                <c:pt idx="65">
                  <c:v>1.0</c:v>
                </c:pt>
                <c:pt idx="66">
                  <c:v>1.0</c:v>
                </c:pt>
                <c:pt idx="67">
                  <c:v>1.0</c:v>
                </c:pt>
                <c:pt idx="68">
                  <c:v>1.0</c:v>
                </c:pt>
                <c:pt idx="69">
                  <c:v>1.0</c:v>
                </c:pt>
                <c:pt idx="70">
                  <c:v>1.0</c:v>
                </c:pt>
                <c:pt idx="71">
                  <c:v>1.0</c:v>
                </c:pt>
                <c:pt idx="72">
                  <c:v>1.0</c:v>
                </c:pt>
                <c:pt idx="73">
                  <c:v>1.0</c:v>
                </c:pt>
                <c:pt idx="74">
                  <c:v>1.0</c:v>
                </c:pt>
                <c:pt idx="75">
                  <c:v>1.0</c:v>
                </c:pt>
                <c:pt idx="76">
                  <c:v>1.0</c:v>
                </c:pt>
                <c:pt idx="77">
                  <c:v>1.0</c:v>
                </c:pt>
                <c:pt idx="78">
                  <c:v>1.0</c:v>
                </c:pt>
                <c:pt idx="79">
                  <c:v>1.0</c:v>
                </c:pt>
                <c:pt idx="80">
                  <c:v>1.0</c:v>
                </c:pt>
                <c:pt idx="81">
                  <c:v>1.0</c:v>
                </c:pt>
                <c:pt idx="82">
                  <c:v>1.0</c:v>
                </c:pt>
                <c:pt idx="83">
                  <c:v>1.0</c:v>
                </c:pt>
                <c:pt idx="84">
                  <c:v>1.0</c:v>
                </c:pt>
                <c:pt idx="85">
                  <c:v>1.0</c:v>
                </c:pt>
                <c:pt idx="86">
                  <c:v>1.0</c:v>
                </c:pt>
                <c:pt idx="87">
                  <c:v>1.0</c:v>
                </c:pt>
                <c:pt idx="88">
                  <c:v>1.0</c:v>
                </c:pt>
                <c:pt idx="89">
                  <c:v>1.0</c:v>
                </c:pt>
                <c:pt idx="90">
                  <c:v>1.0</c:v>
                </c:pt>
                <c:pt idx="91">
                  <c:v>1.0</c:v>
                </c:pt>
                <c:pt idx="92">
                  <c:v>1.0</c:v>
                </c:pt>
                <c:pt idx="93">
                  <c:v>1.0</c:v>
                </c:pt>
                <c:pt idx="94">
                  <c:v>1.0</c:v>
                </c:pt>
                <c:pt idx="95">
                  <c:v>1.0</c:v>
                </c:pt>
                <c:pt idx="96">
                  <c:v>1.0</c:v>
                </c:pt>
                <c:pt idx="97">
                  <c:v>1.0</c:v>
                </c:pt>
                <c:pt idx="98">
                  <c:v>1.0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341935817716104"/>
          <c:y val="0.0410458644993571"/>
          <c:w val="0.92018076601323"/>
          <c:h val="0.958954135500643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/>
              <c:tx>
                <c:rich>
                  <a:bodyPr/>
                  <a:lstStyle/>
                  <a:p>
                    <a:fld id="{F6E357DF-496A-C040-A6DE-19877036DD03}" type="CATEGORYNAME">
                      <a:rPr lang="en-US" sz="1600"/>
                      <a:pPr/>
                      <a:t>[CATEGORY NAME]</a:t>
                    </a:fld>
                    <a:r>
                      <a:rPr lang="en-US" baseline="0"/>
                      <a:t> </a:t>
                    </a:r>
                    <a:fld id="{91EAE912-C7D4-C24E-A972-FECBDA24221A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82118998542488"/>
                      <c:h val="0.154809160305343"/>
                    </c:manualLayout>
                  </c15:layout>
                  <c15:dlblFieldTable/>
                  <c15:showDataLabelsRange val="0"/>
                </c:ext>
              </c:extLst>
            </c:dLbl>
            <c:dLbl>
              <c:idx val="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24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3300CAEE-CBBE-3B4D-84CA-310C065EB294}" type="CATEGORYNAME">
                      <a:rPr lang="en-US" sz="1600"/>
                      <a:pPr>
                        <a:defRPr sz="2400"/>
                      </a:pPr>
                      <a:t>[CATEGORY NAME]</a:t>
                    </a:fld>
                    <a:endParaRPr lang="en-US" baseline="0"/>
                  </a:p>
                  <a:p>
                    <a:pPr>
                      <a:defRPr sz="2400"/>
                    </a:pPr>
                    <a:r>
                      <a:rPr lang="en-US" baseline="0"/>
                      <a:t> </a:t>
                    </a:r>
                    <a:fld id="{58D1FCD5-3BC3-7A48-9D95-5F5472AFE88C}" type="VALUE">
                      <a:rPr lang="en-US" baseline="0"/>
                      <a:pPr>
                        <a:defRPr sz="2400"/>
                      </a:pPr>
                      <a:t>[VALUE]</a:t>
                    </a:fld>
                    <a:endParaRPr lang="en-US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1314952005589"/>
                      <c:h val="0.140887479713891"/>
                    </c:manualLayout>
                  </c15:layout>
                  <c15:dlblFieldTable/>
                  <c15:showDataLabelsRange val="0"/>
                </c:ext>
              </c:extLst>
            </c:dLbl>
            <c:dLbl>
              <c:idx val="2"/>
              <c:layout/>
              <c:tx>
                <c:rich>
                  <a:bodyPr/>
                  <a:lstStyle/>
                  <a:p>
                    <a:fld id="{55BE905F-669D-8D4D-A907-5D6431406AFB}" type="CATEGORYNAME">
                      <a:rPr lang="en-US" sz="1600"/>
                      <a:pPr/>
                      <a:t>[CATEGORY NAME]</a:t>
                    </a:fld>
                    <a:r>
                      <a:rPr lang="en-US" baseline="0"/>
                      <a:t> </a:t>
                    </a:r>
                    <a:fld id="{50FEB3B3-3513-0946-B269-258EAC5893DC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</c:extLst>
            </c:dLbl>
            <c:dLbl>
              <c:idx val="3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24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1201D54B-C71A-4248-8DC2-CA956071797F}" type="CATEGORYNAME">
                      <a:rPr lang="en-US" sz="1600"/>
                      <a:pPr>
                        <a:defRPr sz="2400"/>
                      </a:pPr>
                      <a:t>[CATEGORY NAME]</a:t>
                    </a:fld>
                    <a:r>
                      <a:rPr lang="en-US" baseline="0"/>
                      <a:t> </a:t>
                    </a:r>
                  </a:p>
                  <a:p>
                    <a:pPr>
                      <a:defRPr sz="2400"/>
                    </a:pPr>
                    <a:fld id="{61A70378-CB42-A943-9C37-7D0AAA4131FB}" type="VALUE">
                      <a:rPr lang="en-US" baseline="0"/>
                      <a:pPr>
                        <a:defRPr sz="2400"/>
                      </a:pPr>
                      <a:t>[VALUE]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84906900328587"/>
                      <c:h val="0.163788243072669"/>
                    </c:manualLayout>
                  </c15:layout>
                  <c15:dlblFieldTable/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'Q3-various ways to group'!$A$115:$A$128</c:f>
              <c:strCache>
                <c:ptCount val="14"/>
                <c:pt idx="0">
                  <c:v>The Weather Channel</c:v>
                </c:pt>
                <c:pt idx="1">
                  <c:v>Weatherbug</c:v>
                </c:pt>
                <c:pt idx="2">
                  <c:v>Yahoo</c:v>
                </c:pt>
                <c:pt idx="3">
                  <c:v>AccuWeather</c:v>
                </c:pt>
                <c:pt idx="4">
                  <c:v>Other or unknown</c:v>
                </c:pt>
                <c:pt idx="5">
                  <c:v>Weather Underground</c:v>
                </c:pt>
                <c:pt idx="6">
                  <c:v>Other search engines</c:v>
                </c:pt>
                <c:pt idx="7">
                  <c:v>Intellicast</c:v>
                </c:pt>
                <c:pt idx="8">
                  <c:v>None</c:v>
                </c:pt>
                <c:pt idx="9">
                  <c:v>National Weather Service</c:v>
                </c:pt>
                <c:pt idx="10">
                  <c:v>Local News</c:v>
                </c:pt>
                <c:pt idx="11">
                  <c:v>Other weather site</c:v>
                </c:pt>
                <c:pt idx="12">
                  <c:v>NOAA</c:v>
                </c:pt>
                <c:pt idx="13">
                  <c:v>1weather</c:v>
                </c:pt>
              </c:strCache>
            </c:strRef>
          </c:cat>
          <c:val>
            <c:numRef>
              <c:f>'Q3-various ways to group'!$B$115:$B$128</c:f>
              <c:numCache>
                <c:formatCode>General</c:formatCode>
                <c:ptCount val="14"/>
                <c:pt idx="0">
                  <c:v>44.0</c:v>
                </c:pt>
                <c:pt idx="1">
                  <c:v>24.0</c:v>
                </c:pt>
                <c:pt idx="2">
                  <c:v>22.0</c:v>
                </c:pt>
                <c:pt idx="3">
                  <c:v>20.0</c:v>
                </c:pt>
                <c:pt idx="4">
                  <c:v>19.0</c:v>
                </c:pt>
                <c:pt idx="5">
                  <c:v>13.0</c:v>
                </c:pt>
                <c:pt idx="6">
                  <c:v>6.0</c:v>
                </c:pt>
                <c:pt idx="7">
                  <c:v>5.0</c:v>
                </c:pt>
                <c:pt idx="8">
                  <c:v>5.0</c:v>
                </c:pt>
                <c:pt idx="9">
                  <c:v>5.0</c:v>
                </c:pt>
                <c:pt idx="10">
                  <c:v>4.0</c:v>
                </c:pt>
                <c:pt idx="11">
                  <c:v>3.0</c:v>
                </c:pt>
                <c:pt idx="12">
                  <c:v>3.0</c:v>
                </c:pt>
                <c:pt idx="13">
                  <c:v>2.0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101600</xdr:colOff>
      <xdr:row>61</xdr:row>
      <xdr:rowOff>38100</xdr:rowOff>
    </xdr:from>
    <xdr:to>
      <xdr:col>0</xdr:col>
      <xdr:colOff>1930400</xdr:colOff>
      <xdr:row>74</xdr:row>
      <xdr:rowOff>15872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2" name="Q5: Age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Q5: Age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1600" y="12433300"/>
              <a:ext cx="1828800" cy="261937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endParaRPr lang="en-US" sz="1100"/>
            </a:p>
          </xdr:txBody>
        </xdr:sp>
      </mc:Fallback>
    </mc:AlternateContent>
    <xdr:clientData/>
  </xdr:twoCellAnchor>
  <xdr:twoCellAnchor editAs="oneCell">
    <xdr:from>
      <xdr:col>1</xdr:col>
      <xdr:colOff>723900</xdr:colOff>
      <xdr:row>61</xdr:row>
      <xdr:rowOff>12700</xdr:rowOff>
    </xdr:from>
    <xdr:to>
      <xdr:col>2</xdr:col>
      <xdr:colOff>1295400</xdr:colOff>
      <xdr:row>73</xdr:row>
      <xdr:rowOff>193672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3" name="US Region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US Region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229100" y="12407900"/>
              <a:ext cx="1828800" cy="261937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endParaRPr lang="en-US" sz="1100"/>
            </a:p>
          </xdr:txBody>
        </xdr:sp>
      </mc:Fallback>
    </mc:AlternateContent>
    <xdr:clientData/>
  </xdr:twoCellAnchor>
  <xdr:twoCellAnchor editAs="oneCell">
    <xdr:from>
      <xdr:col>0</xdr:col>
      <xdr:colOff>2146300</xdr:colOff>
      <xdr:row>61</xdr:row>
      <xdr:rowOff>38100</xdr:rowOff>
    </xdr:from>
    <xdr:to>
      <xdr:col>1</xdr:col>
      <xdr:colOff>469900</xdr:colOff>
      <xdr:row>74</xdr:row>
      <xdr:rowOff>15872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4" name="Q6: What is your gender?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Q6: What is your gender?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46300" y="12433300"/>
              <a:ext cx="1828800" cy="261937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endParaRPr lang="en-US" sz="1100"/>
            </a:p>
          </xdr:txBody>
        </xdr:sp>
      </mc:Fallback>
    </mc:AlternateContent>
    <xdr:clientData/>
  </xdr:twoCellAnchor>
  <xdr:twoCellAnchor editAs="oneCell">
    <xdr:from>
      <xdr:col>3</xdr:col>
      <xdr:colOff>63500</xdr:colOff>
      <xdr:row>60</xdr:row>
      <xdr:rowOff>76200</xdr:rowOff>
    </xdr:from>
    <xdr:to>
      <xdr:col>4</xdr:col>
      <xdr:colOff>635000</xdr:colOff>
      <xdr:row>73</xdr:row>
      <xdr:rowOff>53972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5" name="Q7: How much total combined money did all members of your HOUSEHOLD earn last year?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Q7: How much total combined money did all members of your HOUSEHOLD earn last year?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350000" y="12268200"/>
              <a:ext cx="1828800" cy="261937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endParaRPr lang="en-US" sz="1100"/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482600</xdr:colOff>
      <xdr:row>4</xdr:row>
      <xdr:rowOff>12700</xdr:rowOff>
    </xdr:from>
    <xdr:to>
      <xdr:col>11</xdr:col>
      <xdr:colOff>501650</xdr:colOff>
      <xdr:row>36</xdr:row>
      <xdr:rowOff>165100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112</xdr:row>
      <xdr:rowOff>0</xdr:rowOff>
    </xdr:from>
    <xdr:to>
      <xdr:col>11</xdr:col>
      <xdr:colOff>19050</xdr:colOff>
      <xdr:row>144</xdr:row>
      <xdr:rowOff>152400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482600</xdr:colOff>
      <xdr:row>127</xdr:row>
      <xdr:rowOff>38100</xdr:rowOff>
    </xdr:from>
    <xdr:to>
      <xdr:col>8</xdr:col>
      <xdr:colOff>596900</xdr:colOff>
      <xdr:row>132</xdr:row>
      <xdr:rowOff>139700</xdr:rowOff>
    </xdr:to>
    <xdr:sp macro="" textlink="">
      <xdr:nvSpPr>
        <xdr:cNvPr id="4" name="TextBox 3"/>
        <xdr:cNvSpPr txBox="1"/>
      </xdr:nvSpPr>
      <xdr:spPr>
        <a:xfrm>
          <a:off x="12039600" y="25844500"/>
          <a:ext cx="1765300" cy="1117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000" b="1"/>
            <a:t>175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icrosoft Office User" refreshedDate="43086.026303935185" createdVersion="4" refreshedVersion="4" minRefreshableVersion="3" recordCount="928">
  <cacheSource type="worksheet">
    <worksheetSource ref="A1:M929" sheet="weather-check_no_nulls"/>
  </cacheSource>
  <cacheFields count="13">
    <cacheField name="Record ID" numFmtId="0">
      <sharedItems containsSemiMixedTypes="0" containsString="0" containsNumber="1" containsInteger="1" minValue="1" maxValue="928"/>
    </cacheField>
    <cacheField name="RespondentID" numFmtId="0">
      <sharedItems containsSemiMixedTypes="0" containsString="0" containsNumber="1" containsInteger="1" minValue="3877548893" maxValue="3887201482" count="928">
        <n v="3887201482"/>
        <n v="3887159451"/>
        <n v="3887152228"/>
        <n v="3887145426"/>
        <n v="3887021873"/>
        <n v="3886937140"/>
        <n v="3886923931"/>
        <n v="3886913587"/>
        <n v="3886889048"/>
        <n v="3886848806"/>
        <n v="3886782609"/>
        <n v="3886416355"/>
        <n v="3886356706"/>
        <n v="3886328736"/>
        <n v="3886284495"/>
        <n v="3886283555"/>
        <n v="3886272525"/>
        <n v="3886261814"/>
        <n v="3886258514"/>
        <n v="3886256409"/>
        <n v="3886226091"/>
        <n v="3886201383"/>
        <n v="3886197152"/>
        <n v="3886132282"/>
        <n v="3886121810"/>
        <n v="3886114640"/>
        <n v="3886112493"/>
        <n v="3886110900"/>
        <n v="3886102001"/>
        <n v="3886098922"/>
        <n v="3886095863"/>
        <n v="3886067670"/>
        <n v="3886043003"/>
        <n v="3886040050"/>
        <n v="3886031017"/>
        <n v="3886019381"/>
        <n v="3886018765"/>
        <n v="3886007951"/>
        <n v="3885984891"/>
        <n v="3885983629"/>
        <n v="3885983248"/>
        <n v="3885969840"/>
        <n v="3885965613"/>
        <n v="3885944544"/>
        <n v="3885928568"/>
        <n v="3885927684"/>
        <n v="3885872237"/>
        <n v="3885869392"/>
        <n v="3885838101"/>
        <n v="3885835130"/>
        <n v="3885824482"/>
        <n v="3885821034"/>
        <n v="3885802164"/>
        <n v="3885791607"/>
        <n v="3885773515"/>
        <n v="3885691247"/>
        <n v="3885688258"/>
        <n v="3885687708"/>
        <n v="3885683872"/>
        <n v="3885652370"/>
        <n v="3885637949"/>
        <n v="3885625628"/>
        <n v="3885602270"/>
        <n v="3885570360"/>
        <n v="3885569498"/>
        <n v="3885540601"/>
        <n v="3885539632"/>
        <n v="3885525146"/>
        <n v="3885512170"/>
        <n v="3885497220"/>
        <n v="3885496201"/>
        <n v="3885404319"/>
        <n v="3885304775"/>
        <n v="3885296722"/>
        <n v="3885275206"/>
        <n v="3885247252"/>
        <n v="3885195077"/>
        <n v="3885174420"/>
        <n v="3885164782"/>
        <n v="3885139533"/>
        <n v="3885123066"/>
        <n v="3885040099"/>
        <n v="3885026185"/>
        <n v="3884998535"/>
        <n v="3884960044"/>
        <n v="3884902653"/>
        <n v="3884859930"/>
        <n v="3884813859"/>
        <n v="3884790873"/>
        <n v="3884694722"/>
        <n v="3884500697"/>
        <n v="3883994422"/>
        <n v="3883947693"/>
        <n v="3883852529"/>
        <n v="3883822504"/>
        <n v="3883792972"/>
        <n v="3883744850"/>
        <n v="3883706735"/>
        <n v="3883706220"/>
        <n v="3883591931"/>
        <n v="3883449927"/>
        <n v="3883423513"/>
        <n v="3883400954"/>
        <n v="3883396110"/>
        <n v="3883373140"/>
        <n v="3883347727"/>
        <n v="3883237358"/>
        <n v="3883013307"/>
        <n v="3882981067"/>
        <n v="3882953969"/>
        <n v="3882828486"/>
        <n v="3882734383"/>
        <n v="3882036173"/>
        <n v="3882027944"/>
        <n v="3882024847"/>
        <n v="3881999864"/>
        <n v="3881965206"/>
        <n v="3881590664"/>
        <n v="3881586024"/>
        <n v="3881268852"/>
        <n v="3881207655"/>
        <n v="3881152975"/>
        <n v="3881043805"/>
        <n v="3880998411"/>
        <n v="3880901650"/>
        <n v="3880901309"/>
        <n v="3880839674"/>
        <n v="3880831944"/>
        <n v="3880760866"/>
        <n v="3880684514"/>
        <n v="3880658899"/>
        <n v="3880648847"/>
        <n v="3880644828"/>
        <n v="3880589507"/>
        <n v="3880580324"/>
        <n v="3880574320"/>
        <n v="3880465916"/>
        <n v="3880464921"/>
        <n v="3880459984"/>
        <n v="3880448211"/>
        <n v="3880441785"/>
        <n v="3880438117"/>
        <n v="3880436782"/>
        <n v="3880427365"/>
        <n v="3880377127"/>
        <n v="3880323654"/>
        <n v="3880319089"/>
        <n v="3880303554"/>
        <n v="3880299725"/>
        <n v="3880256330"/>
        <n v="3880230736"/>
        <n v="3880219305"/>
        <n v="3880210450"/>
        <n v="3880208319"/>
        <n v="3880187634"/>
        <n v="3880162442"/>
        <n v="3880131987"/>
        <n v="3880129691"/>
        <n v="3880099657"/>
        <n v="3880086571"/>
        <n v="3880033304"/>
        <n v="3879970050"/>
        <n v="3879946254"/>
        <n v="3879934990"/>
        <n v="3879902865"/>
        <n v="3879887212"/>
        <n v="3879876964"/>
        <n v="3879874372"/>
        <n v="3879823141"/>
        <n v="3879815451"/>
        <n v="3879622928"/>
        <n v="3879622165"/>
        <n v="3879618163"/>
        <n v="3879505742"/>
        <n v="3879492127"/>
        <n v="3879466790"/>
        <n v="3879405493"/>
        <n v="3879399705"/>
        <n v="3879387300"/>
        <n v="3879361333"/>
        <n v="3879332676"/>
        <n v="3879327814"/>
        <n v="3879326602"/>
        <n v="3879325675"/>
        <n v="3879323844"/>
        <n v="3879315853"/>
        <n v="3879274139"/>
        <n v="3879266798"/>
        <n v="3879261981"/>
        <n v="3879258283"/>
        <n v="3879248890"/>
        <n v="3879245036"/>
        <n v="3879210502"/>
        <n v="3879207640"/>
        <n v="3879205854"/>
        <n v="3879196296"/>
        <n v="3879194705"/>
        <n v="3879189511"/>
        <n v="3879186514"/>
        <n v="3879159385"/>
        <n v="3879157578"/>
        <n v="3879152338"/>
        <n v="3879139489"/>
        <n v="3879106766"/>
        <n v="3879102520"/>
        <n v="3879102450"/>
        <n v="3879094933"/>
        <n v="3879090979"/>
        <n v="3879055766"/>
        <n v="3879048742"/>
        <n v="3879043041"/>
        <n v="3879024100"/>
        <n v="3879022427"/>
        <n v="3879018623"/>
        <n v="3879014394"/>
        <n v="3878997264"/>
        <n v="3878995654"/>
        <n v="3878993313"/>
        <n v="3878975679"/>
        <n v="3878973380"/>
        <n v="3878972273"/>
        <n v="3878971737"/>
        <n v="3878964663"/>
        <n v="3878957212"/>
        <n v="3878949789"/>
        <n v="3878945643"/>
        <n v="3878940858"/>
        <n v="3878922314"/>
        <n v="3878908574"/>
        <n v="3878851367"/>
        <n v="3878801345"/>
        <n v="3878776250"/>
        <n v="3878773688"/>
        <n v="3878724412"/>
        <n v="3878675581"/>
        <n v="3878672825"/>
        <n v="3878664404"/>
        <n v="3878664002"/>
        <n v="3878617605"/>
        <n v="3878604937"/>
        <n v="3878604458"/>
        <n v="3878594142"/>
        <n v="3878581130"/>
        <n v="3878580386"/>
        <n v="3878574698"/>
        <n v="3878562127"/>
        <n v="3878555115"/>
        <n v="3878547877"/>
        <n v="3878539231"/>
        <n v="3878537531"/>
        <n v="3878536105"/>
        <n v="3878534855"/>
        <n v="3878533095"/>
        <n v="3878527607"/>
        <n v="3878526543"/>
        <n v="3878522121"/>
        <n v="3878521585"/>
        <n v="3878520921"/>
        <n v="3878517202"/>
        <n v="3878516380"/>
        <n v="3878513419"/>
        <n v="3878510837"/>
        <n v="3878488034"/>
        <n v="3878487715"/>
        <n v="3878487142"/>
        <n v="3878483534"/>
        <n v="3878479362"/>
        <n v="3878466821"/>
        <n v="3878465693"/>
        <n v="3878464503"/>
        <n v="3878462883"/>
        <n v="3878450038"/>
        <n v="3878449625"/>
        <n v="3878445660"/>
        <n v="3878443579"/>
        <n v="3878436241"/>
        <n v="3878436018"/>
        <n v="3878432043"/>
        <n v="3878431247"/>
        <n v="3878426886"/>
        <n v="3878426515"/>
        <n v="3878425988"/>
        <n v="3878424879"/>
        <n v="3878417014"/>
        <n v="3878413474"/>
        <n v="3878409427"/>
        <n v="3878405540"/>
        <n v="3878404884"/>
        <n v="3878404363"/>
        <n v="3878404022"/>
        <n v="3878401700"/>
        <n v="3878398785"/>
        <n v="3878396691"/>
        <n v="3878392986"/>
        <n v="3878388646"/>
        <n v="3878386420"/>
        <n v="3878381396"/>
        <n v="3878370379"/>
        <n v="3878365414"/>
        <n v="3878359420"/>
        <n v="3878352834"/>
        <n v="3878349775"/>
        <n v="3878349239"/>
        <n v="3878348366"/>
        <n v="3878348238"/>
        <n v="3878345997"/>
        <n v="3878345589"/>
        <n v="3878340200"/>
        <n v="3878340018"/>
        <n v="3878339582"/>
        <n v="3878339411"/>
        <n v="3878337550"/>
        <n v="3878336326"/>
        <n v="3878335390"/>
        <n v="3878332804"/>
        <n v="3878331425"/>
        <n v="3878324728"/>
        <n v="3878324500"/>
        <n v="3878319761"/>
        <n v="3878319271"/>
        <n v="3878317738"/>
        <n v="3878317474"/>
        <n v="3878317326"/>
        <n v="3878316445"/>
        <n v="3878315845"/>
        <n v="3878315601"/>
        <n v="3878313074"/>
        <n v="3878312380"/>
        <n v="3878311826"/>
        <n v="3878311562"/>
        <n v="3878310702"/>
        <n v="3878310569"/>
        <n v="3878309530"/>
        <n v="3878302658"/>
        <n v="3878296951"/>
        <n v="3878296336"/>
        <n v="3878295740"/>
        <n v="3878293399"/>
        <n v="3878293163"/>
        <n v="3878291970"/>
        <n v="3878286381"/>
        <n v="3878284921"/>
        <n v="3878284808"/>
        <n v="3878280708"/>
        <n v="3878278676"/>
        <n v="3878278488"/>
        <n v="3878278271"/>
        <n v="3878277161"/>
        <n v="3878275261"/>
        <n v="3878274622"/>
        <n v="3878270558"/>
        <n v="3878270404"/>
        <n v="3878269619"/>
        <n v="3878269540"/>
        <n v="3878268976"/>
        <n v="3878267217"/>
        <n v="3878263834"/>
        <n v="3878263694"/>
        <n v="3878262512"/>
        <n v="3878261302"/>
        <n v="3878259660"/>
        <n v="3878256328"/>
        <n v="3878255469"/>
        <n v="3878255097"/>
        <n v="3878253341"/>
        <n v="3878252826"/>
        <n v="3878251387"/>
        <n v="3878251359"/>
        <n v="3878249188"/>
        <n v="3878248250"/>
        <n v="3878247540"/>
        <n v="3878244194"/>
        <n v="3878243755"/>
        <n v="3878242397"/>
        <n v="3878239927"/>
        <n v="3878238124"/>
        <n v="3878228000"/>
        <n v="3878227923"/>
        <n v="3878226107"/>
        <n v="3878225639"/>
        <n v="3878225361"/>
        <n v="3878224262"/>
        <n v="3878223377"/>
        <n v="3878219443"/>
        <n v="3878215557"/>
        <n v="3878215555"/>
        <n v="3878209275"/>
        <n v="3878209013"/>
        <n v="3878208724"/>
        <n v="3878205297"/>
        <n v="3878204973"/>
        <n v="3878204241"/>
        <n v="3878201710"/>
        <n v="3878198621"/>
        <n v="3878197524"/>
        <n v="3878196162"/>
        <n v="3878194430"/>
        <n v="3878193774"/>
        <n v="3878193623"/>
        <n v="3878192054"/>
        <n v="3878190686"/>
        <n v="3878190060"/>
        <n v="3878189246"/>
        <n v="3878187831"/>
        <n v="3878187206"/>
        <n v="3878177832"/>
        <n v="3878176797"/>
        <n v="3878176285"/>
        <n v="3878175971"/>
        <n v="3878171501"/>
        <n v="3878168802"/>
        <n v="3878166803"/>
        <n v="3878166171"/>
        <n v="3878162896"/>
        <n v="3878162631"/>
        <n v="3878162069"/>
        <n v="3878160615"/>
        <n v="3878160534"/>
        <n v="3878159600"/>
        <n v="3878159123"/>
        <n v="3878158418"/>
        <n v="3878156563"/>
        <n v="3878151947"/>
        <n v="3878147244"/>
        <n v="3878146840"/>
        <n v="3878144950"/>
        <n v="3878139391"/>
        <n v="3878137364"/>
        <n v="3878136673"/>
        <n v="3878129801"/>
        <n v="3878123775"/>
        <n v="3878120046"/>
        <n v="3878118150"/>
        <n v="3878117988"/>
        <n v="3878115959"/>
        <n v="3878114690"/>
        <n v="3878112779"/>
        <n v="3878112712"/>
        <n v="3878111554"/>
        <n v="3878109491"/>
        <n v="3878108075"/>
        <n v="3878104623"/>
        <n v="3878102392"/>
        <n v="3878099445"/>
        <n v="3878099081"/>
        <n v="3878098952"/>
        <n v="3878098258"/>
        <n v="3878096992"/>
        <n v="3878096868"/>
        <n v="3878095559"/>
        <n v="3878094553"/>
        <n v="3878093169"/>
        <n v="3878093010"/>
        <n v="3878089067"/>
        <n v="3878088243"/>
        <n v="3878086902"/>
        <n v="3878086392"/>
        <n v="3878085372"/>
        <n v="3878084501"/>
        <n v="3878078991"/>
        <n v="3878074226"/>
        <n v="3878064767"/>
        <n v="3878064239"/>
        <n v="3878061795"/>
        <n v="3878059916"/>
        <n v="3878059307"/>
        <n v="3878054163"/>
        <n v="3878053524"/>
        <n v="3878052764"/>
        <n v="3878052086"/>
        <n v="3878048164"/>
        <n v="3878044812"/>
        <n v="3878044317"/>
        <n v="3878043927"/>
        <n v="3878043272"/>
        <n v="3878042695"/>
        <n v="3878041562"/>
        <n v="3878040881"/>
        <n v="3878040492"/>
        <n v="3878040326"/>
        <n v="3878038987"/>
        <n v="3878037165"/>
        <n v="3878035259"/>
        <n v="3878035151"/>
        <n v="3878035092"/>
        <n v="3878034412"/>
        <n v="3878033239"/>
        <n v="3878032634"/>
        <n v="3878032607"/>
        <n v="3878032087"/>
        <n v="3878031030"/>
        <n v="3878023139"/>
        <n v="3878020495"/>
        <n v="3878020282"/>
        <n v="3878019960"/>
        <n v="3878019423"/>
        <n v="3878018322"/>
        <n v="3878018310"/>
        <n v="3878016803"/>
        <n v="3878014756"/>
        <n v="3878013956"/>
        <n v="3878012449"/>
        <n v="3878010983"/>
        <n v="3878010950"/>
        <n v="3878010904"/>
        <n v="3878010376"/>
        <n v="3878009694"/>
        <n v="3878009691"/>
        <n v="3878009582"/>
        <n v="3878009488"/>
        <n v="3878008863"/>
        <n v="3878007018"/>
        <n v="3878005790"/>
        <n v="3878001706"/>
        <n v="3877999985"/>
        <n v="3877998847"/>
        <n v="3877998797"/>
        <n v="3877997607"/>
        <n v="3877996677"/>
        <n v="3877995949"/>
        <n v="3877995873"/>
        <n v="3877994295"/>
        <n v="3877993115"/>
        <n v="3877992847"/>
        <n v="3877992331"/>
        <n v="3877991281"/>
        <n v="3877990551"/>
        <n v="3877989849"/>
        <n v="3877989016"/>
        <n v="3877986851"/>
        <n v="3877984798"/>
        <n v="3877983130"/>
        <n v="3877983122"/>
        <n v="3877982615"/>
        <n v="3877982204"/>
        <n v="3877981227"/>
        <n v="3877981098"/>
        <n v="3877980492"/>
        <n v="3877980484"/>
        <n v="3877980051"/>
        <n v="3877977794"/>
        <n v="3877976383"/>
        <n v="3877975104"/>
        <n v="3877973396"/>
        <n v="3877969129"/>
        <n v="3877968802"/>
        <n v="3877966982"/>
        <n v="3877965710"/>
        <n v="3877965544"/>
        <n v="3877961612"/>
        <n v="3877960106"/>
        <n v="3877958234"/>
        <n v="3877957277"/>
        <n v="3877955881"/>
        <n v="3877955839"/>
        <n v="3877955798"/>
        <n v="3877954334"/>
        <n v="3877953647"/>
        <n v="3877950102"/>
        <n v="3877949696"/>
        <n v="3877949284"/>
        <n v="3877948332"/>
        <n v="3877946979"/>
        <n v="3877946354"/>
        <n v="3877945582"/>
        <n v="3877943483"/>
        <n v="3877943300"/>
        <n v="3877942496"/>
        <n v="3877941352"/>
        <n v="3877941272"/>
        <n v="3877941245"/>
        <n v="3877939977"/>
        <n v="3877939933"/>
        <n v="3877939431"/>
        <n v="3877937093"/>
        <n v="3877936279"/>
        <n v="3877934942"/>
        <n v="3877934726"/>
        <n v="3877934192"/>
        <n v="3877934039"/>
        <n v="3877934025"/>
        <n v="3877933879"/>
        <n v="3877933017"/>
        <n v="3877930386"/>
        <n v="3877930133"/>
        <n v="3877926515"/>
        <n v="3877926252"/>
        <n v="3877922131"/>
        <n v="3877921800"/>
        <n v="3877921461"/>
        <n v="3877920147"/>
        <n v="3877919152"/>
        <n v="3877918818"/>
        <n v="3877916763"/>
        <n v="3877914049"/>
        <n v="3877912517"/>
        <n v="3877911586"/>
        <n v="3877906211"/>
        <n v="3877905346"/>
        <n v="3877904337"/>
        <n v="3877903810"/>
        <n v="3877903803"/>
        <n v="3877903037"/>
        <n v="3877902471"/>
        <n v="3877902073"/>
        <n v="3877901837"/>
        <n v="3877897238"/>
        <n v="3877896109"/>
        <n v="3877893918"/>
        <n v="3877893684"/>
        <n v="3877893604"/>
        <n v="3877890420"/>
        <n v="3877890013"/>
        <n v="3877889922"/>
        <n v="3877885176"/>
        <n v="3877885125"/>
        <n v="3877885019"/>
        <n v="3877884613"/>
        <n v="3877884192"/>
        <n v="3877880332"/>
        <n v="3877877032"/>
        <n v="3877874628"/>
        <n v="3877873676"/>
        <n v="3877871653"/>
        <n v="3877871578"/>
        <n v="3877871132"/>
        <n v="3877870133"/>
        <n v="3877870026"/>
        <n v="3877869125"/>
        <n v="3877867553"/>
        <n v="3877865436"/>
        <n v="3877864574"/>
        <n v="3877862817"/>
        <n v="3877862354"/>
        <n v="3877861603"/>
        <n v="3877860767"/>
        <n v="3877860097"/>
        <n v="3877860035"/>
        <n v="3877859415"/>
        <n v="3877857384"/>
        <n v="3877857065"/>
        <n v="3877856635"/>
        <n v="3877856424"/>
        <n v="3877856090"/>
        <n v="3877855838"/>
        <n v="3877854283"/>
        <n v="3877854113"/>
        <n v="3877853409"/>
        <n v="3877851546"/>
        <n v="3877851313"/>
        <n v="3877850546"/>
        <n v="3877849360"/>
        <n v="3877849287"/>
        <n v="3877844428"/>
        <n v="3877840278"/>
        <n v="3877839221"/>
        <n v="3877838876"/>
        <n v="3877838258"/>
        <n v="3877835456"/>
        <n v="3877834333"/>
        <n v="3877833661"/>
        <n v="3877833303"/>
        <n v="3877831288"/>
        <n v="3877829146"/>
        <n v="3877828834"/>
        <n v="3877828401"/>
        <n v="3877828113"/>
        <n v="3877825838"/>
        <n v="3877825768"/>
        <n v="3877825397"/>
        <n v="3877825092"/>
        <n v="3877825091"/>
        <n v="3877823647"/>
        <n v="3877823634"/>
        <n v="3877823022"/>
        <n v="3877822759"/>
        <n v="3877821639"/>
        <n v="3877821152"/>
        <n v="3877820317"/>
        <n v="3877817207"/>
        <n v="3877815508"/>
        <n v="3877813621"/>
        <n v="3877813587"/>
        <n v="3877813322"/>
        <n v="3877812497"/>
        <n v="3877806850"/>
        <n v="3877806666"/>
        <n v="3877804843"/>
        <n v="3877803376"/>
        <n v="3877803055"/>
        <n v="3877800395"/>
        <n v="3877799311"/>
        <n v="3877795231"/>
        <n v="3877794938"/>
        <n v="3877794732"/>
        <n v="3877793419"/>
        <n v="3877792799"/>
        <n v="3877791725"/>
        <n v="3877791459"/>
        <n v="3877791359"/>
        <n v="3877791126"/>
        <n v="3877789580"/>
        <n v="3877789311"/>
        <n v="3877788831"/>
        <n v="3877788097"/>
        <n v="3877785851"/>
        <n v="3877783718"/>
        <n v="3877783251"/>
        <n v="3877781305"/>
        <n v="3877781123"/>
        <n v="3877779376"/>
        <n v="3877778622"/>
        <n v="3877777746"/>
        <n v="3877775605"/>
        <n v="3877775230"/>
        <n v="3877775208"/>
        <n v="3877771309"/>
        <n v="3877771155"/>
        <n v="3877769359"/>
        <n v="3877768869"/>
        <n v="3877767444"/>
        <n v="3877767366"/>
        <n v="3877764882"/>
        <n v="3877762163"/>
        <n v="3877760068"/>
        <n v="3877755586"/>
        <n v="3877755146"/>
        <n v="3877754981"/>
        <n v="3877754345"/>
        <n v="3877754281"/>
        <n v="3877752751"/>
        <n v="3877751637"/>
        <n v="3877750962"/>
        <n v="3877750724"/>
        <n v="3877748205"/>
        <n v="3877747724"/>
        <n v="3877746061"/>
        <n v="3877744514"/>
        <n v="3877744055"/>
        <n v="3877743862"/>
        <n v="3877741292"/>
        <n v="3877740013"/>
        <n v="3877739642"/>
        <n v="3877739070"/>
        <n v="3877737885"/>
        <n v="3877735171"/>
        <n v="3877732662"/>
        <n v="3877732160"/>
        <n v="3877731939"/>
        <n v="3877729075"/>
        <n v="3877728804"/>
        <n v="3877728487"/>
        <n v="3877728042"/>
        <n v="3877727777"/>
        <n v="3877726824"/>
        <n v="3877724934"/>
        <n v="3877723968"/>
        <n v="3877723964"/>
        <n v="3877723322"/>
        <n v="3877722749"/>
        <n v="3877721796"/>
        <n v="3877721262"/>
        <n v="3877720994"/>
        <n v="3877720618"/>
        <n v="3877719327"/>
        <n v="3877715614"/>
        <n v="3877714285"/>
        <n v="3877713514"/>
        <n v="3877710759"/>
        <n v="3877709429"/>
        <n v="3877709396"/>
        <n v="3877709203"/>
        <n v="3877705805"/>
        <n v="3877705747"/>
        <n v="3877705621"/>
        <n v="3877705489"/>
        <n v="3877705171"/>
        <n v="3877705053"/>
        <n v="3877703334"/>
        <n v="3877702652"/>
        <n v="3877699575"/>
        <n v="3877698507"/>
        <n v="3877696556"/>
        <n v="3877694816"/>
        <n v="3877693629"/>
        <n v="3877693173"/>
        <n v="3877691632"/>
        <n v="3877689877"/>
        <n v="3877689618"/>
        <n v="3877689598"/>
        <n v="3877688523"/>
        <n v="3877686918"/>
        <n v="3877686413"/>
        <n v="3877685833"/>
        <n v="3877685611"/>
        <n v="3877685103"/>
        <n v="3877684867"/>
        <n v="3877682778"/>
        <n v="3877682733"/>
        <n v="3877679711"/>
        <n v="3877679528"/>
        <n v="3877675285"/>
        <n v="3877674431"/>
        <n v="3877673406"/>
        <n v="3877673386"/>
        <n v="3877671160"/>
        <n v="3877668804"/>
        <n v="3877668573"/>
        <n v="3877668518"/>
        <n v="3877668411"/>
        <n v="3877666795"/>
        <n v="3877666179"/>
        <n v="3877665489"/>
        <n v="3877661347"/>
        <n v="3877660370"/>
        <n v="3877660042"/>
        <n v="3877656203"/>
        <n v="3877654524"/>
        <n v="3877654523"/>
        <n v="3877653871"/>
        <n v="3877653260"/>
        <n v="3877652718"/>
        <n v="3877652362"/>
        <n v="3877651261"/>
        <n v="3877650432"/>
        <n v="3877649523"/>
        <n v="3877649260"/>
        <n v="3877648807"/>
        <n v="3877648261"/>
        <n v="3877648193"/>
        <n v="3877647762"/>
        <n v="3877647733"/>
        <n v="3877647589"/>
        <n v="3877647198"/>
        <n v="3877646688"/>
        <n v="3877646493"/>
        <n v="3877646443"/>
        <n v="3877644027"/>
        <n v="3877642069"/>
        <n v="3877640956"/>
        <n v="3877640569"/>
        <n v="3877640059"/>
        <n v="3877639651"/>
        <n v="3877639599"/>
        <n v="3877639207"/>
        <n v="3877638685"/>
        <n v="3877638200"/>
        <n v="3877637740"/>
        <n v="3877637463"/>
        <n v="3877637448"/>
        <n v="3877637119"/>
        <n v="3877635198"/>
        <n v="3877635161"/>
        <n v="3877633592"/>
        <n v="3877633421"/>
        <n v="3877632920"/>
        <n v="3877632727"/>
        <n v="3877631626"/>
        <n v="3877630928"/>
        <n v="3877627989"/>
        <n v="3877627031"/>
        <n v="3877626831"/>
        <n v="3877626301"/>
        <n v="3877625001"/>
        <n v="3877624927"/>
        <n v="3877623695"/>
        <n v="3877623020"/>
        <n v="3877622336"/>
        <n v="3877622039"/>
        <n v="3877621290"/>
        <n v="3877620916"/>
        <n v="3877620216"/>
        <n v="3877619244"/>
        <n v="3877618703"/>
        <n v="3877617187"/>
        <n v="3877617097"/>
        <n v="3877615523"/>
        <n v="3877614060"/>
        <n v="3877613803"/>
        <n v="3877613602"/>
        <n v="3877612849"/>
        <n v="3877612172"/>
        <n v="3877611589"/>
        <n v="3877611244"/>
        <n v="3877608503"/>
        <n v="3877608111"/>
        <n v="3877607322"/>
        <n v="3877606832"/>
        <n v="3877606205"/>
        <n v="3877606053"/>
        <n v="3877605415"/>
        <n v="3877605085"/>
        <n v="3877604945"/>
        <n v="3877604719"/>
        <n v="3877603245"/>
        <n v="3877602149"/>
        <n v="3877602108"/>
        <n v="3877601790"/>
        <n v="3877600406"/>
        <n v="3877599363"/>
        <n v="3877599184"/>
        <n v="3877598945"/>
        <n v="3877598520"/>
        <n v="3877595167"/>
        <n v="3877594682"/>
        <n v="3877592670"/>
        <n v="3877591670"/>
        <n v="3877591495"/>
        <n v="3877591297"/>
        <n v="3877586222"/>
        <n v="3877585955"/>
        <n v="3877584768"/>
        <n v="3877584496"/>
        <n v="3877580938"/>
        <n v="3877579781"/>
        <n v="3877579062"/>
        <n v="3877576778"/>
        <n v="3877573011"/>
        <n v="3877572488"/>
        <n v="3877572480"/>
        <n v="3877571848"/>
        <n v="3877568315"/>
        <n v="3877568116"/>
        <n v="3877568054"/>
        <n v="3877568053"/>
        <n v="3877566926"/>
        <n v="3877551536"/>
        <n v="3877548893"/>
      </sharedItems>
    </cacheField>
    <cacheField name="Q1: Do you typically check a daily weather report?" numFmtId="0">
      <sharedItems count="2">
        <s v="Yes"/>
        <s v="No"/>
      </sharedItems>
    </cacheField>
    <cacheField name="Q2: How do you typically check the weather?" numFmtId="0">
      <sharedItems count="9">
        <s v="The default weather app on your phone"/>
        <s v="A specific website or app (please provide the answer)"/>
        <s v="The Weather Channel"/>
        <s v="No answer provided"/>
        <s v="Internet search"/>
        <s v="Local TV News"/>
        <s v="Newspaper"/>
        <s v="Radio weather"/>
        <s v="Newsletter"/>
      </sharedItems>
    </cacheField>
    <cacheField name="Q3: A specific website or app (please provide the answer)" numFmtId="0">
      <sharedItems count="100">
        <s v="No answer provided"/>
        <s v="Iphone app"/>
        <s v="AccuWeather App"/>
        <s v="nice"/>
        <s v="Weather.com"/>
        <s v="Weatherbug"/>
        <s v="weather channel app"/>
        <s v="Yahoo weather iphone"/>
        <s v="Weather Puppy"/>
        <s v="AccuWeather"/>
        <s v="Apple weater"/>
        <s v="The Weather Channel app"/>
        <s v="google &quot;weather&quot;"/>
        <s v="Weather Underground"/>
        <s v="Weather Timeline (android)"/>
        <s v="1 weather"/>
        <s v="Weather Underground, also local tv news half the time."/>
        <s v="weatherbug app"/>
        <s v="weather bug"/>
        <s v="FancyClock app on my phone and accuweather.com"/>
        <s v="GOES West Satalite"/>
        <s v="Intellicast / Storm"/>
        <s v="ipod weather "/>
        <s v="weatherbug.com"/>
        <s v="iphone weather app"/>
        <s v="www.wunderground.com"/>
        <s v="The Weather Channel"/>
        <s v="noaa.gov"/>
        <s v="1weather"/>
        <s v="yahoo"/>
        <s v="Weather Bug App"/>
        <s v="Yo Window"/>
        <s v="Dark Sky"/>
        <s v="aol"/>
        <s v="NOAA and The Weather Channel"/>
        <s v="Weather Kitty"/>
        <s v="Internet, tv, radio, newspaper"/>
        <s v="App on Iphone"/>
        <s v="yr.no"/>
        <s v="weatherunderground"/>
        <s v="wunderground.com"/>
        <s v="intellicast"/>
        <s v="Weather Risk"/>
        <s v="local newspaper online  Weather Bug  NOAH"/>
        <s v="AccuWeather or Weather Underground"/>
        <s v="Weatherbug, Storm"/>
        <s v="look/feel the weather outside"/>
        <s v="appleNo answer providedprovided site"/>
        <s v="Weather channel app on my phone and ipad"/>
        <s v="Numerous local weather apps"/>
        <s v="The Weather Channel app on my phone"/>
        <s v="Storm Team 4"/>
        <s v="KCRA online"/>
        <s v="yahoo weather"/>
        <s v="weatherbug on my phone"/>
        <s v="Weather Channel.com"/>
        <s v="Weather Channel app on phone"/>
        <s v=" Weather underground "/>
        <s v="IPhone"/>
        <s v="Weather Channel app android"/>
        <s v="NOAA app"/>
        <s v="Via my iPhone builtin app"/>
        <s v="weatherforyou.com"/>
        <s v="Weather Underground through HD Widgets"/>
        <s v="weather app"/>
        <s v="National Weather Service site"/>
        <s v="Weather channel"/>
        <s v="The Weather Channel for iPhone or iPad "/>
        <s v="m.accuweather.com"/>
        <s v="National Weather Service"/>
        <s v="Google App"/>
        <s v="The Weather Channel app on my phone."/>
        <s v="DirecTv Weather App"/>
        <s v="smart phone"/>
        <s v="basic weather app on my iPhone"/>
        <s v="phone"/>
        <s v="Bing"/>
        <s v="Talk to my mother."/>
        <s v="i look outside"/>
        <s v="Weather Channel App in IPhone"/>
        <s v="The weather app on the iPhone "/>
        <s v="The weather channel iPad app"/>
        <s v="My husband usually informs me about the next day's weather."/>
        <s v="Default iPhone app"/>
        <s v="Google now"/>
        <s v="Chrome app"/>
        <s v="Apple Weather App"/>
        <s v="desktop icon"/>
        <s v="The one that comes on your iphone"/>
        <s v="the weather channel and local TV kxan"/>
        <s v="Wunderground"/>
        <s v="Intellicast (site) &amp; WUnderground (app) "/>
        <s v="myphone"/>
        <s v="weather.gov"/>
        <s v="my phone has a preNo answer providedloaded app"/>
        <s v="www.weather.gov"/>
        <s v="Weather &amp; Clock widget"/>
        <s v="yahoo weather app"/>
        <s v="Www.weather.com"/>
        <s v="weather app on iphone"/>
      </sharedItems>
    </cacheField>
    <cacheField name="Q4: If you had a smartwatch (like the soon to be released Apple Watch), how likely or unlikely would you be to check the weather on that device?" numFmtId="0">
      <sharedItems/>
    </cacheField>
    <cacheField name="Q4: Ranking" numFmtId="0">
      <sharedItems containsMixedTypes="1" containsNumber="1" containsInteger="1" minValue="1" maxValue="4"/>
    </cacheField>
    <cacheField name="Q5: Age" numFmtId="0">
      <sharedItems count="5">
        <s v="30-44"/>
        <s v="18-29"/>
        <s v="No answer provided"/>
        <s v="45-59"/>
        <s v="60+"/>
      </sharedItems>
    </cacheField>
    <cacheField name="Q5: Age Category" numFmtId="0">
      <sharedItems containsMixedTypes="1" containsNumber="1" containsInteger="1" minValue="1" maxValue="4"/>
    </cacheField>
    <cacheField name="Q6: What is your gender?" numFmtId="0">
      <sharedItems count="3">
        <s v="Male"/>
        <s v="No answer provided"/>
        <s v="Female"/>
      </sharedItems>
    </cacheField>
    <cacheField name="Q7: How much total combined money did all members of your HOUSEHOLD earn last year?" numFmtId="0">
      <sharedItems count="12">
        <s v="$50,000 to $74,999"/>
        <s v="Prefer not to answer"/>
        <s v="$100,000 to $124,999"/>
        <s v="$150,000 to $174,999"/>
        <s v="$25,000 to $49,999"/>
        <s v="No answer provided"/>
        <s v="$0 to $9,999"/>
        <s v="$10,000 to $24,999"/>
        <s v="$75,000 to $99,999"/>
        <s v="$200,000 and up"/>
        <s v="$175,000 to $199,999"/>
        <s v="$125,000 to $149,999"/>
      </sharedItems>
    </cacheField>
    <cacheField name="Q7: Income Range Category" numFmtId="0">
      <sharedItems containsMixedTypes="1" containsNumber="1" containsInteger="1" minValue="1" maxValue="11"/>
    </cacheField>
    <cacheField name="US Region" numFmtId="0">
      <sharedItems count="10">
        <s v="South Atlantic"/>
        <s v="No answer provided"/>
        <s v="Middle Atlantic"/>
        <s v="West South Central"/>
        <s v="Pacific"/>
        <s v="West North Central"/>
        <s v="East North Central"/>
        <s v="Mountain"/>
        <s v="New England"/>
        <s v="East South Central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Microsoft Office User" refreshedDate="43086.08534351852" createdVersion="4" refreshedVersion="4" minRefreshableVersion="3" recordCount="928">
  <cacheSource type="worksheet">
    <worksheetSource ref="A1:N929" sheet="weather-check_no_nulls"/>
  </cacheSource>
  <cacheFields count="14">
    <cacheField name="Record ID" numFmtId="0">
      <sharedItems containsSemiMixedTypes="0" containsString="0" containsNumber="1" containsInteger="1" minValue="1" maxValue="928"/>
    </cacheField>
    <cacheField name="RespondentID" numFmtId="0">
      <sharedItems containsSemiMixedTypes="0" containsString="0" containsNumber="1" containsInteger="1" minValue="3877548893" maxValue="3887201482"/>
    </cacheField>
    <cacheField name="Q1: Do you typically check a daily weather report?" numFmtId="0">
      <sharedItems count="2">
        <s v="Yes"/>
        <s v="No"/>
      </sharedItems>
    </cacheField>
    <cacheField name="Q2: How do you typically check the weather?" numFmtId="0">
      <sharedItems count="9">
        <s v="The default weather app on your phone"/>
        <s v="A specific website or app (please provide the answer)"/>
        <s v="The Weather Channel"/>
        <s v="No answer provided"/>
        <s v="Internet search"/>
        <s v="Local TV News"/>
        <s v="Newspaper"/>
        <s v="Radio weather"/>
        <s v="Newsletter"/>
      </sharedItems>
    </cacheField>
    <cacheField name="Q3: A specific website or app (please provide the answer)" numFmtId="0">
      <sharedItems/>
    </cacheField>
    <cacheField name="Q4: If you had a smartwatch (like the soon to be released Apple Watch), how likely or unlikely would you be to check the weather on that device?" numFmtId="0">
      <sharedItems/>
    </cacheField>
    <cacheField name="Q4: Ranking" numFmtId="0">
      <sharedItems containsMixedTypes="1" containsNumber="1" containsInteger="1" minValue="1" maxValue="4"/>
    </cacheField>
    <cacheField name="Q5: Age" numFmtId="0">
      <sharedItems count="5">
        <s v="30-44"/>
        <s v="18-29"/>
        <s v="No answer provided"/>
        <s v="45-59"/>
        <s v="60+"/>
      </sharedItems>
    </cacheField>
    <cacheField name="Q5: Age Category" numFmtId="0">
      <sharedItems containsMixedTypes="1" containsNumber="1" containsInteger="1" minValue="1" maxValue="4"/>
    </cacheField>
    <cacheField name="Q6: What is your gender?" numFmtId="0">
      <sharedItems count="3">
        <s v="Male"/>
        <s v="No answer provided"/>
        <s v="Female"/>
      </sharedItems>
    </cacheField>
    <cacheField name="Q7: How much total combined money did all members of your HOUSEHOLD earn last year?" numFmtId="0">
      <sharedItems count="12">
        <s v="$50,000 to $74,999"/>
        <s v="Prefer not to answer"/>
        <s v="$100,000 to $124,999"/>
        <s v="$150,000 to $174,999"/>
        <s v="$25,000 to $49,999"/>
        <s v="No answer provided"/>
        <s v="$0 to $9,999"/>
        <s v="$10,000 to $24,999"/>
        <s v="$75,000 to $99,999"/>
        <s v="$200,000 and up"/>
        <s v="$175,000 to $199,999"/>
        <s v="$125,000 to $149,999"/>
      </sharedItems>
    </cacheField>
    <cacheField name="Q7: Income Range Category" numFmtId="0">
      <sharedItems containsMixedTypes="1" containsNumber="1" containsInteger="1" minValue="1" maxValue="11"/>
    </cacheField>
    <cacheField name="US Region" numFmtId="0">
      <sharedItems count="10">
        <s v="South Atlantic"/>
        <s v="No answer provided"/>
        <s v="Middle Atlantic"/>
        <s v="West South Central"/>
        <s v="Pacific"/>
        <s v="West North Central"/>
        <s v="East North Central"/>
        <s v="Mountain"/>
        <s v="New England"/>
        <s v="East South Central"/>
      </sharedItems>
    </cacheField>
    <cacheField name="Q3 Refined Answer" numFmtId="0">
      <sharedItems count="21">
        <s v="No answer provided"/>
        <s v="Apple Weather App"/>
        <s v="AccuWeather"/>
        <s v="Android App"/>
        <s v="The Weather Channel"/>
        <s v="Weatherbug"/>
        <s v="yahoo weather"/>
        <s v="Google"/>
        <s v="Weather Underground"/>
        <s v="Other or unspecified weather app"/>
        <s v="Other internet site"/>
        <s v="Intellicast"/>
        <s v="NOAA"/>
        <s v="None"/>
        <s v="Other search engines"/>
        <s v="Other weather site"/>
        <s v="Local News"/>
        <s v="On phone uspecified"/>
        <s v="On phone uspecified app"/>
        <s v="National Weather Service"/>
        <e v="#N/A" u="1"/>
      </sharedItems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Microsoft Office User" refreshedDate="43086.834340046298" createdVersion="4" refreshedVersion="4" minRefreshableVersion="3" recordCount="99">
  <cacheSource type="worksheet">
    <worksheetSource ref="L1:P100" sheet="mappings"/>
  </cacheSource>
  <cacheFields count="5">
    <cacheField name="Q3: A specific website or app (please provide the answer)" numFmtId="0">
      <sharedItems count="99">
        <s v=" Weather underground "/>
        <s v="1 weather"/>
        <s v="1weather"/>
        <s v="AccuWeather"/>
        <s v="AccuWeather App"/>
        <s v="AccuWeather or Weather Underground"/>
        <s v="aol"/>
        <s v="App on Iphone"/>
        <s v="Apple weater"/>
        <s v="Apple Weather App"/>
        <s v="apple-provided site"/>
        <s v="basic weather app on my iPhone"/>
        <s v="Bing"/>
        <s v="Chrome app"/>
        <s v="Dark Sky"/>
        <s v="Default iPhone app"/>
        <s v="desktop icon"/>
        <s v="DirecTv Weather App"/>
        <s v="FancyClock app on my phone and accuweather.com"/>
        <s v="GOES West Satalite"/>
        <s v="google &quot;weather&quot;"/>
        <s v="Google App"/>
        <s v="Google now"/>
        <s v="i look outside"/>
        <s v="intellicast"/>
        <s v="Intellicast (site) &amp; WUnderground (app) "/>
        <s v="Intellicast / Storm"/>
        <s v="Internet, tv, radio, newspaper"/>
        <s v="IPhone"/>
        <s v="Iphone app"/>
        <s v="iphone weather app"/>
        <s v="ipod weather "/>
        <s v="KCRA online"/>
        <s v="local newspaper online  Weather Bug  NOAH"/>
        <s v="look/feel the weather outside"/>
        <s v="m.accuweather.com"/>
        <s v="My husband usually informs me about the next day's weather."/>
        <s v="my phone has a pre-loaded app"/>
        <s v="myphone"/>
        <s v="National Weather Service"/>
        <s v="National Weather Service site"/>
        <s v="nice"/>
        <s v="NOAA and The Weather Channel"/>
        <s v="NOAA app"/>
        <s v="noaa.gov"/>
        <s v="Numerous local weather apps"/>
        <s v="phone"/>
        <s v="smart phone"/>
        <s v="Storm Team 4"/>
        <s v="Talk to my mother."/>
        <s v="The one that comes on your iphone"/>
        <s v="The weather app on the iPhone "/>
        <s v="The Weather Channel"/>
        <s v="the weather channel and local TV kxan"/>
        <s v="The Weather Channel app"/>
        <s v="The Weather Channel app on my phone"/>
        <s v="The Weather Channel app on my phone."/>
        <s v="The Weather Channel for iPhone or iPad "/>
        <s v="The weather channel iPad app"/>
        <s v="Via my iPhone builtin app"/>
        <s v="Weather &amp; Clock widget"/>
        <s v="weather app"/>
        <s v="weather app on iphone"/>
        <s v="weather bug"/>
        <s v="Weather Bug App"/>
        <s v="Weather channel"/>
        <s v="weather channel app"/>
        <s v="Weather Channel app android"/>
        <s v="Weather Channel App in IPhone"/>
        <s v="Weather channel app on my phone and ipad"/>
        <s v="Weather Channel app on phone"/>
        <s v="Weather Channel.com"/>
        <s v="Weather Kitty"/>
        <s v="Weather Puppy"/>
        <s v="Weather Risk"/>
        <s v="Weather Timeline (android)"/>
        <s v="Weather Underground"/>
        <s v="Weather Underground through HD Widgets"/>
        <s v="Weather Underground, also local tv news half the time."/>
        <s v="Weather.com"/>
        <s v="weather.gov"/>
        <s v="Weatherbug"/>
        <s v="weatherbug app"/>
        <s v="weatherbug on my phone"/>
        <s v="Weatherbug, Storm"/>
        <s v="weatherbug.com"/>
        <s v="weatherforyou.com"/>
        <s v="weatherunderground"/>
        <s v="Wunderground"/>
        <s v="wunderground.com"/>
        <s v="Www.weather.com"/>
        <s v="www.weather.gov"/>
        <s v="www.wunderground.com"/>
        <s v="yahoo"/>
        <s v="yahoo weather"/>
        <s v="yahoo weather app"/>
        <s v="Yahoo weather iphone"/>
        <s v="Yo Window"/>
        <s v="yr.no"/>
      </sharedItems>
    </cacheField>
    <cacheField name="Main Source" numFmtId="0">
      <sharedItems count="14">
        <s v="Weather Underground"/>
        <s v="1weather"/>
        <s v="AccuWeather"/>
        <s v="Other search engines"/>
        <s v="Yahoo"/>
        <s v="None"/>
        <s v="Other or unknown"/>
        <s v="Intellicast"/>
        <s v="Local News"/>
        <s v="National Weather Service"/>
        <s v="NOAA"/>
        <s v="The Weather Channel"/>
        <s v="Weatherbug"/>
        <s v="Other weather site"/>
      </sharedItems>
    </cacheField>
    <cacheField name="Website, Web Search or App" numFmtId="0">
      <sharedItems count="4">
        <s v="Website"/>
        <s v="App"/>
        <s v="Web Search"/>
        <s v="None"/>
      </sharedItems>
    </cacheField>
    <cacheField name="Device--Apple; Android device; Other or unknown" numFmtId="0">
      <sharedItems count="3">
        <s v="Other or unkown"/>
        <s v="Android"/>
        <s v="Apple"/>
      </sharedItems>
    </cacheField>
    <cacheField name="Count" numFmtId="0">
      <sharedItems containsSemiMixedTypes="0" containsString="0" containsNumber="1" containsInteger="1" minValue="1" maxValue="1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28">
  <r>
    <n v="1"/>
    <x v="0"/>
    <x v="0"/>
    <x v="0"/>
    <x v="0"/>
    <s v="Very likely"/>
    <n v="4"/>
    <x v="0"/>
    <n v="2"/>
    <x v="0"/>
    <x v="0"/>
    <n v="4"/>
    <x v="0"/>
  </r>
  <r>
    <n v="2"/>
    <x v="1"/>
    <x v="0"/>
    <x v="0"/>
    <x v="0"/>
    <s v="Very likely"/>
    <n v="4"/>
    <x v="1"/>
    <n v="1"/>
    <x v="0"/>
    <x v="1"/>
    <n v="11"/>
    <x v="1"/>
  </r>
  <r>
    <n v="3"/>
    <x v="2"/>
    <x v="0"/>
    <x v="0"/>
    <x v="0"/>
    <s v="Very likely"/>
    <n v="4"/>
    <x v="0"/>
    <n v="2"/>
    <x v="0"/>
    <x v="2"/>
    <n v="6"/>
    <x v="2"/>
  </r>
  <r>
    <n v="4"/>
    <x v="3"/>
    <x v="0"/>
    <x v="0"/>
    <x v="0"/>
    <s v="Somewhat likely"/>
    <n v="3"/>
    <x v="0"/>
    <n v="2"/>
    <x v="0"/>
    <x v="1"/>
    <n v="11"/>
    <x v="1"/>
  </r>
  <r>
    <n v="5"/>
    <x v="4"/>
    <x v="0"/>
    <x v="1"/>
    <x v="1"/>
    <s v="Very likely"/>
    <n v="4"/>
    <x v="0"/>
    <n v="2"/>
    <x v="0"/>
    <x v="3"/>
    <n v="8"/>
    <x v="2"/>
  </r>
  <r>
    <n v="6"/>
    <x v="5"/>
    <x v="0"/>
    <x v="1"/>
    <x v="2"/>
    <s v="Somewhat likely"/>
    <n v="3"/>
    <x v="1"/>
    <n v="1"/>
    <x v="0"/>
    <x v="2"/>
    <n v="6"/>
    <x v="3"/>
  </r>
  <r>
    <n v="7"/>
    <x v="6"/>
    <x v="0"/>
    <x v="2"/>
    <x v="0"/>
    <s v="Very unlikely"/>
    <n v="1"/>
    <x v="0"/>
    <n v="2"/>
    <x v="0"/>
    <x v="4"/>
    <n v="3"/>
    <x v="3"/>
  </r>
  <r>
    <n v="8"/>
    <x v="7"/>
    <x v="0"/>
    <x v="3"/>
    <x v="0"/>
    <s v="No answer provided"/>
    <s v="na"/>
    <x v="2"/>
    <s v="na"/>
    <x v="1"/>
    <x v="5"/>
    <s v="na"/>
    <x v="1"/>
  </r>
  <r>
    <n v="9"/>
    <x v="8"/>
    <x v="0"/>
    <x v="2"/>
    <x v="0"/>
    <s v="Very likely"/>
    <n v="4"/>
    <x v="0"/>
    <n v="2"/>
    <x v="0"/>
    <x v="1"/>
    <n v="11"/>
    <x v="4"/>
  </r>
  <r>
    <n v="10"/>
    <x v="9"/>
    <x v="0"/>
    <x v="0"/>
    <x v="0"/>
    <s v="Very likely"/>
    <n v="4"/>
    <x v="0"/>
    <n v="2"/>
    <x v="0"/>
    <x v="3"/>
    <n v="8"/>
    <x v="5"/>
  </r>
  <r>
    <n v="11"/>
    <x v="10"/>
    <x v="1"/>
    <x v="4"/>
    <x v="0"/>
    <s v="Somewhat unlikely"/>
    <n v="2"/>
    <x v="1"/>
    <n v="1"/>
    <x v="0"/>
    <x v="6"/>
    <n v="1"/>
    <x v="4"/>
  </r>
  <r>
    <n v="12"/>
    <x v="11"/>
    <x v="1"/>
    <x v="0"/>
    <x v="0"/>
    <s v="Somewhat likely"/>
    <n v="3"/>
    <x v="0"/>
    <n v="2"/>
    <x v="0"/>
    <x v="2"/>
    <n v="6"/>
    <x v="6"/>
  </r>
  <r>
    <n v="13"/>
    <x v="12"/>
    <x v="1"/>
    <x v="3"/>
    <x v="0"/>
    <s v="No answer provided"/>
    <s v="na"/>
    <x v="2"/>
    <s v="na"/>
    <x v="1"/>
    <x v="5"/>
    <s v="na"/>
    <x v="1"/>
  </r>
  <r>
    <n v="14"/>
    <x v="13"/>
    <x v="0"/>
    <x v="5"/>
    <x v="0"/>
    <s v="Very likely"/>
    <n v="4"/>
    <x v="0"/>
    <n v="2"/>
    <x v="0"/>
    <x v="6"/>
    <n v="1"/>
    <x v="2"/>
  </r>
  <r>
    <n v="15"/>
    <x v="14"/>
    <x v="1"/>
    <x v="2"/>
    <x v="0"/>
    <s v="Very unlikely"/>
    <n v="1"/>
    <x v="1"/>
    <n v="1"/>
    <x v="0"/>
    <x v="7"/>
    <n v="2"/>
    <x v="2"/>
  </r>
  <r>
    <n v="16"/>
    <x v="15"/>
    <x v="0"/>
    <x v="4"/>
    <x v="0"/>
    <s v="Somewhat likely"/>
    <n v="3"/>
    <x v="1"/>
    <n v="1"/>
    <x v="0"/>
    <x v="8"/>
    <n v="5"/>
    <x v="2"/>
  </r>
  <r>
    <n v="17"/>
    <x v="16"/>
    <x v="0"/>
    <x v="0"/>
    <x v="0"/>
    <s v="Very likely"/>
    <n v="4"/>
    <x v="0"/>
    <n v="2"/>
    <x v="0"/>
    <x v="7"/>
    <n v="2"/>
    <x v="7"/>
  </r>
  <r>
    <n v="18"/>
    <x v="17"/>
    <x v="0"/>
    <x v="1"/>
    <x v="3"/>
    <s v="Very likely"/>
    <n v="4"/>
    <x v="0"/>
    <n v="2"/>
    <x v="0"/>
    <x v="4"/>
    <n v="3"/>
    <x v="2"/>
  </r>
  <r>
    <n v="19"/>
    <x v="18"/>
    <x v="0"/>
    <x v="5"/>
    <x v="0"/>
    <s v="Very unlikely"/>
    <n v="1"/>
    <x v="0"/>
    <n v="2"/>
    <x v="2"/>
    <x v="4"/>
    <n v="3"/>
    <x v="3"/>
  </r>
  <r>
    <n v="20"/>
    <x v="19"/>
    <x v="1"/>
    <x v="0"/>
    <x v="0"/>
    <s v="Very likely"/>
    <n v="4"/>
    <x v="1"/>
    <n v="1"/>
    <x v="0"/>
    <x v="4"/>
    <n v="3"/>
    <x v="0"/>
  </r>
  <r>
    <n v="21"/>
    <x v="20"/>
    <x v="0"/>
    <x v="0"/>
    <x v="0"/>
    <s v="Somewhat unlikely"/>
    <n v="2"/>
    <x v="1"/>
    <n v="1"/>
    <x v="0"/>
    <x v="4"/>
    <n v="3"/>
    <x v="0"/>
  </r>
  <r>
    <n v="22"/>
    <x v="21"/>
    <x v="0"/>
    <x v="5"/>
    <x v="0"/>
    <s v="Very likely"/>
    <n v="4"/>
    <x v="0"/>
    <n v="2"/>
    <x v="0"/>
    <x v="3"/>
    <n v="8"/>
    <x v="3"/>
  </r>
  <r>
    <n v="23"/>
    <x v="22"/>
    <x v="0"/>
    <x v="2"/>
    <x v="0"/>
    <s v="Very unlikely"/>
    <n v="1"/>
    <x v="0"/>
    <n v="2"/>
    <x v="0"/>
    <x v="1"/>
    <n v="11"/>
    <x v="7"/>
  </r>
  <r>
    <n v="24"/>
    <x v="23"/>
    <x v="0"/>
    <x v="0"/>
    <x v="0"/>
    <s v="Very likely"/>
    <n v="4"/>
    <x v="0"/>
    <n v="2"/>
    <x v="0"/>
    <x v="4"/>
    <n v="3"/>
    <x v="6"/>
  </r>
  <r>
    <n v="25"/>
    <x v="24"/>
    <x v="1"/>
    <x v="3"/>
    <x v="0"/>
    <s v="No answer provided"/>
    <s v="na"/>
    <x v="2"/>
    <s v="na"/>
    <x v="1"/>
    <x v="5"/>
    <s v="na"/>
    <x v="1"/>
  </r>
  <r>
    <n v="26"/>
    <x v="25"/>
    <x v="0"/>
    <x v="1"/>
    <x v="4"/>
    <s v="Very unlikely"/>
    <n v="1"/>
    <x v="0"/>
    <n v="2"/>
    <x v="0"/>
    <x v="8"/>
    <n v="5"/>
    <x v="2"/>
  </r>
  <r>
    <n v="27"/>
    <x v="26"/>
    <x v="0"/>
    <x v="0"/>
    <x v="0"/>
    <s v="Very likely"/>
    <n v="4"/>
    <x v="1"/>
    <n v="1"/>
    <x v="0"/>
    <x v="7"/>
    <n v="2"/>
    <x v="6"/>
  </r>
  <r>
    <n v="28"/>
    <x v="27"/>
    <x v="0"/>
    <x v="5"/>
    <x v="0"/>
    <s v="Somewhat likely"/>
    <n v="3"/>
    <x v="0"/>
    <n v="2"/>
    <x v="0"/>
    <x v="4"/>
    <n v="3"/>
    <x v="8"/>
  </r>
  <r>
    <n v="29"/>
    <x v="28"/>
    <x v="0"/>
    <x v="2"/>
    <x v="0"/>
    <s v="Very likely"/>
    <n v="4"/>
    <x v="3"/>
    <n v="3"/>
    <x v="2"/>
    <x v="9"/>
    <n v="10"/>
    <x v="7"/>
  </r>
  <r>
    <n v="30"/>
    <x v="29"/>
    <x v="1"/>
    <x v="6"/>
    <x v="0"/>
    <s v="Very unlikely"/>
    <n v="1"/>
    <x v="1"/>
    <n v="1"/>
    <x v="0"/>
    <x v="6"/>
    <n v="1"/>
    <x v="5"/>
  </r>
  <r>
    <n v="31"/>
    <x v="30"/>
    <x v="0"/>
    <x v="2"/>
    <x v="0"/>
    <s v="Somewhat unlikely"/>
    <n v="2"/>
    <x v="3"/>
    <n v="3"/>
    <x v="2"/>
    <x v="7"/>
    <n v="2"/>
    <x v="6"/>
  </r>
  <r>
    <n v="32"/>
    <x v="31"/>
    <x v="0"/>
    <x v="7"/>
    <x v="0"/>
    <s v="Somewhat likely"/>
    <n v="3"/>
    <x v="0"/>
    <n v="2"/>
    <x v="0"/>
    <x v="4"/>
    <n v="3"/>
    <x v="2"/>
  </r>
  <r>
    <n v="33"/>
    <x v="32"/>
    <x v="1"/>
    <x v="0"/>
    <x v="0"/>
    <s v="Somewhat likely"/>
    <n v="3"/>
    <x v="1"/>
    <n v="1"/>
    <x v="0"/>
    <x v="6"/>
    <n v="1"/>
    <x v="5"/>
  </r>
  <r>
    <n v="34"/>
    <x v="33"/>
    <x v="0"/>
    <x v="4"/>
    <x v="0"/>
    <s v="Very likely"/>
    <n v="4"/>
    <x v="1"/>
    <n v="1"/>
    <x v="0"/>
    <x v="6"/>
    <n v="1"/>
    <x v="9"/>
  </r>
  <r>
    <n v="35"/>
    <x v="34"/>
    <x v="0"/>
    <x v="0"/>
    <x v="0"/>
    <s v="Very likely"/>
    <n v="4"/>
    <x v="4"/>
    <n v="4"/>
    <x v="2"/>
    <x v="0"/>
    <n v="4"/>
    <x v="0"/>
  </r>
  <r>
    <n v="36"/>
    <x v="35"/>
    <x v="1"/>
    <x v="4"/>
    <x v="0"/>
    <s v="Somewhat likely"/>
    <n v="3"/>
    <x v="1"/>
    <n v="1"/>
    <x v="0"/>
    <x v="8"/>
    <n v="5"/>
    <x v="4"/>
  </r>
  <r>
    <n v="37"/>
    <x v="36"/>
    <x v="0"/>
    <x v="0"/>
    <x v="0"/>
    <s v="Very likely"/>
    <n v="4"/>
    <x v="1"/>
    <n v="1"/>
    <x v="0"/>
    <x v="0"/>
    <n v="4"/>
    <x v="3"/>
  </r>
  <r>
    <n v="38"/>
    <x v="37"/>
    <x v="0"/>
    <x v="1"/>
    <x v="5"/>
    <s v="Very likely"/>
    <n v="4"/>
    <x v="0"/>
    <n v="2"/>
    <x v="0"/>
    <x v="4"/>
    <n v="3"/>
    <x v="7"/>
  </r>
  <r>
    <n v="39"/>
    <x v="38"/>
    <x v="0"/>
    <x v="0"/>
    <x v="0"/>
    <s v="Very likely"/>
    <n v="4"/>
    <x v="3"/>
    <n v="3"/>
    <x v="2"/>
    <x v="0"/>
    <n v="4"/>
    <x v="4"/>
  </r>
  <r>
    <n v="40"/>
    <x v="39"/>
    <x v="0"/>
    <x v="2"/>
    <x v="0"/>
    <s v="Very likely"/>
    <n v="4"/>
    <x v="4"/>
    <n v="4"/>
    <x v="0"/>
    <x v="1"/>
    <n v="11"/>
    <x v="0"/>
  </r>
  <r>
    <n v="41"/>
    <x v="40"/>
    <x v="0"/>
    <x v="2"/>
    <x v="0"/>
    <s v="Very likely"/>
    <n v="4"/>
    <x v="0"/>
    <n v="2"/>
    <x v="0"/>
    <x v="1"/>
    <n v="11"/>
    <x v="2"/>
  </r>
  <r>
    <n v="42"/>
    <x v="41"/>
    <x v="0"/>
    <x v="4"/>
    <x v="0"/>
    <s v="Very likely"/>
    <n v="4"/>
    <x v="0"/>
    <n v="2"/>
    <x v="0"/>
    <x v="9"/>
    <n v="10"/>
    <x v="0"/>
  </r>
  <r>
    <n v="43"/>
    <x v="42"/>
    <x v="0"/>
    <x v="5"/>
    <x v="0"/>
    <s v="Somewhat likely"/>
    <n v="3"/>
    <x v="4"/>
    <n v="4"/>
    <x v="0"/>
    <x v="3"/>
    <n v="8"/>
    <x v="8"/>
  </r>
  <r>
    <n v="44"/>
    <x v="43"/>
    <x v="0"/>
    <x v="0"/>
    <x v="0"/>
    <s v="Very likely"/>
    <n v="4"/>
    <x v="0"/>
    <n v="2"/>
    <x v="0"/>
    <x v="2"/>
    <n v="6"/>
    <x v="2"/>
  </r>
  <r>
    <n v="45"/>
    <x v="44"/>
    <x v="0"/>
    <x v="5"/>
    <x v="0"/>
    <s v="Very likely"/>
    <n v="4"/>
    <x v="1"/>
    <n v="1"/>
    <x v="0"/>
    <x v="2"/>
    <n v="6"/>
    <x v="8"/>
  </r>
  <r>
    <n v="46"/>
    <x v="45"/>
    <x v="1"/>
    <x v="0"/>
    <x v="0"/>
    <s v="Somewhat likely"/>
    <n v="3"/>
    <x v="0"/>
    <n v="2"/>
    <x v="0"/>
    <x v="4"/>
    <n v="3"/>
    <x v="0"/>
  </r>
  <r>
    <n v="47"/>
    <x v="46"/>
    <x v="1"/>
    <x v="2"/>
    <x v="0"/>
    <s v="Somewhat likely"/>
    <n v="3"/>
    <x v="0"/>
    <n v="2"/>
    <x v="0"/>
    <x v="7"/>
    <n v="2"/>
    <x v="0"/>
  </r>
  <r>
    <n v="48"/>
    <x v="47"/>
    <x v="0"/>
    <x v="1"/>
    <x v="6"/>
    <s v="Somewhat likely"/>
    <n v="3"/>
    <x v="1"/>
    <n v="1"/>
    <x v="0"/>
    <x v="0"/>
    <n v="4"/>
    <x v="3"/>
  </r>
  <r>
    <n v="49"/>
    <x v="48"/>
    <x v="0"/>
    <x v="4"/>
    <x v="0"/>
    <s v="Very likely"/>
    <n v="4"/>
    <x v="1"/>
    <n v="1"/>
    <x v="0"/>
    <x v="7"/>
    <n v="2"/>
    <x v="4"/>
  </r>
  <r>
    <n v="50"/>
    <x v="49"/>
    <x v="0"/>
    <x v="4"/>
    <x v="0"/>
    <s v="Somewhat likely"/>
    <n v="3"/>
    <x v="1"/>
    <n v="1"/>
    <x v="0"/>
    <x v="7"/>
    <n v="2"/>
    <x v="0"/>
  </r>
  <r>
    <n v="51"/>
    <x v="50"/>
    <x v="0"/>
    <x v="2"/>
    <x v="0"/>
    <s v="Very unlikely"/>
    <n v="1"/>
    <x v="4"/>
    <n v="4"/>
    <x v="0"/>
    <x v="2"/>
    <n v="6"/>
    <x v="3"/>
  </r>
  <r>
    <n v="52"/>
    <x v="51"/>
    <x v="0"/>
    <x v="0"/>
    <x v="0"/>
    <s v="Very likely"/>
    <n v="4"/>
    <x v="4"/>
    <n v="4"/>
    <x v="0"/>
    <x v="1"/>
    <n v="11"/>
    <x v="6"/>
  </r>
  <r>
    <n v="53"/>
    <x v="52"/>
    <x v="1"/>
    <x v="7"/>
    <x v="0"/>
    <s v="Very unlikely"/>
    <n v="1"/>
    <x v="0"/>
    <n v="2"/>
    <x v="0"/>
    <x v="0"/>
    <n v="4"/>
    <x v="2"/>
  </r>
  <r>
    <n v="54"/>
    <x v="53"/>
    <x v="1"/>
    <x v="5"/>
    <x v="0"/>
    <s v="Somewhat unlikely"/>
    <n v="2"/>
    <x v="0"/>
    <n v="2"/>
    <x v="0"/>
    <x v="9"/>
    <n v="10"/>
    <x v="2"/>
  </r>
  <r>
    <n v="55"/>
    <x v="54"/>
    <x v="0"/>
    <x v="0"/>
    <x v="0"/>
    <s v="Somewhat likely"/>
    <n v="3"/>
    <x v="0"/>
    <n v="2"/>
    <x v="0"/>
    <x v="7"/>
    <n v="2"/>
    <x v="4"/>
  </r>
  <r>
    <n v="56"/>
    <x v="55"/>
    <x v="0"/>
    <x v="4"/>
    <x v="0"/>
    <s v="Somewhat unlikely"/>
    <n v="2"/>
    <x v="0"/>
    <n v="2"/>
    <x v="0"/>
    <x v="1"/>
    <n v="11"/>
    <x v="3"/>
  </r>
  <r>
    <n v="57"/>
    <x v="56"/>
    <x v="0"/>
    <x v="1"/>
    <x v="7"/>
    <s v="Very likely"/>
    <n v="4"/>
    <x v="1"/>
    <n v="1"/>
    <x v="0"/>
    <x v="4"/>
    <n v="3"/>
    <x v="3"/>
  </r>
  <r>
    <n v="58"/>
    <x v="57"/>
    <x v="0"/>
    <x v="4"/>
    <x v="0"/>
    <s v="Very unlikely"/>
    <n v="1"/>
    <x v="0"/>
    <n v="2"/>
    <x v="0"/>
    <x v="10"/>
    <n v="9"/>
    <x v="6"/>
  </r>
  <r>
    <n v="59"/>
    <x v="58"/>
    <x v="0"/>
    <x v="5"/>
    <x v="0"/>
    <s v="Somewhat likely"/>
    <n v="3"/>
    <x v="0"/>
    <n v="2"/>
    <x v="0"/>
    <x v="1"/>
    <n v="11"/>
    <x v="2"/>
  </r>
  <r>
    <n v="60"/>
    <x v="59"/>
    <x v="0"/>
    <x v="4"/>
    <x v="0"/>
    <s v="Somewhat likely"/>
    <n v="3"/>
    <x v="0"/>
    <n v="2"/>
    <x v="0"/>
    <x v="0"/>
    <n v="4"/>
    <x v="5"/>
  </r>
  <r>
    <n v="61"/>
    <x v="60"/>
    <x v="1"/>
    <x v="4"/>
    <x v="0"/>
    <s v="Very likely"/>
    <n v="4"/>
    <x v="1"/>
    <n v="1"/>
    <x v="0"/>
    <x v="7"/>
    <n v="2"/>
    <x v="1"/>
  </r>
  <r>
    <n v="62"/>
    <x v="61"/>
    <x v="0"/>
    <x v="0"/>
    <x v="0"/>
    <s v="Very likely"/>
    <n v="4"/>
    <x v="0"/>
    <n v="2"/>
    <x v="0"/>
    <x v="8"/>
    <n v="5"/>
    <x v="5"/>
  </r>
  <r>
    <n v="63"/>
    <x v="62"/>
    <x v="0"/>
    <x v="0"/>
    <x v="0"/>
    <s v="Very unlikely"/>
    <n v="1"/>
    <x v="1"/>
    <n v="1"/>
    <x v="0"/>
    <x v="11"/>
    <n v="7"/>
    <x v="6"/>
  </r>
  <r>
    <n v="64"/>
    <x v="63"/>
    <x v="1"/>
    <x v="7"/>
    <x v="0"/>
    <s v="Somewhat unlikely"/>
    <n v="2"/>
    <x v="0"/>
    <n v="2"/>
    <x v="0"/>
    <x v="11"/>
    <n v="7"/>
    <x v="0"/>
  </r>
  <r>
    <n v="65"/>
    <x v="64"/>
    <x v="0"/>
    <x v="1"/>
    <x v="8"/>
    <s v="Somewhat likely"/>
    <n v="3"/>
    <x v="0"/>
    <n v="2"/>
    <x v="0"/>
    <x v="8"/>
    <n v="5"/>
    <x v="0"/>
  </r>
  <r>
    <n v="66"/>
    <x v="65"/>
    <x v="0"/>
    <x v="1"/>
    <x v="9"/>
    <s v="Very likely"/>
    <n v="4"/>
    <x v="1"/>
    <n v="1"/>
    <x v="0"/>
    <x v="6"/>
    <n v="1"/>
    <x v="0"/>
  </r>
  <r>
    <n v="67"/>
    <x v="66"/>
    <x v="0"/>
    <x v="2"/>
    <x v="0"/>
    <s v="Very unlikely"/>
    <n v="1"/>
    <x v="1"/>
    <n v="1"/>
    <x v="0"/>
    <x v="7"/>
    <n v="2"/>
    <x v="6"/>
  </r>
  <r>
    <n v="68"/>
    <x v="67"/>
    <x v="0"/>
    <x v="0"/>
    <x v="0"/>
    <s v="Very likely"/>
    <n v="4"/>
    <x v="1"/>
    <n v="1"/>
    <x v="0"/>
    <x v="9"/>
    <n v="10"/>
    <x v="4"/>
  </r>
  <r>
    <n v="69"/>
    <x v="68"/>
    <x v="0"/>
    <x v="8"/>
    <x v="0"/>
    <s v="Somewhat unlikely"/>
    <n v="2"/>
    <x v="0"/>
    <n v="2"/>
    <x v="0"/>
    <x v="4"/>
    <n v="3"/>
    <x v="4"/>
  </r>
  <r>
    <n v="70"/>
    <x v="69"/>
    <x v="0"/>
    <x v="1"/>
    <x v="10"/>
    <s v="Somewhat likely"/>
    <n v="3"/>
    <x v="1"/>
    <n v="1"/>
    <x v="0"/>
    <x v="7"/>
    <n v="2"/>
    <x v="4"/>
  </r>
  <r>
    <n v="71"/>
    <x v="70"/>
    <x v="0"/>
    <x v="7"/>
    <x v="0"/>
    <s v="Very unlikely"/>
    <n v="1"/>
    <x v="0"/>
    <n v="2"/>
    <x v="0"/>
    <x v="6"/>
    <n v="1"/>
    <x v="1"/>
  </r>
  <r>
    <n v="72"/>
    <x v="71"/>
    <x v="0"/>
    <x v="0"/>
    <x v="0"/>
    <s v="Very likely"/>
    <n v="4"/>
    <x v="0"/>
    <n v="2"/>
    <x v="0"/>
    <x v="4"/>
    <n v="3"/>
    <x v="3"/>
  </r>
  <r>
    <n v="73"/>
    <x v="72"/>
    <x v="0"/>
    <x v="0"/>
    <x v="0"/>
    <s v="Very likely"/>
    <n v="4"/>
    <x v="0"/>
    <n v="2"/>
    <x v="0"/>
    <x v="0"/>
    <n v="4"/>
    <x v="2"/>
  </r>
  <r>
    <n v="74"/>
    <x v="73"/>
    <x v="0"/>
    <x v="1"/>
    <x v="11"/>
    <s v="Very likely"/>
    <n v="4"/>
    <x v="0"/>
    <n v="2"/>
    <x v="0"/>
    <x v="7"/>
    <n v="2"/>
    <x v="2"/>
  </r>
  <r>
    <n v="75"/>
    <x v="74"/>
    <x v="0"/>
    <x v="3"/>
    <x v="0"/>
    <s v="No answer provided"/>
    <s v="na"/>
    <x v="2"/>
    <s v="na"/>
    <x v="1"/>
    <x v="5"/>
    <s v="na"/>
    <x v="1"/>
  </r>
  <r>
    <n v="76"/>
    <x v="75"/>
    <x v="1"/>
    <x v="5"/>
    <x v="0"/>
    <s v="Somewhat likely"/>
    <n v="3"/>
    <x v="0"/>
    <n v="2"/>
    <x v="0"/>
    <x v="3"/>
    <n v="8"/>
    <x v="6"/>
  </r>
  <r>
    <n v="77"/>
    <x v="76"/>
    <x v="0"/>
    <x v="1"/>
    <x v="12"/>
    <s v="Very likely"/>
    <n v="4"/>
    <x v="1"/>
    <n v="1"/>
    <x v="0"/>
    <x v="6"/>
    <n v="1"/>
    <x v="0"/>
  </r>
  <r>
    <n v="78"/>
    <x v="77"/>
    <x v="0"/>
    <x v="4"/>
    <x v="0"/>
    <s v="Somewhat likely"/>
    <n v="3"/>
    <x v="4"/>
    <n v="4"/>
    <x v="0"/>
    <x v="10"/>
    <n v="9"/>
    <x v="6"/>
  </r>
  <r>
    <n v="79"/>
    <x v="78"/>
    <x v="0"/>
    <x v="0"/>
    <x v="0"/>
    <s v="Very likely"/>
    <n v="4"/>
    <x v="0"/>
    <n v="2"/>
    <x v="0"/>
    <x v="11"/>
    <n v="7"/>
    <x v="2"/>
  </r>
  <r>
    <n v="80"/>
    <x v="79"/>
    <x v="0"/>
    <x v="0"/>
    <x v="0"/>
    <s v="Very likely"/>
    <n v="4"/>
    <x v="0"/>
    <n v="2"/>
    <x v="0"/>
    <x v="9"/>
    <n v="10"/>
    <x v="8"/>
  </r>
  <r>
    <n v="81"/>
    <x v="80"/>
    <x v="0"/>
    <x v="2"/>
    <x v="0"/>
    <s v="Very unlikely"/>
    <n v="1"/>
    <x v="1"/>
    <n v="1"/>
    <x v="0"/>
    <x v="1"/>
    <n v="11"/>
    <x v="8"/>
  </r>
  <r>
    <n v="82"/>
    <x v="81"/>
    <x v="0"/>
    <x v="1"/>
    <x v="13"/>
    <s v="Somewhat likely"/>
    <n v="3"/>
    <x v="0"/>
    <n v="2"/>
    <x v="0"/>
    <x v="2"/>
    <n v="6"/>
    <x v="5"/>
  </r>
  <r>
    <n v="83"/>
    <x v="82"/>
    <x v="1"/>
    <x v="0"/>
    <x v="0"/>
    <s v="Somewhat likely"/>
    <n v="3"/>
    <x v="0"/>
    <n v="2"/>
    <x v="0"/>
    <x v="8"/>
    <n v="5"/>
    <x v="4"/>
  </r>
  <r>
    <n v="84"/>
    <x v="83"/>
    <x v="0"/>
    <x v="1"/>
    <x v="14"/>
    <s v="Very unlikely"/>
    <n v="1"/>
    <x v="0"/>
    <n v="2"/>
    <x v="0"/>
    <x v="11"/>
    <n v="7"/>
    <x v="4"/>
  </r>
  <r>
    <n v="85"/>
    <x v="84"/>
    <x v="0"/>
    <x v="0"/>
    <x v="0"/>
    <s v="Somewhat likely"/>
    <n v="3"/>
    <x v="1"/>
    <n v="1"/>
    <x v="0"/>
    <x v="2"/>
    <n v="6"/>
    <x v="0"/>
  </r>
  <r>
    <n v="86"/>
    <x v="85"/>
    <x v="1"/>
    <x v="0"/>
    <x v="0"/>
    <s v="Very likely"/>
    <n v="4"/>
    <x v="1"/>
    <n v="1"/>
    <x v="0"/>
    <x v="4"/>
    <n v="3"/>
    <x v="7"/>
  </r>
  <r>
    <n v="87"/>
    <x v="86"/>
    <x v="0"/>
    <x v="5"/>
    <x v="0"/>
    <s v="Somewhat unlikely"/>
    <n v="2"/>
    <x v="0"/>
    <n v="2"/>
    <x v="0"/>
    <x v="7"/>
    <n v="2"/>
    <x v="3"/>
  </r>
  <r>
    <n v="88"/>
    <x v="87"/>
    <x v="1"/>
    <x v="4"/>
    <x v="0"/>
    <s v="Very unlikely"/>
    <n v="1"/>
    <x v="1"/>
    <n v="1"/>
    <x v="0"/>
    <x v="6"/>
    <n v="1"/>
    <x v="4"/>
  </r>
  <r>
    <n v="89"/>
    <x v="88"/>
    <x v="0"/>
    <x v="0"/>
    <x v="0"/>
    <s v="Very likely"/>
    <n v="4"/>
    <x v="1"/>
    <n v="1"/>
    <x v="0"/>
    <x v="6"/>
    <n v="1"/>
    <x v="5"/>
  </r>
  <r>
    <n v="90"/>
    <x v="89"/>
    <x v="0"/>
    <x v="2"/>
    <x v="0"/>
    <s v="Very likely"/>
    <n v="4"/>
    <x v="1"/>
    <n v="1"/>
    <x v="0"/>
    <x v="2"/>
    <n v="6"/>
    <x v="8"/>
  </r>
  <r>
    <n v="91"/>
    <x v="90"/>
    <x v="0"/>
    <x v="2"/>
    <x v="0"/>
    <s v="Very unlikely"/>
    <n v="1"/>
    <x v="1"/>
    <n v="1"/>
    <x v="0"/>
    <x v="4"/>
    <n v="3"/>
    <x v="0"/>
  </r>
  <r>
    <n v="92"/>
    <x v="91"/>
    <x v="0"/>
    <x v="7"/>
    <x v="0"/>
    <s v="Very likely"/>
    <n v="4"/>
    <x v="1"/>
    <n v="1"/>
    <x v="0"/>
    <x v="6"/>
    <n v="1"/>
    <x v="9"/>
  </r>
  <r>
    <n v="93"/>
    <x v="92"/>
    <x v="1"/>
    <x v="4"/>
    <x v="0"/>
    <s v="Somewhat likely"/>
    <n v="3"/>
    <x v="1"/>
    <n v="1"/>
    <x v="0"/>
    <x v="1"/>
    <n v="11"/>
    <x v="4"/>
  </r>
  <r>
    <n v="94"/>
    <x v="93"/>
    <x v="1"/>
    <x v="7"/>
    <x v="0"/>
    <s v="Somewhat unlikely"/>
    <n v="2"/>
    <x v="1"/>
    <n v="1"/>
    <x v="0"/>
    <x v="8"/>
    <n v="5"/>
    <x v="4"/>
  </r>
  <r>
    <n v="95"/>
    <x v="94"/>
    <x v="0"/>
    <x v="1"/>
    <x v="5"/>
    <s v="Somewhat likely"/>
    <n v="3"/>
    <x v="1"/>
    <n v="1"/>
    <x v="0"/>
    <x v="6"/>
    <n v="1"/>
    <x v="3"/>
  </r>
  <r>
    <n v="96"/>
    <x v="95"/>
    <x v="0"/>
    <x v="2"/>
    <x v="0"/>
    <s v="Very unlikely"/>
    <n v="1"/>
    <x v="0"/>
    <n v="2"/>
    <x v="0"/>
    <x v="1"/>
    <n v="11"/>
    <x v="3"/>
  </r>
  <r>
    <n v="97"/>
    <x v="96"/>
    <x v="0"/>
    <x v="0"/>
    <x v="0"/>
    <s v="Somewhat likely"/>
    <n v="3"/>
    <x v="1"/>
    <n v="1"/>
    <x v="0"/>
    <x v="0"/>
    <n v="4"/>
    <x v="3"/>
  </r>
  <r>
    <n v="98"/>
    <x v="97"/>
    <x v="1"/>
    <x v="0"/>
    <x v="0"/>
    <s v="Somewhat unlikely"/>
    <n v="2"/>
    <x v="1"/>
    <n v="1"/>
    <x v="0"/>
    <x v="1"/>
    <n v="11"/>
    <x v="4"/>
  </r>
  <r>
    <n v="99"/>
    <x v="98"/>
    <x v="0"/>
    <x v="4"/>
    <x v="0"/>
    <s v="Somewhat likely"/>
    <n v="3"/>
    <x v="1"/>
    <n v="1"/>
    <x v="0"/>
    <x v="1"/>
    <n v="11"/>
    <x v="8"/>
  </r>
  <r>
    <n v="100"/>
    <x v="99"/>
    <x v="0"/>
    <x v="1"/>
    <x v="15"/>
    <s v="Very likely"/>
    <n v="4"/>
    <x v="0"/>
    <n v="2"/>
    <x v="0"/>
    <x v="3"/>
    <n v="8"/>
    <x v="0"/>
  </r>
  <r>
    <n v="101"/>
    <x v="100"/>
    <x v="1"/>
    <x v="5"/>
    <x v="0"/>
    <s v="Very unlikely"/>
    <n v="1"/>
    <x v="1"/>
    <n v="1"/>
    <x v="0"/>
    <x v="6"/>
    <n v="1"/>
    <x v="4"/>
  </r>
  <r>
    <n v="102"/>
    <x v="101"/>
    <x v="1"/>
    <x v="4"/>
    <x v="0"/>
    <s v="Somewhat likely"/>
    <n v="3"/>
    <x v="1"/>
    <n v="1"/>
    <x v="0"/>
    <x v="7"/>
    <n v="2"/>
    <x v="7"/>
  </r>
  <r>
    <n v="103"/>
    <x v="102"/>
    <x v="0"/>
    <x v="0"/>
    <x v="0"/>
    <s v="Very likely"/>
    <n v="4"/>
    <x v="0"/>
    <n v="2"/>
    <x v="0"/>
    <x v="9"/>
    <n v="10"/>
    <x v="0"/>
  </r>
  <r>
    <n v="104"/>
    <x v="103"/>
    <x v="1"/>
    <x v="8"/>
    <x v="0"/>
    <s v="Somewhat likely"/>
    <n v="3"/>
    <x v="1"/>
    <n v="1"/>
    <x v="0"/>
    <x v="0"/>
    <n v="4"/>
    <x v="1"/>
  </r>
  <r>
    <n v="105"/>
    <x v="104"/>
    <x v="0"/>
    <x v="5"/>
    <x v="0"/>
    <s v="Somewhat likely"/>
    <n v="3"/>
    <x v="0"/>
    <n v="2"/>
    <x v="0"/>
    <x v="7"/>
    <n v="2"/>
    <x v="8"/>
  </r>
  <r>
    <n v="106"/>
    <x v="105"/>
    <x v="0"/>
    <x v="0"/>
    <x v="0"/>
    <s v="Somewhat unlikely"/>
    <n v="2"/>
    <x v="0"/>
    <n v="2"/>
    <x v="0"/>
    <x v="2"/>
    <n v="6"/>
    <x v="8"/>
  </r>
  <r>
    <n v="107"/>
    <x v="106"/>
    <x v="1"/>
    <x v="2"/>
    <x v="0"/>
    <s v="Very unlikely"/>
    <n v="1"/>
    <x v="1"/>
    <n v="1"/>
    <x v="0"/>
    <x v="0"/>
    <n v="4"/>
    <x v="2"/>
  </r>
  <r>
    <n v="108"/>
    <x v="107"/>
    <x v="0"/>
    <x v="0"/>
    <x v="0"/>
    <s v="Somewhat likely"/>
    <n v="3"/>
    <x v="1"/>
    <n v="1"/>
    <x v="0"/>
    <x v="7"/>
    <n v="2"/>
    <x v="0"/>
  </r>
  <r>
    <n v="109"/>
    <x v="108"/>
    <x v="1"/>
    <x v="0"/>
    <x v="0"/>
    <s v="Somewhat likely"/>
    <n v="3"/>
    <x v="0"/>
    <n v="2"/>
    <x v="0"/>
    <x v="0"/>
    <n v="4"/>
    <x v="4"/>
  </r>
  <r>
    <n v="110"/>
    <x v="109"/>
    <x v="0"/>
    <x v="0"/>
    <x v="0"/>
    <s v="Very unlikely"/>
    <n v="1"/>
    <x v="0"/>
    <n v="2"/>
    <x v="0"/>
    <x v="8"/>
    <n v="5"/>
    <x v="7"/>
  </r>
  <r>
    <n v="111"/>
    <x v="110"/>
    <x v="0"/>
    <x v="4"/>
    <x v="0"/>
    <s v="Very unlikely"/>
    <n v="1"/>
    <x v="0"/>
    <n v="2"/>
    <x v="0"/>
    <x v="0"/>
    <n v="4"/>
    <x v="3"/>
  </r>
  <r>
    <n v="112"/>
    <x v="111"/>
    <x v="0"/>
    <x v="1"/>
    <x v="6"/>
    <s v="Very likely"/>
    <n v="4"/>
    <x v="0"/>
    <n v="2"/>
    <x v="0"/>
    <x v="0"/>
    <n v="4"/>
    <x v="6"/>
  </r>
  <r>
    <n v="113"/>
    <x v="112"/>
    <x v="0"/>
    <x v="4"/>
    <x v="0"/>
    <s v="Very likely"/>
    <n v="4"/>
    <x v="0"/>
    <n v="2"/>
    <x v="0"/>
    <x v="2"/>
    <n v="6"/>
    <x v="4"/>
  </r>
  <r>
    <n v="114"/>
    <x v="113"/>
    <x v="0"/>
    <x v="1"/>
    <x v="16"/>
    <s v="Somewhat likely"/>
    <n v="3"/>
    <x v="0"/>
    <n v="2"/>
    <x v="0"/>
    <x v="7"/>
    <n v="2"/>
    <x v="5"/>
  </r>
  <r>
    <n v="115"/>
    <x v="114"/>
    <x v="0"/>
    <x v="4"/>
    <x v="0"/>
    <s v="Very likely"/>
    <n v="4"/>
    <x v="3"/>
    <n v="3"/>
    <x v="0"/>
    <x v="11"/>
    <n v="7"/>
    <x v="7"/>
  </r>
  <r>
    <n v="116"/>
    <x v="115"/>
    <x v="0"/>
    <x v="1"/>
    <x v="17"/>
    <s v="Very likely"/>
    <n v="4"/>
    <x v="3"/>
    <n v="3"/>
    <x v="0"/>
    <x v="8"/>
    <n v="5"/>
    <x v="0"/>
  </r>
  <r>
    <n v="117"/>
    <x v="116"/>
    <x v="1"/>
    <x v="4"/>
    <x v="0"/>
    <s v="Somewhat likely"/>
    <n v="3"/>
    <x v="1"/>
    <n v="1"/>
    <x v="0"/>
    <x v="8"/>
    <n v="5"/>
    <x v="0"/>
  </r>
  <r>
    <n v="118"/>
    <x v="117"/>
    <x v="0"/>
    <x v="1"/>
    <x v="18"/>
    <s v="Very unlikely"/>
    <n v="1"/>
    <x v="0"/>
    <n v="2"/>
    <x v="0"/>
    <x v="8"/>
    <n v="5"/>
    <x v="6"/>
  </r>
  <r>
    <n v="119"/>
    <x v="118"/>
    <x v="0"/>
    <x v="4"/>
    <x v="0"/>
    <s v="Very unlikely"/>
    <n v="1"/>
    <x v="3"/>
    <n v="3"/>
    <x v="0"/>
    <x v="3"/>
    <n v="8"/>
    <x v="0"/>
  </r>
  <r>
    <n v="120"/>
    <x v="119"/>
    <x v="0"/>
    <x v="4"/>
    <x v="0"/>
    <s v="Somewhat likely"/>
    <n v="3"/>
    <x v="1"/>
    <n v="1"/>
    <x v="0"/>
    <x v="1"/>
    <n v="11"/>
    <x v="1"/>
  </r>
  <r>
    <n v="121"/>
    <x v="120"/>
    <x v="0"/>
    <x v="0"/>
    <x v="0"/>
    <s v="Somewhat likely"/>
    <n v="3"/>
    <x v="3"/>
    <n v="3"/>
    <x v="0"/>
    <x v="4"/>
    <n v="3"/>
    <x v="4"/>
  </r>
  <r>
    <n v="122"/>
    <x v="121"/>
    <x v="1"/>
    <x v="1"/>
    <x v="11"/>
    <s v="Somewhat likely"/>
    <n v="3"/>
    <x v="3"/>
    <n v="3"/>
    <x v="0"/>
    <x v="9"/>
    <n v="10"/>
    <x v="4"/>
  </r>
  <r>
    <n v="123"/>
    <x v="122"/>
    <x v="0"/>
    <x v="2"/>
    <x v="0"/>
    <s v="Somewhat likely"/>
    <n v="3"/>
    <x v="3"/>
    <n v="3"/>
    <x v="0"/>
    <x v="4"/>
    <n v="3"/>
    <x v="0"/>
  </r>
  <r>
    <n v="124"/>
    <x v="123"/>
    <x v="0"/>
    <x v="0"/>
    <x v="0"/>
    <s v="Very likely"/>
    <n v="4"/>
    <x v="3"/>
    <n v="3"/>
    <x v="0"/>
    <x v="0"/>
    <n v="4"/>
    <x v="2"/>
  </r>
  <r>
    <n v="125"/>
    <x v="124"/>
    <x v="0"/>
    <x v="4"/>
    <x v="0"/>
    <s v="Very unlikely"/>
    <n v="1"/>
    <x v="3"/>
    <n v="3"/>
    <x v="0"/>
    <x v="8"/>
    <n v="5"/>
    <x v="0"/>
  </r>
  <r>
    <n v="126"/>
    <x v="125"/>
    <x v="0"/>
    <x v="2"/>
    <x v="0"/>
    <s v="Very unlikely"/>
    <n v="1"/>
    <x v="3"/>
    <n v="3"/>
    <x v="0"/>
    <x v="7"/>
    <n v="2"/>
    <x v="7"/>
  </r>
  <r>
    <n v="127"/>
    <x v="126"/>
    <x v="0"/>
    <x v="4"/>
    <x v="0"/>
    <s v="Somewhat likely"/>
    <n v="3"/>
    <x v="3"/>
    <n v="3"/>
    <x v="0"/>
    <x v="9"/>
    <n v="10"/>
    <x v="4"/>
  </r>
  <r>
    <n v="128"/>
    <x v="127"/>
    <x v="0"/>
    <x v="0"/>
    <x v="0"/>
    <s v="Very unlikely"/>
    <n v="1"/>
    <x v="3"/>
    <n v="3"/>
    <x v="0"/>
    <x v="4"/>
    <n v="3"/>
    <x v="6"/>
  </r>
  <r>
    <n v="129"/>
    <x v="128"/>
    <x v="0"/>
    <x v="6"/>
    <x v="0"/>
    <s v="Very likely"/>
    <n v="4"/>
    <x v="3"/>
    <n v="3"/>
    <x v="0"/>
    <x v="6"/>
    <n v="1"/>
    <x v="0"/>
  </r>
  <r>
    <n v="130"/>
    <x v="129"/>
    <x v="0"/>
    <x v="2"/>
    <x v="0"/>
    <s v="Very likely"/>
    <n v="4"/>
    <x v="3"/>
    <n v="3"/>
    <x v="0"/>
    <x v="4"/>
    <n v="3"/>
    <x v="2"/>
  </r>
  <r>
    <n v="131"/>
    <x v="130"/>
    <x v="0"/>
    <x v="1"/>
    <x v="19"/>
    <s v="Very likely"/>
    <n v="4"/>
    <x v="3"/>
    <n v="3"/>
    <x v="0"/>
    <x v="11"/>
    <n v="7"/>
    <x v="7"/>
  </r>
  <r>
    <n v="132"/>
    <x v="131"/>
    <x v="0"/>
    <x v="5"/>
    <x v="0"/>
    <s v="Very unlikely"/>
    <n v="1"/>
    <x v="3"/>
    <n v="3"/>
    <x v="0"/>
    <x v="6"/>
    <n v="1"/>
    <x v="6"/>
  </r>
  <r>
    <n v="133"/>
    <x v="132"/>
    <x v="0"/>
    <x v="7"/>
    <x v="0"/>
    <s v="Somewhat likely"/>
    <n v="3"/>
    <x v="1"/>
    <n v="1"/>
    <x v="0"/>
    <x v="1"/>
    <n v="11"/>
    <x v="4"/>
  </r>
  <r>
    <n v="134"/>
    <x v="133"/>
    <x v="0"/>
    <x v="1"/>
    <x v="20"/>
    <s v="Very unlikely"/>
    <n v="1"/>
    <x v="3"/>
    <n v="3"/>
    <x v="0"/>
    <x v="8"/>
    <n v="5"/>
    <x v="4"/>
  </r>
  <r>
    <n v="135"/>
    <x v="134"/>
    <x v="0"/>
    <x v="1"/>
    <x v="21"/>
    <s v="Very likely"/>
    <n v="4"/>
    <x v="3"/>
    <n v="3"/>
    <x v="0"/>
    <x v="3"/>
    <n v="8"/>
    <x v="0"/>
  </r>
  <r>
    <n v="136"/>
    <x v="135"/>
    <x v="0"/>
    <x v="5"/>
    <x v="0"/>
    <s v="Somewhat likely"/>
    <n v="3"/>
    <x v="3"/>
    <n v="3"/>
    <x v="0"/>
    <x v="8"/>
    <n v="5"/>
    <x v="0"/>
  </r>
  <r>
    <n v="137"/>
    <x v="136"/>
    <x v="1"/>
    <x v="4"/>
    <x v="0"/>
    <s v="Somewhat unlikely"/>
    <n v="2"/>
    <x v="0"/>
    <n v="2"/>
    <x v="0"/>
    <x v="6"/>
    <n v="1"/>
    <x v="5"/>
  </r>
  <r>
    <n v="138"/>
    <x v="137"/>
    <x v="1"/>
    <x v="2"/>
    <x v="0"/>
    <s v="Somewhat likely"/>
    <n v="3"/>
    <x v="0"/>
    <n v="2"/>
    <x v="0"/>
    <x v="8"/>
    <n v="5"/>
    <x v="0"/>
  </r>
  <r>
    <n v="139"/>
    <x v="138"/>
    <x v="0"/>
    <x v="0"/>
    <x v="0"/>
    <s v="Somewhat likely"/>
    <n v="3"/>
    <x v="3"/>
    <n v="3"/>
    <x v="0"/>
    <x v="0"/>
    <n v="4"/>
    <x v="3"/>
  </r>
  <r>
    <n v="140"/>
    <x v="139"/>
    <x v="0"/>
    <x v="0"/>
    <x v="0"/>
    <s v="Very likely"/>
    <n v="4"/>
    <x v="3"/>
    <n v="3"/>
    <x v="0"/>
    <x v="10"/>
    <n v="9"/>
    <x v="2"/>
  </r>
  <r>
    <n v="141"/>
    <x v="140"/>
    <x v="0"/>
    <x v="1"/>
    <x v="22"/>
    <s v="Very likely"/>
    <n v="4"/>
    <x v="3"/>
    <n v="3"/>
    <x v="0"/>
    <x v="0"/>
    <n v="4"/>
    <x v="0"/>
  </r>
  <r>
    <n v="142"/>
    <x v="141"/>
    <x v="0"/>
    <x v="1"/>
    <x v="5"/>
    <s v="Somewhat unlikely"/>
    <n v="2"/>
    <x v="3"/>
    <n v="3"/>
    <x v="0"/>
    <x v="2"/>
    <n v="6"/>
    <x v="6"/>
  </r>
  <r>
    <n v="143"/>
    <x v="142"/>
    <x v="0"/>
    <x v="6"/>
    <x v="0"/>
    <s v="Very unlikely"/>
    <n v="1"/>
    <x v="3"/>
    <n v="3"/>
    <x v="0"/>
    <x v="9"/>
    <n v="10"/>
    <x v="0"/>
  </r>
  <r>
    <n v="144"/>
    <x v="143"/>
    <x v="0"/>
    <x v="1"/>
    <x v="23"/>
    <s v="Very unlikely"/>
    <n v="1"/>
    <x v="3"/>
    <n v="3"/>
    <x v="0"/>
    <x v="9"/>
    <n v="10"/>
    <x v="8"/>
  </r>
  <r>
    <n v="145"/>
    <x v="144"/>
    <x v="1"/>
    <x v="4"/>
    <x v="0"/>
    <s v="Somewhat likely"/>
    <n v="3"/>
    <x v="3"/>
    <n v="3"/>
    <x v="0"/>
    <x v="11"/>
    <n v="7"/>
    <x v="4"/>
  </r>
  <r>
    <n v="146"/>
    <x v="145"/>
    <x v="0"/>
    <x v="5"/>
    <x v="0"/>
    <s v="Very unlikely"/>
    <n v="1"/>
    <x v="3"/>
    <n v="3"/>
    <x v="0"/>
    <x v="11"/>
    <n v="7"/>
    <x v="3"/>
  </r>
  <r>
    <n v="147"/>
    <x v="146"/>
    <x v="1"/>
    <x v="1"/>
    <x v="24"/>
    <s v="Somewhat likely"/>
    <n v="3"/>
    <x v="1"/>
    <n v="1"/>
    <x v="0"/>
    <x v="0"/>
    <n v="4"/>
    <x v="0"/>
  </r>
  <r>
    <n v="148"/>
    <x v="147"/>
    <x v="0"/>
    <x v="1"/>
    <x v="18"/>
    <s v="Very likely"/>
    <n v="4"/>
    <x v="3"/>
    <n v="3"/>
    <x v="0"/>
    <x v="3"/>
    <n v="8"/>
    <x v="6"/>
  </r>
  <r>
    <n v="149"/>
    <x v="148"/>
    <x v="0"/>
    <x v="1"/>
    <x v="9"/>
    <s v="Somewhat unlikely"/>
    <n v="2"/>
    <x v="3"/>
    <n v="3"/>
    <x v="0"/>
    <x v="0"/>
    <n v="4"/>
    <x v="6"/>
  </r>
  <r>
    <n v="150"/>
    <x v="149"/>
    <x v="0"/>
    <x v="0"/>
    <x v="0"/>
    <s v="Somewhat likely"/>
    <n v="3"/>
    <x v="3"/>
    <n v="3"/>
    <x v="0"/>
    <x v="2"/>
    <n v="6"/>
    <x v="4"/>
  </r>
  <r>
    <n v="151"/>
    <x v="150"/>
    <x v="0"/>
    <x v="2"/>
    <x v="0"/>
    <s v="Very unlikely"/>
    <n v="1"/>
    <x v="3"/>
    <n v="3"/>
    <x v="0"/>
    <x v="3"/>
    <n v="8"/>
    <x v="0"/>
  </r>
  <r>
    <n v="152"/>
    <x v="151"/>
    <x v="1"/>
    <x v="4"/>
    <x v="0"/>
    <s v="Somewhat likely"/>
    <n v="3"/>
    <x v="3"/>
    <n v="3"/>
    <x v="0"/>
    <x v="2"/>
    <n v="6"/>
    <x v="4"/>
  </r>
  <r>
    <n v="153"/>
    <x v="152"/>
    <x v="0"/>
    <x v="2"/>
    <x v="0"/>
    <s v="Very likely"/>
    <n v="4"/>
    <x v="3"/>
    <n v="3"/>
    <x v="0"/>
    <x v="2"/>
    <n v="6"/>
    <x v="4"/>
  </r>
  <r>
    <n v="154"/>
    <x v="153"/>
    <x v="0"/>
    <x v="4"/>
    <x v="0"/>
    <s v="Somewhat likely"/>
    <n v="3"/>
    <x v="0"/>
    <n v="2"/>
    <x v="0"/>
    <x v="2"/>
    <n v="6"/>
    <x v="3"/>
  </r>
  <r>
    <n v="155"/>
    <x v="154"/>
    <x v="0"/>
    <x v="4"/>
    <x v="0"/>
    <s v="Very unlikely"/>
    <n v="1"/>
    <x v="3"/>
    <n v="3"/>
    <x v="0"/>
    <x v="7"/>
    <n v="2"/>
    <x v="4"/>
  </r>
  <r>
    <n v="156"/>
    <x v="155"/>
    <x v="0"/>
    <x v="0"/>
    <x v="0"/>
    <s v="Somewhat likely"/>
    <n v="3"/>
    <x v="1"/>
    <n v="1"/>
    <x v="0"/>
    <x v="1"/>
    <n v="11"/>
    <x v="2"/>
  </r>
  <r>
    <n v="157"/>
    <x v="156"/>
    <x v="0"/>
    <x v="0"/>
    <x v="0"/>
    <s v="Somewhat likely"/>
    <n v="3"/>
    <x v="3"/>
    <n v="3"/>
    <x v="0"/>
    <x v="3"/>
    <n v="8"/>
    <x v="4"/>
  </r>
  <r>
    <n v="158"/>
    <x v="157"/>
    <x v="0"/>
    <x v="0"/>
    <x v="0"/>
    <s v="Very likely"/>
    <n v="4"/>
    <x v="3"/>
    <n v="3"/>
    <x v="0"/>
    <x v="11"/>
    <n v="7"/>
    <x v="0"/>
  </r>
  <r>
    <n v="159"/>
    <x v="158"/>
    <x v="0"/>
    <x v="5"/>
    <x v="0"/>
    <s v="Very unlikely"/>
    <n v="1"/>
    <x v="3"/>
    <n v="3"/>
    <x v="0"/>
    <x v="1"/>
    <n v="11"/>
    <x v="7"/>
  </r>
  <r>
    <n v="160"/>
    <x v="159"/>
    <x v="0"/>
    <x v="0"/>
    <x v="0"/>
    <s v="Very likely"/>
    <n v="4"/>
    <x v="3"/>
    <n v="3"/>
    <x v="0"/>
    <x v="3"/>
    <n v="8"/>
    <x v="4"/>
  </r>
  <r>
    <n v="161"/>
    <x v="160"/>
    <x v="0"/>
    <x v="5"/>
    <x v="0"/>
    <s v="Very likely"/>
    <n v="4"/>
    <x v="1"/>
    <n v="1"/>
    <x v="0"/>
    <x v="6"/>
    <n v="1"/>
    <x v="2"/>
  </r>
  <r>
    <n v="162"/>
    <x v="161"/>
    <x v="0"/>
    <x v="0"/>
    <x v="0"/>
    <s v="Very likely"/>
    <n v="4"/>
    <x v="1"/>
    <n v="1"/>
    <x v="2"/>
    <x v="1"/>
    <n v="11"/>
    <x v="0"/>
  </r>
  <r>
    <n v="163"/>
    <x v="162"/>
    <x v="0"/>
    <x v="2"/>
    <x v="0"/>
    <s v="Very likely"/>
    <n v="4"/>
    <x v="3"/>
    <n v="3"/>
    <x v="0"/>
    <x v="0"/>
    <n v="4"/>
    <x v="6"/>
  </r>
  <r>
    <n v="164"/>
    <x v="163"/>
    <x v="1"/>
    <x v="5"/>
    <x v="0"/>
    <s v="Very unlikely"/>
    <n v="1"/>
    <x v="3"/>
    <n v="3"/>
    <x v="0"/>
    <x v="2"/>
    <n v="6"/>
    <x v="6"/>
  </r>
  <r>
    <n v="165"/>
    <x v="164"/>
    <x v="0"/>
    <x v="7"/>
    <x v="0"/>
    <s v="Very unlikely"/>
    <n v="1"/>
    <x v="3"/>
    <n v="3"/>
    <x v="0"/>
    <x v="8"/>
    <n v="5"/>
    <x v="2"/>
  </r>
  <r>
    <n v="166"/>
    <x v="165"/>
    <x v="0"/>
    <x v="0"/>
    <x v="0"/>
    <s v="Very likely"/>
    <n v="4"/>
    <x v="3"/>
    <n v="3"/>
    <x v="0"/>
    <x v="10"/>
    <n v="9"/>
    <x v="4"/>
  </r>
  <r>
    <n v="167"/>
    <x v="166"/>
    <x v="1"/>
    <x v="7"/>
    <x v="0"/>
    <s v="Somewhat likely"/>
    <n v="3"/>
    <x v="1"/>
    <n v="1"/>
    <x v="0"/>
    <x v="6"/>
    <n v="1"/>
    <x v="0"/>
  </r>
  <r>
    <n v="168"/>
    <x v="167"/>
    <x v="0"/>
    <x v="5"/>
    <x v="0"/>
    <s v="Very likely"/>
    <n v="4"/>
    <x v="3"/>
    <n v="3"/>
    <x v="0"/>
    <x v="9"/>
    <n v="10"/>
    <x v="3"/>
  </r>
  <r>
    <n v="169"/>
    <x v="168"/>
    <x v="0"/>
    <x v="2"/>
    <x v="0"/>
    <s v="Very unlikely"/>
    <n v="1"/>
    <x v="3"/>
    <n v="3"/>
    <x v="0"/>
    <x v="9"/>
    <n v="10"/>
    <x v="4"/>
  </r>
  <r>
    <n v="170"/>
    <x v="169"/>
    <x v="1"/>
    <x v="6"/>
    <x v="0"/>
    <s v="Somewhat likely"/>
    <n v="3"/>
    <x v="3"/>
    <n v="3"/>
    <x v="0"/>
    <x v="8"/>
    <n v="5"/>
    <x v="2"/>
  </r>
  <r>
    <n v="171"/>
    <x v="170"/>
    <x v="0"/>
    <x v="2"/>
    <x v="0"/>
    <s v="Very unlikely"/>
    <n v="1"/>
    <x v="1"/>
    <n v="1"/>
    <x v="0"/>
    <x v="2"/>
    <n v="6"/>
    <x v="5"/>
  </r>
  <r>
    <n v="172"/>
    <x v="171"/>
    <x v="0"/>
    <x v="2"/>
    <x v="0"/>
    <s v="Somewhat likely"/>
    <n v="3"/>
    <x v="3"/>
    <n v="3"/>
    <x v="0"/>
    <x v="7"/>
    <n v="2"/>
    <x v="2"/>
  </r>
  <r>
    <n v="173"/>
    <x v="172"/>
    <x v="0"/>
    <x v="1"/>
    <x v="6"/>
    <s v="Very likely"/>
    <n v="4"/>
    <x v="3"/>
    <n v="3"/>
    <x v="0"/>
    <x v="4"/>
    <n v="3"/>
    <x v="6"/>
  </r>
  <r>
    <n v="174"/>
    <x v="173"/>
    <x v="1"/>
    <x v="0"/>
    <x v="0"/>
    <s v="Somewhat likely"/>
    <n v="3"/>
    <x v="3"/>
    <n v="3"/>
    <x v="0"/>
    <x v="2"/>
    <n v="6"/>
    <x v="0"/>
  </r>
  <r>
    <n v="175"/>
    <x v="174"/>
    <x v="0"/>
    <x v="4"/>
    <x v="0"/>
    <s v="Somewhat likely"/>
    <n v="3"/>
    <x v="1"/>
    <n v="1"/>
    <x v="0"/>
    <x v="0"/>
    <n v="4"/>
    <x v="9"/>
  </r>
  <r>
    <n v="176"/>
    <x v="175"/>
    <x v="1"/>
    <x v="8"/>
    <x v="0"/>
    <s v="Very likely"/>
    <n v="4"/>
    <x v="1"/>
    <n v="1"/>
    <x v="0"/>
    <x v="1"/>
    <n v="11"/>
    <x v="1"/>
  </r>
  <r>
    <n v="177"/>
    <x v="176"/>
    <x v="1"/>
    <x v="0"/>
    <x v="0"/>
    <s v="Somewhat likely"/>
    <n v="3"/>
    <x v="3"/>
    <n v="3"/>
    <x v="0"/>
    <x v="11"/>
    <n v="7"/>
    <x v="4"/>
  </r>
  <r>
    <n v="178"/>
    <x v="177"/>
    <x v="1"/>
    <x v="2"/>
    <x v="0"/>
    <s v="Somewhat likely"/>
    <n v="3"/>
    <x v="0"/>
    <n v="2"/>
    <x v="0"/>
    <x v="0"/>
    <n v="4"/>
    <x v="7"/>
  </r>
  <r>
    <n v="179"/>
    <x v="178"/>
    <x v="0"/>
    <x v="0"/>
    <x v="0"/>
    <s v="Very unlikely"/>
    <n v="1"/>
    <x v="3"/>
    <n v="3"/>
    <x v="0"/>
    <x v="9"/>
    <n v="10"/>
    <x v="8"/>
  </r>
  <r>
    <n v="180"/>
    <x v="179"/>
    <x v="0"/>
    <x v="1"/>
    <x v="25"/>
    <s v="Very likely"/>
    <n v="4"/>
    <x v="3"/>
    <n v="3"/>
    <x v="0"/>
    <x v="4"/>
    <n v="3"/>
    <x v="3"/>
  </r>
  <r>
    <n v="181"/>
    <x v="180"/>
    <x v="0"/>
    <x v="1"/>
    <x v="26"/>
    <s v="Very likely"/>
    <n v="4"/>
    <x v="3"/>
    <n v="3"/>
    <x v="0"/>
    <x v="8"/>
    <n v="5"/>
    <x v="6"/>
  </r>
  <r>
    <n v="182"/>
    <x v="181"/>
    <x v="0"/>
    <x v="1"/>
    <x v="27"/>
    <s v="Somewhat likely"/>
    <n v="3"/>
    <x v="3"/>
    <n v="3"/>
    <x v="0"/>
    <x v="1"/>
    <n v="11"/>
    <x v="8"/>
  </r>
  <r>
    <n v="183"/>
    <x v="182"/>
    <x v="0"/>
    <x v="0"/>
    <x v="0"/>
    <s v="Very likely"/>
    <n v="4"/>
    <x v="3"/>
    <n v="3"/>
    <x v="0"/>
    <x v="2"/>
    <n v="6"/>
    <x v="6"/>
  </r>
  <r>
    <n v="184"/>
    <x v="183"/>
    <x v="1"/>
    <x v="6"/>
    <x v="0"/>
    <s v="Very unlikely"/>
    <n v="1"/>
    <x v="1"/>
    <n v="1"/>
    <x v="0"/>
    <x v="1"/>
    <n v="11"/>
    <x v="1"/>
  </r>
  <r>
    <n v="185"/>
    <x v="184"/>
    <x v="0"/>
    <x v="2"/>
    <x v="0"/>
    <s v="Somewhat likely"/>
    <n v="3"/>
    <x v="3"/>
    <n v="3"/>
    <x v="0"/>
    <x v="4"/>
    <n v="3"/>
    <x v="4"/>
  </r>
  <r>
    <n v="186"/>
    <x v="185"/>
    <x v="0"/>
    <x v="2"/>
    <x v="0"/>
    <s v="Somewhat likely"/>
    <n v="3"/>
    <x v="3"/>
    <n v="3"/>
    <x v="0"/>
    <x v="8"/>
    <n v="5"/>
    <x v="5"/>
  </r>
  <r>
    <n v="187"/>
    <x v="186"/>
    <x v="0"/>
    <x v="5"/>
    <x v="0"/>
    <s v="Somewhat likely"/>
    <n v="3"/>
    <x v="4"/>
    <n v="4"/>
    <x v="2"/>
    <x v="2"/>
    <n v="6"/>
    <x v="6"/>
  </r>
  <r>
    <n v="188"/>
    <x v="187"/>
    <x v="0"/>
    <x v="2"/>
    <x v="0"/>
    <s v="Very likely"/>
    <n v="4"/>
    <x v="4"/>
    <n v="4"/>
    <x v="2"/>
    <x v="8"/>
    <n v="5"/>
    <x v="6"/>
  </r>
  <r>
    <n v="189"/>
    <x v="188"/>
    <x v="0"/>
    <x v="2"/>
    <x v="0"/>
    <s v="Very likely"/>
    <n v="4"/>
    <x v="4"/>
    <n v="4"/>
    <x v="2"/>
    <x v="1"/>
    <n v="11"/>
    <x v="0"/>
  </r>
  <r>
    <n v="190"/>
    <x v="189"/>
    <x v="0"/>
    <x v="4"/>
    <x v="0"/>
    <s v="Very likely"/>
    <n v="4"/>
    <x v="4"/>
    <n v="4"/>
    <x v="2"/>
    <x v="0"/>
    <n v="4"/>
    <x v="8"/>
  </r>
  <r>
    <n v="191"/>
    <x v="190"/>
    <x v="0"/>
    <x v="1"/>
    <x v="28"/>
    <s v="Very likely"/>
    <n v="4"/>
    <x v="4"/>
    <n v="4"/>
    <x v="2"/>
    <x v="0"/>
    <n v="4"/>
    <x v="5"/>
  </r>
  <r>
    <n v="192"/>
    <x v="191"/>
    <x v="0"/>
    <x v="1"/>
    <x v="29"/>
    <s v="Very likely"/>
    <n v="4"/>
    <x v="4"/>
    <n v="4"/>
    <x v="2"/>
    <x v="2"/>
    <n v="6"/>
    <x v="4"/>
  </r>
  <r>
    <n v="193"/>
    <x v="192"/>
    <x v="0"/>
    <x v="4"/>
    <x v="0"/>
    <s v="Somewhat likely"/>
    <n v="3"/>
    <x v="3"/>
    <n v="3"/>
    <x v="0"/>
    <x v="0"/>
    <n v="4"/>
    <x v="3"/>
  </r>
  <r>
    <n v="194"/>
    <x v="193"/>
    <x v="0"/>
    <x v="2"/>
    <x v="0"/>
    <s v="Somewhat likely"/>
    <n v="3"/>
    <x v="3"/>
    <n v="3"/>
    <x v="0"/>
    <x v="4"/>
    <n v="3"/>
    <x v="0"/>
  </r>
  <r>
    <n v="195"/>
    <x v="194"/>
    <x v="0"/>
    <x v="0"/>
    <x v="0"/>
    <s v="Very unlikely"/>
    <n v="1"/>
    <x v="1"/>
    <n v="1"/>
    <x v="0"/>
    <x v="2"/>
    <n v="6"/>
    <x v="8"/>
  </r>
  <r>
    <n v="196"/>
    <x v="195"/>
    <x v="0"/>
    <x v="5"/>
    <x v="0"/>
    <s v="Very likely"/>
    <n v="4"/>
    <x v="4"/>
    <n v="4"/>
    <x v="2"/>
    <x v="0"/>
    <n v="4"/>
    <x v="0"/>
  </r>
  <r>
    <n v="197"/>
    <x v="196"/>
    <x v="0"/>
    <x v="0"/>
    <x v="0"/>
    <s v="Very likely"/>
    <n v="4"/>
    <x v="3"/>
    <n v="3"/>
    <x v="0"/>
    <x v="7"/>
    <n v="2"/>
    <x v="7"/>
  </r>
  <r>
    <n v="198"/>
    <x v="197"/>
    <x v="0"/>
    <x v="0"/>
    <x v="0"/>
    <s v="Very likely"/>
    <n v="4"/>
    <x v="0"/>
    <n v="2"/>
    <x v="0"/>
    <x v="2"/>
    <n v="6"/>
    <x v="0"/>
  </r>
  <r>
    <n v="199"/>
    <x v="198"/>
    <x v="0"/>
    <x v="5"/>
    <x v="0"/>
    <s v="Very likely"/>
    <n v="4"/>
    <x v="4"/>
    <n v="4"/>
    <x v="2"/>
    <x v="1"/>
    <n v="11"/>
    <x v="3"/>
  </r>
  <r>
    <n v="200"/>
    <x v="199"/>
    <x v="0"/>
    <x v="0"/>
    <x v="0"/>
    <s v="Very likely"/>
    <n v="4"/>
    <x v="4"/>
    <n v="4"/>
    <x v="2"/>
    <x v="0"/>
    <n v="4"/>
    <x v="7"/>
  </r>
  <r>
    <n v="201"/>
    <x v="200"/>
    <x v="1"/>
    <x v="5"/>
    <x v="0"/>
    <s v="Somewhat likely"/>
    <n v="3"/>
    <x v="0"/>
    <n v="2"/>
    <x v="0"/>
    <x v="4"/>
    <n v="3"/>
    <x v="6"/>
  </r>
  <r>
    <n v="202"/>
    <x v="201"/>
    <x v="1"/>
    <x v="0"/>
    <x v="0"/>
    <s v="Somewhat likely"/>
    <n v="3"/>
    <x v="0"/>
    <n v="2"/>
    <x v="0"/>
    <x v="11"/>
    <n v="7"/>
    <x v="0"/>
  </r>
  <r>
    <n v="203"/>
    <x v="202"/>
    <x v="0"/>
    <x v="8"/>
    <x v="0"/>
    <s v="Very unlikely"/>
    <n v="1"/>
    <x v="4"/>
    <n v="4"/>
    <x v="2"/>
    <x v="8"/>
    <n v="5"/>
    <x v="3"/>
  </r>
  <r>
    <n v="204"/>
    <x v="203"/>
    <x v="0"/>
    <x v="0"/>
    <x v="0"/>
    <s v="Very likely"/>
    <n v="4"/>
    <x v="4"/>
    <n v="4"/>
    <x v="0"/>
    <x v="6"/>
    <n v="1"/>
    <x v="2"/>
  </r>
  <r>
    <n v="205"/>
    <x v="204"/>
    <x v="0"/>
    <x v="5"/>
    <x v="0"/>
    <s v="Very likely"/>
    <n v="4"/>
    <x v="3"/>
    <n v="3"/>
    <x v="0"/>
    <x v="0"/>
    <n v="4"/>
    <x v="6"/>
  </r>
  <r>
    <n v="206"/>
    <x v="205"/>
    <x v="0"/>
    <x v="2"/>
    <x v="0"/>
    <s v="Somewhat likely"/>
    <n v="3"/>
    <x v="4"/>
    <n v="4"/>
    <x v="2"/>
    <x v="8"/>
    <n v="5"/>
    <x v="9"/>
  </r>
  <r>
    <n v="207"/>
    <x v="206"/>
    <x v="0"/>
    <x v="4"/>
    <x v="0"/>
    <s v="Very likely"/>
    <n v="4"/>
    <x v="3"/>
    <n v="3"/>
    <x v="0"/>
    <x v="0"/>
    <n v="4"/>
    <x v="6"/>
  </r>
  <r>
    <n v="208"/>
    <x v="207"/>
    <x v="0"/>
    <x v="0"/>
    <x v="0"/>
    <s v="Somewhat likely"/>
    <n v="3"/>
    <x v="4"/>
    <n v="4"/>
    <x v="0"/>
    <x v="9"/>
    <n v="10"/>
    <x v="8"/>
  </r>
  <r>
    <n v="209"/>
    <x v="208"/>
    <x v="0"/>
    <x v="1"/>
    <x v="30"/>
    <s v="Very unlikely"/>
    <n v="1"/>
    <x v="3"/>
    <n v="3"/>
    <x v="0"/>
    <x v="11"/>
    <n v="7"/>
    <x v="2"/>
  </r>
  <r>
    <n v="210"/>
    <x v="209"/>
    <x v="0"/>
    <x v="0"/>
    <x v="0"/>
    <s v="Somewhat likely"/>
    <n v="3"/>
    <x v="3"/>
    <n v="3"/>
    <x v="0"/>
    <x v="1"/>
    <n v="11"/>
    <x v="0"/>
  </r>
  <r>
    <n v="211"/>
    <x v="210"/>
    <x v="0"/>
    <x v="5"/>
    <x v="0"/>
    <s v="Somewhat unlikely"/>
    <n v="2"/>
    <x v="4"/>
    <n v="4"/>
    <x v="2"/>
    <x v="8"/>
    <n v="5"/>
    <x v="6"/>
  </r>
  <r>
    <n v="212"/>
    <x v="211"/>
    <x v="0"/>
    <x v="7"/>
    <x v="0"/>
    <s v="Very likely"/>
    <n v="4"/>
    <x v="4"/>
    <n v="4"/>
    <x v="0"/>
    <x v="2"/>
    <n v="6"/>
    <x v="5"/>
  </r>
  <r>
    <n v="213"/>
    <x v="212"/>
    <x v="0"/>
    <x v="1"/>
    <x v="31"/>
    <s v="Very unlikely"/>
    <n v="1"/>
    <x v="4"/>
    <n v="4"/>
    <x v="2"/>
    <x v="4"/>
    <n v="3"/>
    <x v="6"/>
  </r>
  <r>
    <n v="214"/>
    <x v="213"/>
    <x v="0"/>
    <x v="2"/>
    <x v="0"/>
    <s v="Somewhat likely"/>
    <n v="3"/>
    <x v="4"/>
    <n v="4"/>
    <x v="2"/>
    <x v="2"/>
    <n v="6"/>
    <x v="2"/>
  </r>
  <r>
    <n v="215"/>
    <x v="214"/>
    <x v="0"/>
    <x v="1"/>
    <x v="18"/>
    <s v="Somewhat unlikely"/>
    <n v="2"/>
    <x v="4"/>
    <n v="4"/>
    <x v="0"/>
    <x v="0"/>
    <n v="4"/>
    <x v="2"/>
  </r>
  <r>
    <n v="216"/>
    <x v="215"/>
    <x v="0"/>
    <x v="1"/>
    <x v="32"/>
    <s v="Very likely"/>
    <n v="4"/>
    <x v="4"/>
    <n v="4"/>
    <x v="0"/>
    <x v="9"/>
    <n v="10"/>
    <x v="2"/>
  </r>
  <r>
    <n v="217"/>
    <x v="216"/>
    <x v="0"/>
    <x v="4"/>
    <x v="0"/>
    <s v="Very unlikely"/>
    <n v="1"/>
    <x v="3"/>
    <n v="3"/>
    <x v="0"/>
    <x v="10"/>
    <n v="9"/>
    <x v="2"/>
  </r>
  <r>
    <n v="218"/>
    <x v="217"/>
    <x v="0"/>
    <x v="5"/>
    <x v="0"/>
    <s v="Very unlikely"/>
    <n v="1"/>
    <x v="4"/>
    <n v="4"/>
    <x v="2"/>
    <x v="2"/>
    <n v="6"/>
    <x v="3"/>
  </r>
  <r>
    <n v="219"/>
    <x v="218"/>
    <x v="0"/>
    <x v="5"/>
    <x v="0"/>
    <s v="Somewhat unlikely"/>
    <n v="2"/>
    <x v="4"/>
    <n v="4"/>
    <x v="2"/>
    <x v="7"/>
    <n v="2"/>
    <x v="0"/>
  </r>
  <r>
    <n v="220"/>
    <x v="219"/>
    <x v="0"/>
    <x v="2"/>
    <x v="0"/>
    <s v="Very likely"/>
    <n v="4"/>
    <x v="3"/>
    <n v="3"/>
    <x v="0"/>
    <x v="8"/>
    <n v="5"/>
    <x v="9"/>
  </r>
  <r>
    <n v="221"/>
    <x v="220"/>
    <x v="0"/>
    <x v="0"/>
    <x v="0"/>
    <s v="Very unlikely"/>
    <n v="1"/>
    <x v="3"/>
    <n v="3"/>
    <x v="0"/>
    <x v="2"/>
    <n v="6"/>
    <x v="2"/>
  </r>
  <r>
    <n v="222"/>
    <x v="221"/>
    <x v="0"/>
    <x v="2"/>
    <x v="0"/>
    <s v="Very likely"/>
    <n v="4"/>
    <x v="4"/>
    <n v="4"/>
    <x v="2"/>
    <x v="0"/>
    <n v="4"/>
    <x v="8"/>
  </r>
  <r>
    <n v="223"/>
    <x v="222"/>
    <x v="0"/>
    <x v="7"/>
    <x v="0"/>
    <s v="Somewhat unlikely"/>
    <n v="2"/>
    <x v="4"/>
    <n v="4"/>
    <x v="2"/>
    <x v="8"/>
    <n v="5"/>
    <x v="2"/>
  </r>
  <r>
    <n v="224"/>
    <x v="223"/>
    <x v="1"/>
    <x v="5"/>
    <x v="0"/>
    <s v="Very unlikely"/>
    <n v="1"/>
    <x v="3"/>
    <n v="3"/>
    <x v="0"/>
    <x v="8"/>
    <n v="5"/>
    <x v="0"/>
  </r>
  <r>
    <n v="225"/>
    <x v="224"/>
    <x v="0"/>
    <x v="1"/>
    <x v="5"/>
    <s v="Somewhat likely"/>
    <n v="3"/>
    <x v="4"/>
    <n v="4"/>
    <x v="0"/>
    <x v="11"/>
    <n v="7"/>
    <x v="2"/>
  </r>
  <r>
    <n v="226"/>
    <x v="225"/>
    <x v="0"/>
    <x v="5"/>
    <x v="0"/>
    <s v="Somewhat likely"/>
    <n v="3"/>
    <x v="4"/>
    <n v="4"/>
    <x v="0"/>
    <x v="4"/>
    <n v="3"/>
    <x v="2"/>
  </r>
  <r>
    <n v="227"/>
    <x v="226"/>
    <x v="0"/>
    <x v="5"/>
    <x v="0"/>
    <s v="Somewhat unlikely"/>
    <n v="2"/>
    <x v="4"/>
    <n v="4"/>
    <x v="0"/>
    <x v="6"/>
    <n v="1"/>
    <x v="1"/>
  </r>
  <r>
    <n v="228"/>
    <x v="227"/>
    <x v="0"/>
    <x v="0"/>
    <x v="0"/>
    <s v="Somewhat unlikely"/>
    <n v="2"/>
    <x v="3"/>
    <n v="3"/>
    <x v="0"/>
    <x v="10"/>
    <n v="9"/>
    <x v="6"/>
  </r>
  <r>
    <n v="229"/>
    <x v="228"/>
    <x v="0"/>
    <x v="2"/>
    <x v="0"/>
    <s v="Very likely"/>
    <n v="4"/>
    <x v="3"/>
    <n v="3"/>
    <x v="0"/>
    <x v="10"/>
    <n v="9"/>
    <x v="5"/>
  </r>
  <r>
    <n v="230"/>
    <x v="229"/>
    <x v="0"/>
    <x v="4"/>
    <x v="0"/>
    <s v="Very likely"/>
    <n v="4"/>
    <x v="4"/>
    <n v="4"/>
    <x v="2"/>
    <x v="1"/>
    <n v="11"/>
    <x v="6"/>
  </r>
  <r>
    <n v="231"/>
    <x v="230"/>
    <x v="0"/>
    <x v="5"/>
    <x v="0"/>
    <s v="Very likely"/>
    <n v="4"/>
    <x v="4"/>
    <n v="4"/>
    <x v="0"/>
    <x v="2"/>
    <n v="6"/>
    <x v="0"/>
  </r>
  <r>
    <n v="232"/>
    <x v="231"/>
    <x v="0"/>
    <x v="5"/>
    <x v="0"/>
    <s v="Very unlikely"/>
    <n v="1"/>
    <x v="4"/>
    <n v="4"/>
    <x v="0"/>
    <x v="1"/>
    <n v="11"/>
    <x v="0"/>
  </r>
  <r>
    <n v="233"/>
    <x v="232"/>
    <x v="0"/>
    <x v="0"/>
    <x v="0"/>
    <s v="Very likely"/>
    <n v="4"/>
    <x v="3"/>
    <n v="3"/>
    <x v="0"/>
    <x v="0"/>
    <n v="4"/>
    <x v="6"/>
  </r>
  <r>
    <n v="234"/>
    <x v="233"/>
    <x v="0"/>
    <x v="4"/>
    <x v="0"/>
    <s v="Very unlikely"/>
    <n v="1"/>
    <x v="3"/>
    <n v="3"/>
    <x v="0"/>
    <x v="2"/>
    <n v="6"/>
    <x v="3"/>
  </r>
  <r>
    <n v="235"/>
    <x v="234"/>
    <x v="0"/>
    <x v="0"/>
    <x v="0"/>
    <s v="Very likely"/>
    <n v="4"/>
    <x v="1"/>
    <n v="1"/>
    <x v="0"/>
    <x v="7"/>
    <n v="2"/>
    <x v="2"/>
  </r>
  <r>
    <n v="236"/>
    <x v="235"/>
    <x v="0"/>
    <x v="1"/>
    <x v="9"/>
    <s v="Somewhat likely"/>
    <n v="3"/>
    <x v="0"/>
    <n v="2"/>
    <x v="2"/>
    <x v="2"/>
    <n v="6"/>
    <x v="4"/>
  </r>
  <r>
    <n v="237"/>
    <x v="236"/>
    <x v="0"/>
    <x v="8"/>
    <x v="0"/>
    <s v="Very likely"/>
    <n v="4"/>
    <x v="4"/>
    <n v="4"/>
    <x v="0"/>
    <x v="0"/>
    <n v="4"/>
    <x v="4"/>
  </r>
  <r>
    <n v="238"/>
    <x v="237"/>
    <x v="0"/>
    <x v="1"/>
    <x v="33"/>
    <s v="Somewhat unlikely"/>
    <n v="2"/>
    <x v="4"/>
    <n v="4"/>
    <x v="0"/>
    <x v="4"/>
    <n v="3"/>
    <x v="6"/>
  </r>
  <r>
    <n v="239"/>
    <x v="238"/>
    <x v="1"/>
    <x v="7"/>
    <x v="0"/>
    <s v="Very unlikely"/>
    <n v="1"/>
    <x v="3"/>
    <n v="3"/>
    <x v="0"/>
    <x v="1"/>
    <n v="11"/>
    <x v="4"/>
  </r>
  <r>
    <n v="240"/>
    <x v="239"/>
    <x v="1"/>
    <x v="4"/>
    <x v="0"/>
    <s v="Somewhat likely"/>
    <n v="3"/>
    <x v="3"/>
    <n v="3"/>
    <x v="0"/>
    <x v="2"/>
    <n v="6"/>
    <x v="2"/>
  </r>
  <r>
    <n v="241"/>
    <x v="240"/>
    <x v="0"/>
    <x v="5"/>
    <x v="0"/>
    <s v="Somewhat likely"/>
    <n v="3"/>
    <x v="0"/>
    <n v="2"/>
    <x v="2"/>
    <x v="6"/>
    <n v="1"/>
    <x v="9"/>
  </r>
  <r>
    <n v="242"/>
    <x v="241"/>
    <x v="1"/>
    <x v="6"/>
    <x v="0"/>
    <s v="Very unlikely"/>
    <n v="1"/>
    <x v="0"/>
    <n v="2"/>
    <x v="2"/>
    <x v="7"/>
    <n v="2"/>
    <x v="1"/>
  </r>
  <r>
    <n v="243"/>
    <x v="242"/>
    <x v="0"/>
    <x v="5"/>
    <x v="0"/>
    <s v="Somewhat likely"/>
    <n v="3"/>
    <x v="4"/>
    <n v="4"/>
    <x v="2"/>
    <x v="8"/>
    <n v="5"/>
    <x v="6"/>
  </r>
  <r>
    <n v="244"/>
    <x v="243"/>
    <x v="0"/>
    <x v="0"/>
    <x v="0"/>
    <s v="Somewhat likely"/>
    <n v="3"/>
    <x v="0"/>
    <n v="2"/>
    <x v="2"/>
    <x v="7"/>
    <n v="2"/>
    <x v="4"/>
  </r>
  <r>
    <n v="245"/>
    <x v="244"/>
    <x v="0"/>
    <x v="1"/>
    <x v="34"/>
    <s v="Very unlikely"/>
    <n v="1"/>
    <x v="0"/>
    <n v="2"/>
    <x v="2"/>
    <x v="7"/>
    <n v="2"/>
    <x v="4"/>
  </r>
  <r>
    <n v="246"/>
    <x v="245"/>
    <x v="1"/>
    <x v="5"/>
    <x v="0"/>
    <s v="Very unlikely"/>
    <n v="1"/>
    <x v="4"/>
    <n v="4"/>
    <x v="0"/>
    <x v="1"/>
    <n v="11"/>
    <x v="4"/>
  </r>
  <r>
    <n v="247"/>
    <x v="246"/>
    <x v="0"/>
    <x v="1"/>
    <x v="5"/>
    <s v="Somewhat likely"/>
    <n v="3"/>
    <x v="0"/>
    <n v="2"/>
    <x v="2"/>
    <x v="1"/>
    <n v="11"/>
    <x v="4"/>
  </r>
  <r>
    <n v="248"/>
    <x v="247"/>
    <x v="1"/>
    <x v="4"/>
    <x v="0"/>
    <s v="Somewhat unlikely"/>
    <n v="2"/>
    <x v="4"/>
    <n v="4"/>
    <x v="2"/>
    <x v="0"/>
    <n v="4"/>
    <x v="4"/>
  </r>
  <r>
    <n v="249"/>
    <x v="248"/>
    <x v="1"/>
    <x v="4"/>
    <x v="0"/>
    <s v="Somewhat likely"/>
    <n v="3"/>
    <x v="3"/>
    <n v="3"/>
    <x v="0"/>
    <x v="2"/>
    <n v="6"/>
    <x v="0"/>
  </r>
  <r>
    <n v="250"/>
    <x v="249"/>
    <x v="1"/>
    <x v="0"/>
    <x v="0"/>
    <s v="Very unlikely"/>
    <n v="1"/>
    <x v="4"/>
    <n v="4"/>
    <x v="0"/>
    <x v="1"/>
    <n v="11"/>
    <x v="4"/>
  </r>
  <r>
    <n v="251"/>
    <x v="250"/>
    <x v="0"/>
    <x v="1"/>
    <x v="35"/>
    <s v="Somewhat likely"/>
    <n v="3"/>
    <x v="0"/>
    <n v="2"/>
    <x v="2"/>
    <x v="7"/>
    <n v="2"/>
    <x v="4"/>
  </r>
  <r>
    <n v="252"/>
    <x v="251"/>
    <x v="0"/>
    <x v="6"/>
    <x v="0"/>
    <s v="Very unlikely"/>
    <n v="1"/>
    <x v="4"/>
    <n v="4"/>
    <x v="2"/>
    <x v="2"/>
    <n v="6"/>
    <x v="4"/>
  </r>
  <r>
    <n v="253"/>
    <x v="252"/>
    <x v="0"/>
    <x v="0"/>
    <x v="0"/>
    <s v="Very likely"/>
    <n v="4"/>
    <x v="0"/>
    <n v="2"/>
    <x v="2"/>
    <x v="6"/>
    <n v="1"/>
    <x v="5"/>
  </r>
  <r>
    <n v="254"/>
    <x v="253"/>
    <x v="1"/>
    <x v="0"/>
    <x v="0"/>
    <s v="Somewhat unlikely"/>
    <n v="2"/>
    <x v="4"/>
    <n v="4"/>
    <x v="2"/>
    <x v="0"/>
    <n v="4"/>
    <x v="4"/>
  </r>
  <r>
    <n v="255"/>
    <x v="254"/>
    <x v="0"/>
    <x v="1"/>
    <x v="36"/>
    <s v="Very likely"/>
    <n v="4"/>
    <x v="4"/>
    <n v="4"/>
    <x v="0"/>
    <x v="9"/>
    <n v="10"/>
    <x v="2"/>
  </r>
  <r>
    <n v="256"/>
    <x v="255"/>
    <x v="0"/>
    <x v="2"/>
    <x v="0"/>
    <s v="Very unlikely"/>
    <n v="1"/>
    <x v="3"/>
    <n v="3"/>
    <x v="0"/>
    <x v="4"/>
    <n v="3"/>
    <x v="2"/>
  </r>
  <r>
    <n v="257"/>
    <x v="256"/>
    <x v="1"/>
    <x v="1"/>
    <x v="37"/>
    <s v="Somewhat unlikely"/>
    <n v="2"/>
    <x v="0"/>
    <n v="2"/>
    <x v="2"/>
    <x v="7"/>
    <n v="2"/>
    <x v="4"/>
  </r>
  <r>
    <n v="258"/>
    <x v="257"/>
    <x v="0"/>
    <x v="0"/>
    <x v="0"/>
    <s v="Very likely"/>
    <n v="4"/>
    <x v="4"/>
    <n v="4"/>
    <x v="2"/>
    <x v="10"/>
    <n v="9"/>
    <x v="4"/>
  </r>
  <r>
    <n v="259"/>
    <x v="258"/>
    <x v="0"/>
    <x v="4"/>
    <x v="0"/>
    <s v="Somewhat likely"/>
    <n v="3"/>
    <x v="4"/>
    <n v="4"/>
    <x v="2"/>
    <x v="0"/>
    <n v="4"/>
    <x v="6"/>
  </r>
  <r>
    <n v="260"/>
    <x v="259"/>
    <x v="0"/>
    <x v="1"/>
    <x v="38"/>
    <s v="Somewhat likely"/>
    <n v="3"/>
    <x v="0"/>
    <n v="2"/>
    <x v="2"/>
    <x v="1"/>
    <n v="11"/>
    <x v="1"/>
  </r>
  <r>
    <n v="261"/>
    <x v="260"/>
    <x v="1"/>
    <x v="0"/>
    <x v="0"/>
    <s v="Very unlikely"/>
    <n v="1"/>
    <x v="4"/>
    <n v="4"/>
    <x v="0"/>
    <x v="1"/>
    <n v="11"/>
    <x v="4"/>
  </r>
  <r>
    <n v="262"/>
    <x v="261"/>
    <x v="1"/>
    <x v="0"/>
    <x v="0"/>
    <s v="Very unlikely"/>
    <n v="1"/>
    <x v="0"/>
    <n v="2"/>
    <x v="2"/>
    <x v="4"/>
    <n v="3"/>
    <x v="4"/>
  </r>
  <r>
    <n v="263"/>
    <x v="262"/>
    <x v="0"/>
    <x v="0"/>
    <x v="0"/>
    <s v="Very likely"/>
    <n v="4"/>
    <x v="4"/>
    <n v="4"/>
    <x v="0"/>
    <x v="2"/>
    <n v="6"/>
    <x v="4"/>
  </r>
  <r>
    <n v="264"/>
    <x v="263"/>
    <x v="0"/>
    <x v="6"/>
    <x v="0"/>
    <s v="Somewhat likely"/>
    <n v="3"/>
    <x v="4"/>
    <n v="4"/>
    <x v="2"/>
    <x v="1"/>
    <n v="11"/>
    <x v="4"/>
  </r>
  <r>
    <n v="265"/>
    <x v="264"/>
    <x v="1"/>
    <x v="4"/>
    <x v="0"/>
    <s v="Very unlikely"/>
    <n v="1"/>
    <x v="4"/>
    <n v="4"/>
    <x v="2"/>
    <x v="2"/>
    <n v="6"/>
    <x v="5"/>
  </r>
  <r>
    <n v="266"/>
    <x v="265"/>
    <x v="1"/>
    <x v="4"/>
    <x v="0"/>
    <s v="Somewhat likely"/>
    <n v="3"/>
    <x v="4"/>
    <n v="4"/>
    <x v="0"/>
    <x v="1"/>
    <n v="11"/>
    <x v="4"/>
  </r>
  <r>
    <n v="267"/>
    <x v="266"/>
    <x v="0"/>
    <x v="2"/>
    <x v="0"/>
    <s v="Very likely"/>
    <n v="4"/>
    <x v="0"/>
    <n v="2"/>
    <x v="2"/>
    <x v="0"/>
    <n v="4"/>
    <x v="4"/>
  </r>
  <r>
    <n v="268"/>
    <x v="267"/>
    <x v="0"/>
    <x v="1"/>
    <x v="4"/>
    <s v="Very likely"/>
    <n v="4"/>
    <x v="4"/>
    <n v="4"/>
    <x v="2"/>
    <x v="1"/>
    <n v="11"/>
    <x v="4"/>
  </r>
  <r>
    <n v="269"/>
    <x v="268"/>
    <x v="0"/>
    <x v="0"/>
    <x v="0"/>
    <s v="Very likely"/>
    <n v="4"/>
    <x v="0"/>
    <n v="2"/>
    <x v="2"/>
    <x v="1"/>
    <n v="11"/>
    <x v="7"/>
  </r>
  <r>
    <n v="270"/>
    <x v="269"/>
    <x v="0"/>
    <x v="6"/>
    <x v="0"/>
    <s v="Very unlikely"/>
    <n v="1"/>
    <x v="4"/>
    <n v="4"/>
    <x v="2"/>
    <x v="3"/>
    <n v="8"/>
    <x v="4"/>
  </r>
  <r>
    <n v="271"/>
    <x v="270"/>
    <x v="1"/>
    <x v="5"/>
    <x v="0"/>
    <s v="Somewhat likely"/>
    <n v="3"/>
    <x v="0"/>
    <n v="2"/>
    <x v="0"/>
    <x v="1"/>
    <n v="11"/>
    <x v="4"/>
  </r>
  <r>
    <n v="272"/>
    <x v="271"/>
    <x v="0"/>
    <x v="5"/>
    <x v="0"/>
    <s v="Very unlikely"/>
    <n v="1"/>
    <x v="4"/>
    <n v="4"/>
    <x v="0"/>
    <x v="1"/>
    <n v="11"/>
    <x v="3"/>
  </r>
  <r>
    <n v="273"/>
    <x v="272"/>
    <x v="1"/>
    <x v="5"/>
    <x v="0"/>
    <s v="Very unlikely"/>
    <n v="1"/>
    <x v="0"/>
    <n v="2"/>
    <x v="2"/>
    <x v="7"/>
    <n v="2"/>
    <x v="4"/>
  </r>
  <r>
    <n v="274"/>
    <x v="273"/>
    <x v="0"/>
    <x v="5"/>
    <x v="0"/>
    <s v="Very likely"/>
    <n v="4"/>
    <x v="3"/>
    <n v="3"/>
    <x v="0"/>
    <x v="4"/>
    <n v="3"/>
    <x v="4"/>
  </r>
  <r>
    <n v="275"/>
    <x v="274"/>
    <x v="0"/>
    <x v="4"/>
    <x v="0"/>
    <s v="Somewhat likely"/>
    <n v="3"/>
    <x v="3"/>
    <n v="3"/>
    <x v="0"/>
    <x v="2"/>
    <n v="6"/>
    <x v="4"/>
  </r>
  <r>
    <n v="276"/>
    <x v="275"/>
    <x v="1"/>
    <x v="4"/>
    <x v="0"/>
    <s v="Somewhat unlikely"/>
    <n v="2"/>
    <x v="4"/>
    <n v="4"/>
    <x v="2"/>
    <x v="11"/>
    <n v="7"/>
    <x v="4"/>
  </r>
  <r>
    <n v="277"/>
    <x v="276"/>
    <x v="0"/>
    <x v="4"/>
    <x v="0"/>
    <s v="Very likely"/>
    <n v="4"/>
    <x v="1"/>
    <n v="1"/>
    <x v="0"/>
    <x v="4"/>
    <n v="3"/>
    <x v="4"/>
  </r>
  <r>
    <n v="278"/>
    <x v="277"/>
    <x v="0"/>
    <x v="0"/>
    <x v="0"/>
    <s v="Somewhat likely"/>
    <n v="3"/>
    <x v="0"/>
    <n v="2"/>
    <x v="2"/>
    <x v="7"/>
    <n v="2"/>
    <x v="0"/>
  </r>
  <r>
    <n v="279"/>
    <x v="278"/>
    <x v="0"/>
    <x v="2"/>
    <x v="0"/>
    <s v="Very likely"/>
    <n v="4"/>
    <x v="4"/>
    <n v="4"/>
    <x v="2"/>
    <x v="4"/>
    <n v="3"/>
    <x v="4"/>
  </r>
  <r>
    <n v="280"/>
    <x v="279"/>
    <x v="0"/>
    <x v="2"/>
    <x v="0"/>
    <s v="Somewhat unlikely"/>
    <n v="2"/>
    <x v="0"/>
    <n v="2"/>
    <x v="2"/>
    <x v="2"/>
    <n v="6"/>
    <x v="3"/>
  </r>
  <r>
    <n v="281"/>
    <x v="280"/>
    <x v="0"/>
    <x v="5"/>
    <x v="0"/>
    <s v="Very unlikely"/>
    <n v="1"/>
    <x v="4"/>
    <n v="4"/>
    <x v="0"/>
    <x v="0"/>
    <n v="4"/>
    <x v="8"/>
  </r>
  <r>
    <n v="282"/>
    <x v="281"/>
    <x v="1"/>
    <x v="4"/>
    <x v="0"/>
    <s v="Somewhat unlikely"/>
    <n v="2"/>
    <x v="4"/>
    <n v="4"/>
    <x v="2"/>
    <x v="1"/>
    <n v="11"/>
    <x v="4"/>
  </r>
  <r>
    <n v="283"/>
    <x v="282"/>
    <x v="0"/>
    <x v="5"/>
    <x v="0"/>
    <s v="Very unlikely"/>
    <n v="1"/>
    <x v="4"/>
    <n v="4"/>
    <x v="0"/>
    <x v="7"/>
    <n v="2"/>
    <x v="7"/>
  </r>
  <r>
    <n v="284"/>
    <x v="283"/>
    <x v="0"/>
    <x v="4"/>
    <x v="0"/>
    <s v="Very likely"/>
    <n v="4"/>
    <x v="4"/>
    <n v="4"/>
    <x v="2"/>
    <x v="8"/>
    <n v="5"/>
    <x v="6"/>
  </r>
  <r>
    <n v="285"/>
    <x v="284"/>
    <x v="0"/>
    <x v="4"/>
    <x v="0"/>
    <s v="Very likely"/>
    <n v="4"/>
    <x v="0"/>
    <n v="2"/>
    <x v="2"/>
    <x v="1"/>
    <n v="11"/>
    <x v="0"/>
  </r>
  <r>
    <n v="286"/>
    <x v="285"/>
    <x v="1"/>
    <x v="0"/>
    <x v="0"/>
    <s v="Very likely"/>
    <n v="4"/>
    <x v="0"/>
    <n v="2"/>
    <x v="2"/>
    <x v="4"/>
    <n v="3"/>
    <x v="0"/>
  </r>
  <r>
    <n v="287"/>
    <x v="286"/>
    <x v="1"/>
    <x v="4"/>
    <x v="0"/>
    <s v="Somewhat unlikely"/>
    <n v="2"/>
    <x v="4"/>
    <n v="4"/>
    <x v="0"/>
    <x v="0"/>
    <n v="4"/>
    <x v="0"/>
  </r>
  <r>
    <n v="288"/>
    <x v="287"/>
    <x v="0"/>
    <x v="2"/>
    <x v="0"/>
    <s v="Very likely"/>
    <n v="4"/>
    <x v="4"/>
    <n v="4"/>
    <x v="0"/>
    <x v="7"/>
    <n v="2"/>
    <x v="2"/>
  </r>
  <r>
    <n v="289"/>
    <x v="288"/>
    <x v="1"/>
    <x v="0"/>
    <x v="0"/>
    <s v="Very likely"/>
    <n v="4"/>
    <x v="4"/>
    <n v="4"/>
    <x v="2"/>
    <x v="10"/>
    <n v="9"/>
    <x v="0"/>
  </r>
  <r>
    <n v="290"/>
    <x v="289"/>
    <x v="0"/>
    <x v="0"/>
    <x v="0"/>
    <s v="Very likely"/>
    <n v="4"/>
    <x v="0"/>
    <n v="2"/>
    <x v="2"/>
    <x v="3"/>
    <n v="8"/>
    <x v="2"/>
  </r>
  <r>
    <n v="291"/>
    <x v="290"/>
    <x v="0"/>
    <x v="5"/>
    <x v="0"/>
    <s v="Somewhat likely"/>
    <n v="3"/>
    <x v="4"/>
    <n v="4"/>
    <x v="2"/>
    <x v="4"/>
    <n v="3"/>
    <x v="5"/>
  </r>
  <r>
    <n v="292"/>
    <x v="291"/>
    <x v="0"/>
    <x v="0"/>
    <x v="0"/>
    <s v="Somewhat likely"/>
    <n v="3"/>
    <x v="0"/>
    <n v="2"/>
    <x v="2"/>
    <x v="2"/>
    <n v="6"/>
    <x v="0"/>
  </r>
  <r>
    <n v="293"/>
    <x v="292"/>
    <x v="0"/>
    <x v="5"/>
    <x v="0"/>
    <s v="Very unlikely"/>
    <n v="1"/>
    <x v="0"/>
    <n v="2"/>
    <x v="0"/>
    <x v="8"/>
    <n v="5"/>
    <x v="5"/>
  </r>
  <r>
    <n v="294"/>
    <x v="293"/>
    <x v="1"/>
    <x v="6"/>
    <x v="0"/>
    <s v="Very likely"/>
    <n v="4"/>
    <x v="4"/>
    <n v="4"/>
    <x v="2"/>
    <x v="7"/>
    <n v="2"/>
    <x v="2"/>
  </r>
  <r>
    <n v="295"/>
    <x v="294"/>
    <x v="0"/>
    <x v="1"/>
    <x v="39"/>
    <s v="Very likely"/>
    <n v="4"/>
    <x v="4"/>
    <n v="4"/>
    <x v="2"/>
    <x v="7"/>
    <n v="2"/>
    <x v="4"/>
  </r>
  <r>
    <n v="296"/>
    <x v="295"/>
    <x v="1"/>
    <x v="2"/>
    <x v="0"/>
    <s v="Very unlikely"/>
    <n v="1"/>
    <x v="1"/>
    <n v="1"/>
    <x v="0"/>
    <x v="6"/>
    <n v="1"/>
    <x v="4"/>
  </r>
  <r>
    <n v="297"/>
    <x v="296"/>
    <x v="0"/>
    <x v="1"/>
    <x v="40"/>
    <s v="Very unlikely"/>
    <n v="1"/>
    <x v="4"/>
    <n v="4"/>
    <x v="0"/>
    <x v="0"/>
    <n v="4"/>
    <x v="4"/>
  </r>
  <r>
    <n v="298"/>
    <x v="297"/>
    <x v="0"/>
    <x v="0"/>
    <x v="0"/>
    <s v="Somewhat likely"/>
    <n v="3"/>
    <x v="1"/>
    <n v="1"/>
    <x v="0"/>
    <x v="11"/>
    <n v="7"/>
    <x v="0"/>
  </r>
  <r>
    <n v="299"/>
    <x v="298"/>
    <x v="0"/>
    <x v="5"/>
    <x v="0"/>
    <s v="Very unlikely"/>
    <n v="1"/>
    <x v="4"/>
    <n v="4"/>
    <x v="0"/>
    <x v="0"/>
    <n v="4"/>
    <x v="3"/>
  </r>
  <r>
    <n v="300"/>
    <x v="299"/>
    <x v="1"/>
    <x v="4"/>
    <x v="0"/>
    <s v="Somewhat unlikely"/>
    <n v="2"/>
    <x v="3"/>
    <n v="3"/>
    <x v="0"/>
    <x v="0"/>
    <n v="4"/>
    <x v="0"/>
  </r>
  <r>
    <n v="301"/>
    <x v="300"/>
    <x v="0"/>
    <x v="0"/>
    <x v="0"/>
    <s v="Very unlikely"/>
    <n v="1"/>
    <x v="3"/>
    <n v="3"/>
    <x v="0"/>
    <x v="8"/>
    <n v="5"/>
    <x v="4"/>
  </r>
  <r>
    <n v="302"/>
    <x v="301"/>
    <x v="0"/>
    <x v="5"/>
    <x v="0"/>
    <s v="Very unlikely"/>
    <n v="1"/>
    <x v="4"/>
    <n v="4"/>
    <x v="0"/>
    <x v="8"/>
    <n v="5"/>
    <x v="4"/>
  </r>
  <r>
    <n v="303"/>
    <x v="302"/>
    <x v="0"/>
    <x v="2"/>
    <x v="0"/>
    <s v="Very likely"/>
    <n v="4"/>
    <x v="4"/>
    <n v="4"/>
    <x v="0"/>
    <x v="1"/>
    <n v="11"/>
    <x v="0"/>
  </r>
  <r>
    <n v="304"/>
    <x v="303"/>
    <x v="1"/>
    <x v="7"/>
    <x v="0"/>
    <s v="Very unlikely"/>
    <n v="1"/>
    <x v="4"/>
    <n v="4"/>
    <x v="2"/>
    <x v="1"/>
    <n v="11"/>
    <x v="2"/>
  </r>
  <r>
    <n v="305"/>
    <x v="304"/>
    <x v="0"/>
    <x v="4"/>
    <x v="0"/>
    <s v="Very likely"/>
    <n v="4"/>
    <x v="3"/>
    <n v="3"/>
    <x v="0"/>
    <x v="2"/>
    <n v="6"/>
    <x v="0"/>
  </r>
  <r>
    <n v="306"/>
    <x v="305"/>
    <x v="0"/>
    <x v="0"/>
    <x v="0"/>
    <s v="Very likely"/>
    <n v="4"/>
    <x v="4"/>
    <n v="4"/>
    <x v="0"/>
    <x v="2"/>
    <n v="6"/>
    <x v="0"/>
  </r>
  <r>
    <n v="307"/>
    <x v="306"/>
    <x v="0"/>
    <x v="0"/>
    <x v="0"/>
    <s v="Very likely"/>
    <n v="4"/>
    <x v="4"/>
    <n v="4"/>
    <x v="0"/>
    <x v="0"/>
    <n v="4"/>
    <x v="2"/>
  </r>
  <r>
    <n v="308"/>
    <x v="307"/>
    <x v="1"/>
    <x v="5"/>
    <x v="0"/>
    <s v="Very likely"/>
    <n v="4"/>
    <x v="3"/>
    <n v="3"/>
    <x v="0"/>
    <x v="2"/>
    <n v="6"/>
    <x v="6"/>
  </r>
  <r>
    <n v="309"/>
    <x v="308"/>
    <x v="0"/>
    <x v="1"/>
    <x v="6"/>
    <s v="Very likely"/>
    <n v="4"/>
    <x v="0"/>
    <n v="2"/>
    <x v="2"/>
    <x v="8"/>
    <n v="5"/>
    <x v="2"/>
  </r>
  <r>
    <n v="310"/>
    <x v="309"/>
    <x v="1"/>
    <x v="2"/>
    <x v="0"/>
    <s v="Somewhat unlikely"/>
    <n v="2"/>
    <x v="4"/>
    <n v="4"/>
    <x v="0"/>
    <x v="11"/>
    <n v="7"/>
    <x v="7"/>
  </r>
  <r>
    <n v="311"/>
    <x v="310"/>
    <x v="0"/>
    <x v="1"/>
    <x v="4"/>
    <s v="Very likely"/>
    <n v="4"/>
    <x v="4"/>
    <n v="4"/>
    <x v="2"/>
    <x v="2"/>
    <n v="6"/>
    <x v="4"/>
  </r>
  <r>
    <n v="312"/>
    <x v="311"/>
    <x v="0"/>
    <x v="1"/>
    <x v="41"/>
    <s v="Very unlikely"/>
    <n v="1"/>
    <x v="4"/>
    <n v="4"/>
    <x v="0"/>
    <x v="2"/>
    <n v="6"/>
    <x v="6"/>
  </r>
  <r>
    <n v="313"/>
    <x v="312"/>
    <x v="1"/>
    <x v="4"/>
    <x v="0"/>
    <s v="Very likely"/>
    <n v="4"/>
    <x v="0"/>
    <n v="2"/>
    <x v="2"/>
    <x v="1"/>
    <n v="11"/>
    <x v="4"/>
  </r>
  <r>
    <n v="314"/>
    <x v="313"/>
    <x v="1"/>
    <x v="0"/>
    <x v="0"/>
    <s v="Somewhat likely"/>
    <n v="3"/>
    <x v="4"/>
    <n v="4"/>
    <x v="2"/>
    <x v="1"/>
    <n v="11"/>
    <x v="4"/>
  </r>
  <r>
    <n v="315"/>
    <x v="314"/>
    <x v="0"/>
    <x v="0"/>
    <x v="0"/>
    <s v="Somewhat likely"/>
    <n v="3"/>
    <x v="0"/>
    <n v="2"/>
    <x v="2"/>
    <x v="4"/>
    <n v="3"/>
    <x v="6"/>
  </r>
  <r>
    <n v="316"/>
    <x v="315"/>
    <x v="0"/>
    <x v="1"/>
    <x v="42"/>
    <s v="Somewhat likely"/>
    <n v="3"/>
    <x v="3"/>
    <n v="3"/>
    <x v="0"/>
    <x v="0"/>
    <n v="4"/>
    <x v="0"/>
  </r>
  <r>
    <n v="317"/>
    <x v="316"/>
    <x v="1"/>
    <x v="4"/>
    <x v="0"/>
    <s v="Very unlikely"/>
    <n v="1"/>
    <x v="1"/>
    <n v="1"/>
    <x v="0"/>
    <x v="10"/>
    <n v="9"/>
    <x v="3"/>
  </r>
  <r>
    <n v="318"/>
    <x v="317"/>
    <x v="0"/>
    <x v="4"/>
    <x v="0"/>
    <s v="Somewhat likely"/>
    <n v="3"/>
    <x v="4"/>
    <n v="4"/>
    <x v="2"/>
    <x v="1"/>
    <n v="11"/>
    <x v="2"/>
  </r>
  <r>
    <n v="319"/>
    <x v="318"/>
    <x v="0"/>
    <x v="1"/>
    <x v="43"/>
    <s v="Somewhat likely"/>
    <n v="3"/>
    <x v="4"/>
    <n v="4"/>
    <x v="2"/>
    <x v="3"/>
    <n v="8"/>
    <x v="0"/>
  </r>
  <r>
    <n v="320"/>
    <x v="319"/>
    <x v="0"/>
    <x v="4"/>
    <x v="0"/>
    <s v="Somewhat likely"/>
    <n v="3"/>
    <x v="4"/>
    <n v="4"/>
    <x v="2"/>
    <x v="4"/>
    <n v="3"/>
    <x v="6"/>
  </r>
  <r>
    <n v="321"/>
    <x v="320"/>
    <x v="0"/>
    <x v="5"/>
    <x v="0"/>
    <s v="Very unlikely"/>
    <n v="1"/>
    <x v="4"/>
    <n v="4"/>
    <x v="0"/>
    <x v="0"/>
    <n v="4"/>
    <x v="4"/>
  </r>
  <r>
    <n v="322"/>
    <x v="321"/>
    <x v="1"/>
    <x v="2"/>
    <x v="0"/>
    <s v="Somewhat likely"/>
    <n v="3"/>
    <x v="4"/>
    <n v="4"/>
    <x v="0"/>
    <x v="2"/>
    <n v="6"/>
    <x v="4"/>
  </r>
  <r>
    <n v="323"/>
    <x v="322"/>
    <x v="0"/>
    <x v="5"/>
    <x v="0"/>
    <s v="Very unlikely"/>
    <n v="1"/>
    <x v="0"/>
    <n v="2"/>
    <x v="2"/>
    <x v="0"/>
    <n v="4"/>
    <x v="3"/>
  </r>
  <r>
    <n v="324"/>
    <x v="323"/>
    <x v="1"/>
    <x v="2"/>
    <x v="0"/>
    <s v="Very unlikely"/>
    <n v="1"/>
    <x v="4"/>
    <n v="4"/>
    <x v="2"/>
    <x v="1"/>
    <n v="11"/>
    <x v="7"/>
  </r>
  <r>
    <n v="325"/>
    <x v="324"/>
    <x v="0"/>
    <x v="5"/>
    <x v="0"/>
    <s v="Very likely"/>
    <n v="4"/>
    <x v="3"/>
    <n v="3"/>
    <x v="2"/>
    <x v="0"/>
    <n v="4"/>
    <x v="7"/>
  </r>
  <r>
    <n v="326"/>
    <x v="325"/>
    <x v="0"/>
    <x v="1"/>
    <x v="44"/>
    <s v="Very likely"/>
    <n v="4"/>
    <x v="3"/>
    <n v="3"/>
    <x v="2"/>
    <x v="1"/>
    <n v="11"/>
    <x v="8"/>
  </r>
  <r>
    <n v="327"/>
    <x v="326"/>
    <x v="0"/>
    <x v="7"/>
    <x v="0"/>
    <s v="Somewhat unlikely"/>
    <n v="2"/>
    <x v="4"/>
    <n v="4"/>
    <x v="2"/>
    <x v="1"/>
    <n v="11"/>
    <x v="0"/>
  </r>
  <r>
    <n v="328"/>
    <x v="327"/>
    <x v="0"/>
    <x v="0"/>
    <x v="0"/>
    <s v="Somewhat likely"/>
    <n v="3"/>
    <x v="4"/>
    <n v="4"/>
    <x v="0"/>
    <x v="7"/>
    <n v="2"/>
    <x v="9"/>
  </r>
  <r>
    <n v="329"/>
    <x v="328"/>
    <x v="1"/>
    <x v="4"/>
    <x v="0"/>
    <s v="Very unlikely"/>
    <n v="1"/>
    <x v="4"/>
    <n v="4"/>
    <x v="0"/>
    <x v="4"/>
    <n v="3"/>
    <x v="1"/>
  </r>
  <r>
    <n v="330"/>
    <x v="329"/>
    <x v="0"/>
    <x v="0"/>
    <x v="0"/>
    <s v="Very likely"/>
    <n v="4"/>
    <x v="0"/>
    <n v="2"/>
    <x v="2"/>
    <x v="4"/>
    <n v="3"/>
    <x v="0"/>
  </r>
  <r>
    <n v="331"/>
    <x v="330"/>
    <x v="0"/>
    <x v="7"/>
    <x v="0"/>
    <s v="Somewhat likely"/>
    <n v="3"/>
    <x v="4"/>
    <n v="4"/>
    <x v="2"/>
    <x v="0"/>
    <n v="4"/>
    <x v="0"/>
  </r>
  <r>
    <n v="332"/>
    <x v="331"/>
    <x v="1"/>
    <x v="6"/>
    <x v="0"/>
    <s v="Very unlikely"/>
    <n v="1"/>
    <x v="4"/>
    <n v="4"/>
    <x v="2"/>
    <x v="9"/>
    <n v="10"/>
    <x v="4"/>
  </r>
  <r>
    <n v="333"/>
    <x v="332"/>
    <x v="0"/>
    <x v="1"/>
    <x v="13"/>
    <s v="Very likely"/>
    <n v="4"/>
    <x v="3"/>
    <n v="3"/>
    <x v="0"/>
    <x v="4"/>
    <n v="3"/>
    <x v="0"/>
  </r>
  <r>
    <n v="334"/>
    <x v="333"/>
    <x v="1"/>
    <x v="7"/>
    <x v="0"/>
    <s v="Very likely"/>
    <n v="4"/>
    <x v="4"/>
    <n v="4"/>
    <x v="2"/>
    <x v="4"/>
    <n v="3"/>
    <x v="4"/>
  </r>
  <r>
    <n v="335"/>
    <x v="334"/>
    <x v="1"/>
    <x v="2"/>
    <x v="0"/>
    <s v="Somewhat likely"/>
    <n v="3"/>
    <x v="4"/>
    <n v="4"/>
    <x v="2"/>
    <x v="8"/>
    <n v="5"/>
    <x v="0"/>
  </r>
  <r>
    <n v="336"/>
    <x v="335"/>
    <x v="0"/>
    <x v="5"/>
    <x v="0"/>
    <s v="Somewhat unlikely"/>
    <n v="2"/>
    <x v="4"/>
    <n v="4"/>
    <x v="2"/>
    <x v="2"/>
    <n v="6"/>
    <x v="2"/>
  </r>
  <r>
    <n v="337"/>
    <x v="336"/>
    <x v="0"/>
    <x v="0"/>
    <x v="0"/>
    <s v="Very likely"/>
    <n v="4"/>
    <x v="4"/>
    <n v="4"/>
    <x v="2"/>
    <x v="0"/>
    <n v="4"/>
    <x v="6"/>
  </r>
  <r>
    <n v="338"/>
    <x v="337"/>
    <x v="0"/>
    <x v="2"/>
    <x v="0"/>
    <s v="Somewhat likely"/>
    <n v="3"/>
    <x v="0"/>
    <n v="2"/>
    <x v="2"/>
    <x v="9"/>
    <n v="10"/>
    <x v="6"/>
  </r>
  <r>
    <n v="339"/>
    <x v="338"/>
    <x v="0"/>
    <x v="2"/>
    <x v="0"/>
    <s v="Very unlikely"/>
    <n v="1"/>
    <x v="4"/>
    <n v="4"/>
    <x v="0"/>
    <x v="0"/>
    <n v="4"/>
    <x v="0"/>
  </r>
  <r>
    <n v="340"/>
    <x v="339"/>
    <x v="0"/>
    <x v="5"/>
    <x v="0"/>
    <s v="Somewhat likely"/>
    <n v="3"/>
    <x v="3"/>
    <n v="3"/>
    <x v="2"/>
    <x v="1"/>
    <n v="11"/>
    <x v="7"/>
  </r>
  <r>
    <n v="341"/>
    <x v="340"/>
    <x v="0"/>
    <x v="6"/>
    <x v="0"/>
    <s v="Somewhat unlikely"/>
    <n v="2"/>
    <x v="4"/>
    <n v="4"/>
    <x v="2"/>
    <x v="11"/>
    <n v="7"/>
    <x v="8"/>
  </r>
  <r>
    <n v="342"/>
    <x v="341"/>
    <x v="0"/>
    <x v="5"/>
    <x v="0"/>
    <s v="Very likely"/>
    <n v="4"/>
    <x v="0"/>
    <n v="2"/>
    <x v="2"/>
    <x v="9"/>
    <n v="10"/>
    <x v="8"/>
  </r>
  <r>
    <n v="343"/>
    <x v="342"/>
    <x v="0"/>
    <x v="4"/>
    <x v="0"/>
    <s v="Very unlikely"/>
    <n v="1"/>
    <x v="3"/>
    <n v="3"/>
    <x v="0"/>
    <x v="1"/>
    <n v="11"/>
    <x v="4"/>
  </r>
  <r>
    <n v="344"/>
    <x v="343"/>
    <x v="0"/>
    <x v="7"/>
    <x v="0"/>
    <s v="Somewhat likely"/>
    <n v="3"/>
    <x v="4"/>
    <n v="4"/>
    <x v="2"/>
    <x v="4"/>
    <n v="3"/>
    <x v="9"/>
  </r>
  <r>
    <n v="345"/>
    <x v="344"/>
    <x v="0"/>
    <x v="2"/>
    <x v="0"/>
    <s v="Very likely"/>
    <n v="4"/>
    <x v="4"/>
    <n v="4"/>
    <x v="2"/>
    <x v="9"/>
    <n v="10"/>
    <x v="0"/>
  </r>
  <r>
    <n v="346"/>
    <x v="345"/>
    <x v="0"/>
    <x v="5"/>
    <x v="0"/>
    <s v="Somewhat likely"/>
    <n v="3"/>
    <x v="4"/>
    <n v="4"/>
    <x v="0"/>
    <x v="9"/>
    <n v="10"/>
    <x v="2"/>
  </r>
  <r>
    <n v="347"/>
    <x v="346"/>
    <x v="0"/>
    <x v="4"/>
    <x v="0"/>
    <s v="Very unlikely"/>
    <n v="1"/>
    <x v="3"/>
    <n v="3"/>
    <x v="0"/>
    <x v="1"/>
    <n v="11"/>
    <x v="9"/>
  </r>
  <r>
    <n v="348"/>
    <x v="347"/>
    <x v="0"/>
    <x v="1"/>
    <x v="4"/>
    <s v="Very likely"/>
    <n v="4"/>
    <x v="4"/>
    <n v="4"/>
    <x v="0"/>
    <x v="9"/>
    <n v="10"/>
    <x v="8"/>
  </r>
  <r>
    <n v="349"/>
    <x v="348"/>
    <x v="0"/>
    <x v="7"/>
    <x v="0"/>
    <s v="Somewhat unlikely"/>
    <n v="2"/>
    <x v="3"/>
    <n v="3"/>
    <x v="2"/>
    <x v="8"/>
    <n v="5"/>
    <x v="2"/>
  </r>
  <r>
    <n v="350"/>
    <x v="349"/>
    <x v="0"/>
    <x v="4"/>
    <x v="0"/>
    <s v="Somewhat unlikely"/>
    <n v="2"/>
    <x v="3"/>
    <n v="3"/>
    <x v="2"/>
    <x v="8"/>
    <n v="5"/>
    <x v="9"/>
  </r>
  <r>
    <n v="351"/>
    <x v="350"/>
    <x v="0"/>
    <x v="5"/>
    <x v="0"/>
    <s v="Somewhat unlikely"/>
    <n v="2"/>
    <x v="4"/>
    <n v="4"/>
    <x v="2"/>
    <x v="4"/>
    <n v="3"/>
    <x v="3"/>
  </r>
  <r>
    <n v="352"/>
    <x v="351"/>
    <x v="1"/>
    <x v="0"/>
    <x v="0"/>
    <s v="Very unlikely"/>
    <n v="1"/>
    <x v="0"/>
    <n v="2"/>
    <x v="2"/>
    <x v="2"/>
    <n v="6"/>
    <x v="6"/>
  </r>
  <r>
    <n v="353"/>
    <x v="352"/>
    <x v="0"/>
    <x v="8"/>
    <x v="0"/>
    <s v="Somewhat likely"/>
    <n v="3"/>
    <x v="3"/>
    <n v="3"/>
    <x v="2"/>
    <x v="10"/>
    <n v="9"/>
    <x v="0"/>
  </r>
  <r>
    <n v="354"/>
    <x v="353"/>
    <x v="0"/>
    <x v="0"/>
    <x v="0"/>
    <s v="Very unlikely"/>
    <n v="1"/>
    <x v="0"/>
    <n v="2"/>
    <x v="2"/>
    <x v="1"/>
    <n v="11"/>
    <x v="0"/>
  </r>
  <r>
    <n v="355"/>
    <x v="354"/>
    <x v="0"/>
    <x v="2"/>
    <x v="0"/>
    <s v="Very likely"/>
    <n v="4"/>
    <x v="0"/>
    <n v="2"/>
    <x v="2"/>
    <x v="0"/>
    <n v="4"/>
    <x v="6"/>
  </r>
  <r>
    <n v="356"/>
    <x v="355"/>
    <x v="0"/>
    <x v="5"/>
    <x v="0"/>
    <s v="Very likely"/>
    <n v="4"/>
    <x v="3"/>
    <n v="3"/>
    <x v="2"/>
    <x v="4"/>
    <n v="3"/>
    <x v="3"/>
  </r>
  <r>
    <n v="357"/>
    <x v="356"/>
    <x v="0"/>
    <x v="4"/>
    <x v="0"/>
    <s v="Very likely"/>
    <n v="4"/>
    <x v="4"/>
    <n v="4"/>
    <x v="0"/>
    <x v="9"/>
    <n v="10"/>
    <x v="4"/>
  </r>
  <r>
    <n v="358"/>
    <x v="357"/>
    <x v="0"/>
    <x v="0"/>
    <x v="0"/>
    <s v="Very unlikely"/>
    <n v="1"/>
    <x v="4"/>
    <n v="4"/>
    <x v="2"/>
    <x v="1"/>
    <n v="11"/>
    <x v="6"/>
  </r>
  <r>
    <n v="359"/>
    <x v="358"/>
    <x v="0"/>
    <x v="1"/>
    <x v="45"/>
    <s v="Very likely"/>
    <n v="4"/>
    <x v="3"/>
    <n v="3"/>
    <x v="0"/>
    <x v="8"/>
    <n v="5"/>
    <x v="9"/>
  </r>
  <r>
    <n v="360"/>
    <x v="359"/>
    <x v="1"/>
    <x v="1"/>
    <x v="46"/>
    <s v="Very unlikely"/>
    <n v="1"/>
    <x v="3"/>
    <n v="3"/>
    <x v="2"/>
    <x v="3"/>
    <n v="8"/>
    <x v="6"/>
  </r>
  <r>
    <n v="361"/>
    <x v="360"/>
    <x v="0"/>
    <x v="2"/>
    <x v="0"/>
    <s v="Very likely"/>
    <n v="4"/>
    <x v="3"/>
    <n v="3"/>
    <x v="2"/>
    <x v="0"/>
    <n v="4"/>
    <x v="7"/>
  </r>
  <r>
    <n v="362"/>
    <x v="361"/>
    <x v="0"/>
    <x v="5"/>
    <x v="0"/>
    <s v="Very likely"/>
    <n v="4"/>
    <x v="3"/>
    <n v="3"/>
    <x v="2"/>
    <x v="6"/>
    <n v="1"/>
    <x v="9"/>
  </r>
  <r>
    <n v="363"/>
    <x v="362"/>
    <x v="0"/>
    <x v="1"/>
    <x v="9"/>
    <s v="Somewhat likely"/>
    <n v="3"/>
    <x v="0"/>
    <n v="2"/>
    <x v="2"/>
    <x v="4"/>
    <n v="3"/>
    <x v="6"/>
  </r>
  <r>
    <n v="364"/>
    <x v="363"/>
    <x v="1"/>
    <x v="0"/>
    <x v="0"/>
    <s v="Somewhat unlikely"/>
    <n v="2"/>
    <x v="3"/>
    <n v="3"/>
    <x v="2"/>
    <x v="2"/>
    <n v="6"/>
    <x v="5"/>
  </r>
  <r>
    <n v="365"/>
    <x v="364"/>
    <x v="0"/>
    <x v="0"/>
    <x v="0"/>
    <s v="Somewhat likely"/>
    <n v="3"/>
    <x v="0"/>
    <n v="2"/>
    <x v="2"/>
    <x v="0"/>
    <n v="4"/>
    <x v="7"/>
  </r>
  <r>
    <n v="366"/>
    <x v="365"/>
    <x v="0"/>
    <x v="1"/>
    <x v="47"/>
    <s v="Somewhat likely"/>
    <n v="3"/>
    <x v="4"/>
    <n v="4"/>
    <x v="2"/>
    <x v="2"/>
    <n v="6"/>
    <x v="4"/>
  </r>
  <r>
    <n v="367"/>
    <x v="366"/>
    <x v="0"/>
    <x v="2"/>
    <x v="0"/>
    <s v="Very likely"/>
    <n v="4"/>
    <x v="0"/>
    <n v="2"/>
    <x v="2"/>
    <x v="7"/>
    <n v="2"/>
    <x v="9"/>
  </r>
  <r>
    <n v="368"/>
    <x v="367"/>
    <x v="1"/>
    <x v="5"/>
    <x v="0"/>
    <s v="Very likely"/>
    <n v="4"/>
    <x v="3"/>
    <n v="3"/>
    <x v="2"/>
    <x v="6"/>
    <n v="1"/>
    <x v="4"/>
  </r>
  <r>
    <n v="369"/>
    <x v="368"/>
    <x v="0"/>
    <x v="5"/>
    <x v="0"/>
    <s v="Very likely"/>
    <n v="4"/>
    <x v="0"/>
    <n v="2"/>
    <x v="2"/>
    <x v="4"/>
    <n v="3"/>
    <x v="4"/>
  </r>
  <r>
    <n v="370"/>
    <x v="369"/>
    <x v="0"/>
    <x v="0"/>
    <x v="0"/>
    <s v="Very likely"/>
    <n v="4"/>
    <x v="0"/>
    <n v="2"/>
    <x v="2"/>
    <x v="2"/>
    <n v="6"/>
    <x v="6"/>
  </r>
  <r>
    <n v="371"/>
    <x v="370"/>
    <x v="0"/>
    <x v="0"/>
    <x v="0"/>
    <s v="Very unlikely"/>
    <n v="1"/>
    <x v="0"/>
    <n v="2"/>
    <x v="2"/>
    <x v="0"/>
    <n v="4"/>
    <x v="6"/>
  </r>
  <r>
    <n v="372"/>
    <x v="371"/>
    <x v="0"/>
    <x v="5"/>
    <x v="0"/>
    <s v="Very likely"/>
    <n v="4"/>
    <x v="3"/>
    <n v="3"/>
    <x v="0"/>
    <x v="2"/>
    <n v="6"/>
    <x v="0"/>
  </r>
  <r>
    <n v="373"/>
    <x v="372"/>
    <x v="0"/>
    <x v="0"/>
    <x v="0"/>
    <s v="Very likely"/>
    <n v="4"/>
    <x v="0"/>
    <n v="2"/>
    <x v="2"/>
    <x v="0"/>
    <n v="4"/>
    <x v="2"/>
  </r>
  <r>
    <n v="374"/>
    <x v="373"/>
    <x v="0"/>
    <x v="0"/>
    <x v="0"/>
    <s v="Very unlikely"/>
    <n v="1"/>
    <x v="4"/>
    <n v="4"/>
    <x v="2"/>
    <x v="4"/>
    <n v="3"/>
    <x v="5"/>
  </r>
  <r>
    <n v="375"/>
    <x v="374"/>
    <x v="0"/>
    <x v="7"/>
    <x v="0"/>
    <s v="Somewhat likely"/>
    <n v="3"/>
    <x v="4"/>
    <n v="4"/>
    <x v="0"/>
    <x v="0"/>
    <n v="4"/>
    <x v="4"/>
  </r>
  <r>
    <n v="376"/>
    <x v="375"/>
    <x v="1"/>
    <x v="5"/>
    <x v="0"/>
    <s v="Very likely"/>
    <n v="4"/>
    <x v="4"/>
    <n v="4"/>
    <x v="0"/>
    <x v="0"/>
    <n v="4"/>
    <x v="7"/>
  </r>
  <r>
    <n v="377"/>
    <x v="376"/>
    <x v="0"/>
    <x v="4"/>
    <x v="0"/>
    <s v="Very likely"/>
    <n v="4"/>
    <x v="3"/>
    <n v="3"/>
    <x v="2"/>
    <x v="4"/>
    <n v="3"/>
    <x v="6"/>
  </r>
  <r>
    <n v="378"/>
    <x v="377"/>
    <x v="0"/>
    <x v="2"/>
    <x v="0"/>
    <s v="Very likely"/>
    <n v="4"/>
    <x v="3"/>
    <n v="3"/>
    <x v="0"/>
    <x v="2"/>
    <n v="6"/>
    <x v="0"/>
  </r>
  <r>
    <n v="379"/>
    <x v="378"/>
    <x v="0"/>
    <x v="5"/>
    <x v="0"/>
    <s v="Somewhat likely"/>
    <n v="3"/>
    <x v="3"/>
    <n v="3"/>
    <x v="2"/>
    <x v="4"/>
    <n v="3"/>
    <x v="4"/>
  </r>
  <r>
    <n v="380"/>
    <x v="379"/>
    <x v="0"/>
    <x v="5"/>
    <x v="0"/>
    <s v="Very unlikely"/>
    <n v="1"/>
    <x v="4"/>
    <n v="4"/>
    <x v="2"/>
    <x v="3"/>
    <n v="8"/>
    <x v="6"/>
  </r>
  <r>
    <n v="381"/>
    <x v="380"/>
    <x v="0"/>
    <x v="5"/>
    <x v="0"/>
    <s v="Very likely"/>
    <n v="4"/>
    <x v="3"/>
    <n v="3"/>
    <x v="2"/>
    <x v="2"/>
    <n v="6"/>
    <x v="6"/>
  </r>
  <r>
    <n v="382"/>
    <x v="381"/>
    <x v="0"/>
    <x v="0"/>
    <x v="0"/>
    <s v="Very unlikely"/>
    <n v="1"/>
    <x v="3"/>
    <n v="3"/>
    <x v="2"/>
    <x v="1"/>
    <n v="11"/>
    <x v="6"/>
  </r>
  <r>
    <n v="383"/>
    <x v="382"/>
    <x v="1"/>
    <x v="1"/>
    <x v="48"/>
    <s v="Somewhat likely"/>
    <n v="3"/>
    <x v="3"/>
    <n v="3"/>
    <x v="2"/>
    <x v="3"/>
    <n v="8"/>
    <x v="4"/>
  </r>
  <r>
    <n v="384"/>
    <x v="383"/>
    <x v="0"/>
    <x v="5"/>
    <x v="0"/>
    <s v="Very likely"/>
    <n v="4"/>
    <x v="4"/>
    <n v="4"/>
    <x v="2"/>
    <x v="11"/>
    <n v="7"/>
    <x v="2"/>
  </r>
  <r>
    <n v="385"/>
    <x v="384"/>
    <x v="0"/>
    <x v="5"/>
    <x v="0"/>
    <s v="Somewhat likely"/>
    <n v="3"/>
    <x v="3"/>
    <n v="3"/>
    <x v="2"/>
    <x v="8"/>
    <n v="5"/>
    <x v="6"/>
  </r>
  <r>
    <n v="386"/>
    <x v="385"/>
    <x v="0"/>
    <x v="5"/>
    <x v="0"/>
    <s v="Very likely"/>
    <n v="4"/>
    <x v="3"/>
    <n v="3"/>
    <x v="2"/>
    <x v="2"/>
    <n v="6"/>
    <x v="0"/>
  </r>
  <r>
    <n v="387"/>
    <x v="386"/>
    <x v="0"/>
    <x v="2"/>
    <x v="0"/>
    <s v="Very likely"/>
    <n v="4"/>
    <x v="3"/>
    <n v="3"/>
    <x v="0"/>
    <x v="7"/>
    <n v="2"/>
    <x v="6"/>
  </r>
  <r>
    <n v="388"/>
    <x v="387"/>
    <x v="0"/>
    <x v="4"/>
    <x v="0"/>
    <s v="Very likely"/>
    <n v="4"/>
    <x v="3"/>
    <n v="3"/>
    <x v="0"/>
    <x v="0"/>
    <n v="4"/>
    <x v="7"/>
  </r>
  <r>
    <n v="389"/>
    <x v="388"/>
    <x v="1"/>
    <x v="5"/>
    <x v="0"/>
    <s v="Very unlikely"/>
    <n v="1"/>
    <x v="3"/>
    <n v="3"/>
    <x v="2"/>
    <x v="0"/>
    <n v="4"/>
    <x v="0"/>
  </r>
  <r>
    <n v="390"/>
    <x v="389"/>
    <x v="0"/>
    <x v="6"/>
    <x v="0"/>
    <s v="Very likely"/>
    <n v="4"/>
    <x v="3"/>
    <n v="3"/>
    <x v="2"/>
    <x v="8"/>
    <n v="5"/>
    <x v="0"/>
  </r>
  <r>
    <n v="391"/>
    <x v="390"/>
    <x v="0"/>
    <x v="7"/>
    <x v="0"/>
    <s v="Somewhat likely"/>
    <n v="3"/>
    <x v="0"/>
    <n v="2"/>
    <x v="2"/>
    <x v="0"/>
    <n v="4"/>
    <x v="3"/>
  </r>
  <r>
    <n v="392"/>
    <x v="391"/>
    <x v="0"/>
    <x v="5"/>
    <x v="0"/>
    <s v="Very unlikely"/>
    <n v="1"/>
    <x v="0"/>
    <n v="2"/>
    <x v="2"/>
    <x v="4"/>
    <n v="3"/>
    <x v="6"/>
  </r>
  <r>
    <n v="393"/>
    <x v="392"/>
    <x v="0"/>
    <x v="1"/>
    <x v="49"/>
    <s v="Very unlikely"/>
    <n v="1"/>
    <x v="4"/>
    <n v="4"/>
    <x v="2"/>
    <x v="7"/>
    <n v="2"/>
    <x v="2"/>
  </r>
  <r>
    <n v="394"/>
    <x v="393"/>
    <x v="0"/>
    <x v="6"/>
    <x v="0"/>
    <s v="Very unlikely"/>
    <n v="1"/>
    <x v="3"/>
    <n v="3"/>
    <x v="2"/>
    <x v="4"/>
    <n v="3"/>
    <x v="7"/>
  </r>
  <r>
    <n v="395"/>
    <x v="394"/>
    <x v="0"/>
    <x v="5"/>
    <x v="0"/>
    <s v="Very likely"/>
    <n v="4"/>
    <x v="3"/>
    <n v="3"/>
    <x v="2"/>
    <x v="4"/>
    <n v="3"/>
    <x v="3"/>
  </r>
  <r>
    <n v="396"/>
    <x v="395"/>
    <x v="1"/>
    <x v="5"/>
    <x v="0"/>
    <s v="Very unlikely"/>
    <n v="1"/>
    <x v="0"/>
    <n v="2"/>
    <x v="2"/>
    <x v="4"/>
    <n v="3"/>
    <x v="5"/>
  </r>
  <r>
    <n v="397"/>
    <x v="396"/>
    <x v="0"/>
    <x v="1"/>
    <x v="50"/>
    <s v="Somewhat likely"/>
    <n v="3"/>
    <x v="3"/>
    <n v="3"/>
    <x v="2"/>
    <x v="2"/>
    <n v="6"/>
    <x v="3"/>
  </r>
  <r>
    <n v="398"/>
    <x v="397"/>
    <x v="0"/>
    <x v="0"/>
    <x v="0"/>
    <s v="Somewhat likely"/>
    <n v="3"/>
    <x v="0"/>
    <n v="2"/>
    <x v="0"/>
    <x v="2"/>
    <n v="6"/>
    <x v="5"/>
  </r>
  <r>
    <n v="399"/>
    <x v="398"/>
    <x v="0"/>
    <x v="5"/>
    <x v="0"/>
    <s v="Very likely"/>
    <n v="4"/>
    <x v="3"/>
    <n v="3"/>
    <x v="0"/>
    <x v="7"/>
    <n v="2"/>
    <x v="3"/>
  </r>
  <r>
    <n v="400"/>
    <x v="399"/>
    <x v="0"/>
    <x v="1"/>
    <x v="9"/>
    <s v="Somewhat likely"/>
    <n v="3"/>
    <x v="4"/>
    <n v="4"/>
    <x v="0"/>
    <x v="4"/>
    <n v="3"/>
    <x v="6"/>
  </r>
  <r>
    <n v="401"/>
    <x v="400"/>
    <x v="0"/>
    <x v="0"/>
    <x v="0"/>
    <s v="Very likely"/>
    <n v="4"/>
    <x v="3"/>
    <n v="3"/>
    <x v="2"/>
    <x v="4"/>
    <n v="3"/>
    <x v="0"/>
  </r>
  <r>
    <n v="402"/>
    <x v="401"/>
    <x v="0"/>
    <x v="0"/>
    <x v="0"/>
    <s v="Somewhat likely"/>
    <n v="3"/>
    <x v="3"/>
    <n v="3"/>
    <x v="2"/>
    <x v="2"/>
    <n v="6"/>
    <x v="8"/>
  </r>
  <r>
    <n v="403"/>
    <x v="402"/>
    <x v="0"/>
    <x v="1"/>
    <x v="51"/>
    <s v="Somewhat likely"/>
    <n v="3"/>
    <x v="4"/>
    <n v="4"/>
    <x v="0"/>
    <x v="9"/>
    <n v="10"/>
    <x v="2"/>
  </r>
  <r>
    <n v="404"/>
    <x v="403"/>
    <x v="0"/>
    <x v="5"/>
    <x v="0"/>
    <s v="Very likely"/>
    <n v="4"/>
    <x v="4"/>
    <n v="4"/>
    <x v="2"/>
    <x v="5"/>
    <s v="na"/>
    <x v="3"/>
  </r>
  <r>
    <n v="405"/>
    <x v="404"/>
    <x v="1"/>
    <x v="0"/>
    <x v="0"/>
    <s v="Somewhat likely"/>
    <n v="3"/>
    <x v="3"/>
    <n v="3"/>
    <x v="2"/>
    <x v="1"/>
    <n v="11"/>
    <x v="8"/>
  </r>
  <r>
    <n v="406"/>
    <x v="405"/>
    <x v="0"/>
    <x v="0"/>
    <x v="0"/>
    <s v="Very likely"/>
    <n v="4"/>
    <x v="0"/>
    <n v="2"/>
    <x v="0"/>
    <x v="0"/>
    <n v="4"/>
    <x v="5"/>
  </r>
  <r>
    <n v="407"/>
    <x v="406"/>
    <x v="0"/>
    <x v="3"/>
    <x v="0"/>
    <s v="No answer provided"/>
    <s v="na"/>
    <x v="2"/>
    <s v="na"/>
    <x v="1"/>
    <x v="5"/>
    <s v="na"/>
    <x v="1"/>
  </r>
  <r>
    <n v="408"/>
    <x v="407"/>
    <x v="0"/>
    <x v="3"/>
    <x v="0"/>
    <s v="No answer provided"/>
    <s v="na"/>
    <x v="2"/>
    <s v="na"/>
    <x v="1"/>
    <x v="5"/>
    <s v="na"/>
    <x v="1"/>
  </r>
  <r>
    <n v="409"/>
    <x v="408"/>
    <x v="0"/>
    <x v="0"/>
    <x v="0"/>
    <s v="Very likely"/>
    <n v="4"/>
    <x v="4"/>
    <n v="4"/>
    <x v="0"/>
    <x v="8"/>
    <n v="5"/>
    <x v="0"/>
  </r>
  <r>
    <n v="410"/>
    <x v="409"/>
    <x v="0"/>
    <x v="2"/>
    <x v="0"/>
    <s v="Very unlikely"/>
    <n v="1"/>
    <x v="0"/>
    <n v="2"/>
    <x v="2"/>
    <x v="1"/>
    <n v="11"/>
    <x v="2"/>
  </r>
  <r>
    <n v="411"/>
    <x v="410"/>
    <x v="0"/>
    <x v="5"/>
    <x v="0"/>
    <s v="Very likely"/>
    <n v="4"/>
    <x v="3"/>
    <n v="3"/>
    <x v="2"/>
    <x v="8"/>
    <n v="5"/>
    <x v="2"/>
  </r>
  <r>
    <n v="412"/>
    <x v="411"/>
    <x v="0"/>
    <x v="5"/>
    <x v="0"/>
    <s v="Somewhat unlikely"/>
    <n v="2"/>
    <x v="3"/>
    <n v="3"/>
    <x v="2"/>
    <x v="2"/>
    <n v="6"/>
    <x v="2"/>
  </r>
  <r>
    <n v="413"/>
    <x v="412"/>
    <x v="0"/>
    <x v="1"/>
    <x v="52"/>
    <s v="Very unlikely"/>
    <n v="1"/>
    <x v="3"/>
    <n v="3"/>
    <x v="2"/>
    <x v="1"/>
    <n v="11"/>
    <x v="4"/>
  </r>
  <r>
    <n v="414"/>
    <x v="413"/>
    <x v="0"/>
    <x v="1"/>
    <x v="53"/>
    <s v="Very unlikely"/>
    <n v="1"/>
    <x v="0"/>
    <n v="2"/>
    <x v="2"/>
    <x v="4"/>
    <n v="3"/>
    <x v="4"/>
  </r>
  <r>
    <n v="415"/>
    <x v="414"/>
    <x v="0"/>
    <x v="1"/>
    <x v="9"/>
    <s v="Very likely"/>
    <n v="4"/>
    <x v="0"/>
    <n v="2"/>
    <x v="2"/>
    <x v="4"/>
    <n v="3"/>
    <x v="0"/>
  </r>
  <r>
    <n v="416"/>
    <x v="415"/>
    <x v="1"/>
    <x v="4"/>
    <x v="0"/>
    <s v="Somewhat likely"/>
    <n v="3"/>
    <x v="1"/>
    <n v="1"/>
    <x v="0"/>
    <x v="8"/>
    <n v="5"/>
    <x v="4"/>
  </r>
  <r>
    <n v="417"/>
    <x v="416"/>
    <x v="0"/>
    <x v="1"/>
    <x v="54"/>
    <s v="Somewhat likely"/>
    <n v="3"/>
    <x v="3"/>
    <n v="3"/>
    <x v="2"/>
    <x v="9"/>
    <n v="10"/>
    <x v="5"/>
  </r>
  <r>
    <n v="418"/>
    <x v="417"/>
    <x v="0"/>
    <x v="2"/>
    <x v="0"/>
    <s v="Very likely"/>
    <n v="4"/>
    <x v="3"/>
    <n v="3"/>
    <x v="2"/>
    <x v="0"/>
    <n v="4"/>
    <x v="2"/>
  </r>
  <r>
    <n v="419"/>
    <x v="418"/>
    <x v="1"/>
    <x v="5"/>
    <x v="0"/>
    <s v="Very likely"/>
    <n v="4"/>
    <x v="4"/>
    <n v="4"/>
    <x v="2"/>
    <x v="7"/>
    <n v="2"/>
    <x v="3"/>
  </r>
  <r>
    <n v="420"/>
    <x v="419"/>
    <x v="0"/>
    <x v="0"/>
    <x v="0"/>
    <s v="Somewhat unlikely"/>
    <n v="2"/>
    <x v="0"/>
    <n v="2"/>
    <x v="2"/>
    <x v="7"/>
    <n v="2"/>
    <x v="3"/>
  </r>
  <r>
    <n v="421"/>
    <x v="420"/>
    <x v="0"/>
    <x v="0"/>
    <x v="0"/>
    <s v="Very likely"/>
    <n v="4"/>
    <x v="3"/>
    <n v="3"/>
    <x v="0"/>
    <x v="4"/>
    <n v="3"/>
    <x v="4"/>
  </r>
  <r>
    <n v="422"/>
    <x v="421"/>
    <x v="0"/>
    <x v="1"/>
    <x v="50"/>
    <s v="Very likely"/>
    <n v="4"/>
    <x v="0"/>
    <n v="2"/>
    <x v="2"/>
    <x v="7"/>
    <n v="2"/>
    <x v="4"/>
  </r>
  <r>
    <n v="423"/>
    <x v="422"/>
    <x v="1"/>
    <x v="1"/>
    <x v="55"/>
    <s v="Very likely"/>
    <n v="4"/>
    <x v="4"/>
    <n v="4"/>
    <x v="0"/>
    <x v="1"/>
    <n v="11"/>
    <x v="7"/>
  </r>
  <r>
    <n v="424"/>
    <x v="423"/>
    <x v="0"/>
    <x v="4"/>
    <x v="0"/>
    <s v="Very likely"/>
    <n v="4"/>
    <x v="4"/>
    <n v="4"/>
    <x v="0"/>
    <x v="7"/>
    <n v="2"/>
    <x v="5"/>
  </r>
  <r>
    <n v="425"/>
    <x v="424"/>
    <x v="0"/>
    <x v="4"/>
    <x v="0"/>
    <s v="Somewhat likely"/>
    <n v="3"/>
    <x v="1"/>
    <n v="1"/>
    <x v="0"/>
    <x v="7"/>
    <n v="2"/>
    <x v="3"/>
  </r>
  <r>
    <n v="426"/>
    <x v="425"/>
    <x v="0"/>
    <x v="4"/>
    <x v="0"/>
    <s v="Very unlikely"/>
    <n v="1"/>
    <x v="0"/>
    <n v="2"/>
    <x v="2"/>
    <x v="1"/>
    <n v="11"/>
    <x v="9"/>
  </r>
  <r>
    <n v="427"/>
    <x v="426"/>
    <x v="0"/>
    <x v="6"/>
    <x v="0"/>
    <s v="Somewhat unlikely"/>
    <n v="2"/>
    <x v="4"/>
    <n v="4"/>
    <x v="2"/>
    <x v="8"/>
    <n v="5"/>
    <x v="6"/>
  </r>
  <r>
    <n v="428"/>
    <x v="427"/>
    <x v="0"/>
    <x v="1"/>
    <x v="9"/>
    <s v="Somewhat likely"/>
    <n v="3"/>
    <x v="3"/>
    <n v="3"/>
    <x v="0"/>
    <x v="9"/>
    <n v="10"/>
    <x v="1"/>
  </r>
  <r>
    <n v="429"/>
    <x v="428"/>
    <x v="0"/>
    <x v="1"/>
    <x v="56"/>
    <s v="Somewhat likely"/>
    <n v="3"/>
    <x v="3"/>
    <n v="3"/>
    <x v="0"/>
    <x v="3"/>
    <n v="8"/>
    <x v="4"/>
  </r>
  <r>
    <n v="430"/>
    <x v="429"/>
    <x v="0"/>
    <x v="4"/>
    <x v="0"/>
    <s v="Very likely"/>
    <n v="4"/>
    <x v="3"/>
    <n v="3"/>
    <x v="2"/>
    <x v="4"/>
    <n v="3"/>
    <x v="3"/>
  </r>
  <r>
    <n v="431"/>
    <x v="430"/>
    <x v="1"/>
    <x v="4"/>
    <x v="0"/>
    <s v="Somewhat likely"/>
    <n v="3"/>
    <x v="4"/>
    <n v="4"/>
    <x v="2"/>
    <x v="4"/>
    <n v="3"/>
    <x v="4"/>
  </r>
  <r>
    <n v="432"/>
    <x v="431"/>
    <x v="0"/>
    <x v="0"/>
    <x v="0"/>
    <s v="Somewhat likely"/>
    <n v="3"/>
    <x v="0"/>
    <n v="2"/>
    <x v="2"/>
    <x v="2"/>
    <n v="6"/>
    <x v="4"/>
  </r>
  <r>
    <n v="433"/>
    <x v="432"/>
    <x v="0"/>
    <x v="1"/>
    <x v="57"/>
    <s v="Very likely"/>
    <n v="4"/>
    <x v="3"/>
    <n v="3"/>
    <x v="0"/>
    <x v="9"/>
    <n v="10"/>
    <x v="0"/>
  </r>
  <r>
    <n v="434"/>
    <x v="433"/>
    <x v="0"/>
    <x v="2"/>
    <x v="0"/>
    <s v="Very likely"/>
    <n v="4"/>
    <x v="3"/>
    <n v="3"/>
    <x v="0"/>
    <x v="2"/>
    <n v="6"/>
    <x v="6"/>
  </r>
  <r>
    <n v="435"/>
    <x v="434"/>
    <x v="0"/>
    <x v="2"/>
    <x v="0"/>
    <s v="Somewhat unlikely"/>
    <n v="2"/>
    <x v="3"/>
    <n v="3"/>
    <x v="2"/>
    <x v="9"/>
    <n v="10"/>
    <x v="6"/>
  </r>
  <r>
    <n v="436"/>
    <x v="435"/>
    <x v="0"/>
    <x v="1"/>
    <x v="53"/>
    <s v="Very likely"/>
    <n v="4"/>
    <x v="4"/>
    <n v="4"/>
    <x v="2"/>
    <x v="1"/>
    <n v="11"/>
    <x v="7"/>
  </r>
  <r>
    <n v="437"/>
    <x v="436"/>
    <x v="0"/>
    <x v="2"/>
    <x v="0"/>
    <s v="Somewhat likely"/>
    <n v="3"/>
    <x v="4"/>
    <n v="4"/>
    <x v="0"/>
    <x v="3"/>
    <n v="8"/>
    <x v="0"/>
  </r>
  <r>
    <n v="438"/>
    <x v="437"/>
    <x v="0"/>
    <x v="1"/>
    <x v="58"/>
    <s v="Very likely"/>
    <n v="4"/>
    <x v="3"/>
    <n v="3"/>
    <x v="2"/>
    <x v="4"/>
    <n v="3"/>
    <x v="6"/>
  </r>
  <r>
    <n v="439"/>
    <x v="438"/>
    <x v="0"/>
    <x v="5"/>
    <x v="0"/>
    <s v="Very unlikely"/>
    <n v="1"/>
    <x v="4"/>
    <n v="4"/>
    <x v="0"/>
    <x v="9"/>
    <n v="10"/>
    <x v="4"/>
  </r>
  <r>
    <n v="440"/>
    <x v="439"/>
    <x v="0"/>
    <x v="0"/>
    <x v="0"/>
    <s v="Very unlikely"/>
    <n v="1"/>
    <x v="1"/>
    <n v="1"/>
    <x v="2"/>
    <x v="8"/>
    <n v="5"/>
    <x v="6"/>
  </r>
  <r>
    <n v="441"/>
    <x v="440"/>
    <x v="0"/>
    <x v="1"/>
    <x v="41"/>
    <s v="Very likely"/>
    <n v="4"/>
    <x v="0"/>
    <n v="2"/>
    <x v="0"/>
    <x v="2"/>
    <n v="6"/>
    <x v="0"/>
  </r>
  <r>
    <n v="442"/>
    <x v="441"/>
    <x v="0"/>
    <x v="0"/>
    <x v="0"/>
    <s v="Very likely"/>
    <n v="4"/>
    <x v="3"/>
    <n v="3"/>
    <x v="2"/>
    <x v="4"/>
    <n v="3"/>
    <x v="7"/>
  </r>
  <r>
    <n v="443"/>
    <x v="442"/>
    <x v="1"/>
    <x v="5"/>
    <x v="0"/>
    <s v="Somewhat likely"/>
    <n v="3"/>
    <x v="3"/>
    <n v="3"/>
    <x v="2"/>
    <x v="11"/>
    <n v="7"/>
    <x v="4"/>
  </r>
  <r>
    <n v="444"/>
    <x v="443"/>
    <x v="0"/>
    <x v="5"/>
    <x v="0"/>
    <s v="Somewhat likely"/>
    <n v="3"/>
    <x v="1"/>
    <n v="1"/>
    <x v="2"/>
    <x v="7"/>
    <n v="2"/>
    <x v="5"/>
  </r>
  <r>
    <n v="445"/>
    <x v="444"/>
    <x v="1"/>
    <x v="2"/>
    <x v="0"/>
    <s v="Somewhat likely"/>
    <n v="3"/>
    <x v="1"/>
    <n v="1"/>
    <x v="0"/>
    <x v="7"/>
    <n v="2"/>
    <x v="5"/>
  </r>
  <r>
    <n v="446"/>
    <x v="445"/>
    <x v="0"/>
    <x v="2"/>
    <x v="0"/>
    <s v="Very likely"/>
    <n v="4"/>
    <x v="1"/>
    <n v="1"/>
    <x v="2"/>
    <x v="1"/>
    <n v="11"/>
    <x v="6"/>
  </r>
  <r>
    <n v="447"/>
    <x v="446"/>
    <x v="0"/>
    <x v="1"/>
    <x v="59"/>
    <s v="Very unlikely"/>
    <n v="1"/>
    <x v="3"/>
    <n v="3"/>
    <x v="0"/>
    <x v="2"/>
    <n v="6"/>
    <x v="3"/>
  </r>
  <r>
    <n v="448"/>
    <x v="447"/>
    <x v="0"/>
    <x v="1"/>
    <x v="60"/>
    <s v="Somewhat likely"/>
    <n v="3"/>
    <x v="4"/>
    <n v="4"/>
    <x v="0"/>
    <x v="11"/>
    <n v="7"/>
    <x v="2"/>
  </r>
  <r>
    <n v="449"/>
    <x v="448"/>
    <x v="0"/>
    <x v="1"/>
    <x v="61"/>
    <s v="Very likely"/>
    <n v="4"/>
    <x v="4"/>
    <n v="4"/>
    <x v="0"/>
    <x v="4"/>
    <n v="3"/>
    <x v="7"/>
  </r>
  <r>
    <n v="450"/>
    <x v="449"/>
    <x v="0"/>
    <x v="2"/>
    <x v="0"/>
    <s v="Very unlikely"/>
    <n v="1"/>
    <x v="1"/>
    <n v="1"/>
    <x v="2"/>
    <x v="4"/>
    <n v="3"/>
    <x v="2"/>
  </r>
  <r>
    <n v="451"/>
    <x v="450"/>
    <x v="1"/>
    <x v="4"/>
    <x v="0"/>
    <s v="Very unlikely"/>
    <n v="1"/>
    <x v="1"/>
    <n v="1"/>
    <x v="0"/>
    <x v="1"/>
    <n v="11"/>
    <x v="1"/>
  </r>
  <r>
    <n v="452"/>
    <x v="451"/>
    <x v="0"/>
    <x v="2"/>
    <x v="0"/>
    <s v="Somewhat unlikely"/>
    <n v="2"/>
    <x v="4"/>
    <n v="4"/>
    <x v="0"/>
    <x v="7"/>
    <n v="2"/>
    <x v="9"/>
  </r>
  <r>
    <n v="453"/>
    <x v="452"/>
    <x v="0"/>
    <x v="4"/>
    <x v="0"/>
    <s v="Somewhat unlikely"/>
    <n v="2"/>
    <x v="3"/>
    <n v="3"/>
    <x v="0"/>
    <x v="8"/>
    <n v="5"/>
    <x v="0"/>
  </r>
  <r>
    <n v="454"/>
    <x v="453"/>
    <x v="0"/>
    <x v="0"/>
    <x v="0"/>
    <s v="Somewhat likely"/>
    <n v="3"/>
    <x v="1"/>
    <n v="1"/>
    <x v="2"/>
    <x v="7"/>
    <n v="2"/>
    <x v="7"/>
  </r>
  <r>
    <n v="455"/>
    <x v="454"/>
    <x v="0"/>
    <x v="0"/>
    <x v="0"/>
    <s v="Very unlikely"/>
    <n v="1"/>
    <x v="1"/>
    <n v="1"/>
    <x v="2"/>
    <x v="7"/>
    <n v="2"/>
    <x v="6"/>
  </r>
  <r>
    <n v="456"/>
    <x v="455"/>
    <x v="0"/>
    <x v="0"/>
    <x v="0"/>
    <s v="Very likely"/>
    <n v="4"/>
    <x v="3"/>
    <n v="3"/>
    <x v="0"/>
    <x v="8"/>
    <n v="5"/>
    <x v="4"/>
  </r>
  <r>
    <n v="457"/>
    <x v="456"/>
    <x v="1"/>
    <x v="4"/>
    <x v="0"/>
    <s v="Somewhat likely"/>
    <n v="3"/>
    <x v="1"/>
    <n v="1"/>
    <x v="2"/>
    <x v="1"/>
    <n v="11"/>
    <x v="4"/>
  </r>
  <r>
    <n v="458"/>
    <x v="457"/>
    <x v="0"/>
    <x v="1"/>
    <x v="62"/>
    <s v="Very unlikely"/>
    <n v="1"/>
    <x v="4"/>
    <n v="4"/>
    <x v="2"/>
    <x v="0"/>
    <n v="4"/>
    <x v="7"/>
  </r>
  <r>
    <n v="459"/>
    <x v="458"/>
    <x v="0"/>
    <x v="5"/>
    <x v="0"/>
    <s v="Somewhat likely"/>
    <n v="3"/>
    <x v="0"/>
    <n v="2"/>
    <x v="2"/>
    <x v="7"/>
    <n v="2"/>
    <x v="2"/>
  </r>
  <r>
    <n v="460"/>
    <x v="459"/>
    <x v="0"/>
    <x v="4"/>
    <x v="0"/>
    <s v="Very unlikely"/>
    <n v="1"/>
    <x v="0"/>
    <n v="2"/>
    <x v="2"/>
    <x v="9"/>
    <n v="10"/>
    <x v="4"/>
  </r>
  <r>
    <n v="461"/>
    <x v="460"/>
    <x v="0"/>
    <x v="4"/>
    <x v="0"/>
    <s v="Somewhat likely"/>
    <n v="3"/>
    <x v="4"/>
    <n v="4"/>
    <x v="2"/>
    <x v="1"/>
    <n v="11"/>
    <x v="0"/>
  </r>
  <r>
    <n v="462"/>
    <x v="461"/>
    <x v="0"/>
    <x v="5"/>
    <x v="0"/>
    <s v="Very unlikely"/>
    <n v="1"/>
    <x v="4"/>
    <n v="4"/>
    <x v="0"/>
    <x v="4"/>
    <n v="3"/>
    <x v="4"/>
  </r>
  <r>
    <n v="463"/>
    <x v="462"/>
    <x v="0"/>
    <x v="2"/>
    <x v="0"/>
    <s v="Very unlikely"/>
    <n v="1"/>
    <x v="4"/>
    <n v="4"/>
    <x v="2"/>
    <x v="11"/>
    <n v="7"/>
    <x v="8"/>
  </r>
  <r>
    <n v="464"/>
    <x v="463"/>
    <x v="0"/>
    <x v="4"/>
    <x v="0"/>
    <s v="Very unlikely"/>
    <n v="1"/>
    <x v="4"/>
    <n v="4"/>
    <x v="0"/>
    <x v="4"/>
    <n v="3"/>
    <x v="7"/>
  </r>
  <r>
    <n v="465"/>
    <x v="464"/>
    <x v="0"/>
    <x v="2"/>
    <x v="0"/>
    <s v="Somewhat likely"/>
    <n v="3"/>
    <x v="3"/>
    <n v="3"/>
    <x v="0"/>
    <x v="3"/>
    <n v="8"/>
    <x v="6"/>
  </r>
  <r>
    <n v="466"/>
    <x v="465"/>
    <x v="0"/>
    <x v="0"/>
    <x v="0"/>
    <s v="Very likely"/>
    <n v="4"/>
    <x v="4"/>
    <n v="4"/>
    <x v="2"/>
    <x v="2"/>
    <n v="6"/>
    <x v="6"/>
  </r>
  <r>
    <n v="467"/>
    <x v="466"/>
    <x v="0"/>
    <x v="0"/>
    <x v="0"/>
    <s v="Somewhat likely"/>
    <n v="3"/>
    <x v="4"/>
    <n v="4"/>
    <x v="2"/>
    <x v="9"/>
    <n v="10"/>
    <x v="0"/>
  </r>
  <r>
    <n v="468"/>
    <x v="467"/>
    <x v="0"/>
    <x v="1"/>
    <x v="63"/>
    <s v="Somewhat likely"/>
    <n v="3"/>
    <x v="1"/>
    <n v="1"/>
    <x v="2"/>
    <x v="8"/>
    <n v="5"/>
    <x v="6"/>
  </r>
  <r>
    <n v="469"/>
    <x v="468"/>
    <x v="0"/>
    <x v="1"/>
    <x v="18"/>
    <s v="Very unlikely"/>
    <n v="1"/>
    <x v="3"/>
    <n v="3"/>
    <x v="0"/>
    <x v="3"/>
    <n v="8"/>
    <x v="4"/>
  </r>
  <r>
    <n v="470"/>
    <x v="469"/>
    <x v="0"/>
    <x v="0"/>
    <x v="0"/>
    <s v="Very likely"/>
    <n v="4"/>
    <x v="0"/>
    <n v="2"/>
    <x v="2"/>
    <x v="2"/>
    <n v="6"/>
    <x v="4"/>
  </r>
  <r>
    <n v="471"/>
    <x v="470"/>
    <x v="0"/>
    <x v="2"/>
    <x v="0"/>
    <s v="Somewhat likely"/>
    <n v="3"/>
    <x v="3"/>
    <n v="3"/>
    <x v="2"/>
    <x v="0"/>
    <n v="4"/>
    <x v="4"/>
  </r>
  <r>
    <n v="472"/>
    <x v="471"/>
    <x v="0"/>
    <x v="4"/>
    <x v="0"/>
    <s v="Very likely"/>
    <n v="4"/>
    <x v="1"/>
    <n v="1"/>
    <x v="2"/>
    <x v="8"/>
    <n v="5"/>
    <x v="5"/>
  </r>
  <r>
    <n v="473"/>
    <x v="472"/>
    <x v="1"/>
    <x v="0"/>
    <x v="0"/>
    <s v="Very likely"/>
    <n v="4"/>
    <x v="3"/>
    <n v="3"/>
    <x v="2"/>
    <x v="8"/>
    <n v="5"/>
    <x v="6"/>
  </r>
  <r>
    <n v="474"/>
    <x v="473"/>
    <x v="0"/>
    <x v="2"/>
    <x v="0"/>
    <s v="Very likely"/>
    <n v="4"/>
    <x v="3"/>
    <n v="3"/>
    <x v="2"/>
    <x v="1"/>
    <n v="11"/>
    <x v="2"/>
  </r>
  <r>
    <n v="475"/>
    <x v="474"/>
    <x v="1"/>
    <x v="0"/>
    <x v="0"/>
    <s v="Somewhat likely"/>
    <n v="3"/>
    <x v="1"/>
    <n v="1"/>
    <x v="2"/>
    <x v="4"/>
    <n v="3"/>
    <x v="7"/>
  </r>
  <r>
    <n v="476"/>
    <x v="475"/>
    <x v="0"/>
    <x v="0"/>
    <x v="0"/>
    <s v="Very likely"/>
    <n v="4"/>
    <x v="1"/>
    <n v="1"/>
    <x v="2"/>
    <x v="3"/>
    <n v="8"/>
    <x v="2"/>
  </r>
  <r>
    <n v="477"/>
    <x v="476"/>
    <x v="0"/>
    <x v="2"/>
    <x v="0"/>
    <s v="Very likely"/>
    <n v="4"/>
    <x v="3"/>
    <n v="3"/>
    <x v="2"/>
    <x v="4"/>
    <n v="3"/>
    <x v="3"/>
  </r>
  <r>
    <n v="478"/>
    <x v="477"/>
    <x v="0"/>
    <x v="6"/>
    <x v="0"/>
    <s v="Very unlikely"/>
    <n v="1"/>
    <x v="3"/>
    <n v="3"/>
    <x v="2"/>
    <x v="8"/>
    <n v="5"/>
    <x v="2"/>
  </r>
  <r>
    <n v="479"/>
    <x v="478"/>
    <x v="0"/>
    <x v="5"/>
    <x v="0"/>
    <s v="Somewhat likely"/>
    <n v="3"/>
    <x v="0"/>
    <n v="2"/>
    <x v="2"/>
    <x v="1"/>
    <n v="11"/>
    <x v="4"/>
  </r>
  <r>
    <n v="480"/>
    <x v="479"/>
    <x v="0"/>
    <x v="5"/>
    <x v="0"/>
    <s v="Somewhat likely"/>
    <n v="3"/>
    <x v="0"/>
    <n v="2"/>
    <x v="2"/>
    <x v="0"/>
    <n v="4"/>
    <x v="6"/>
  </r>
  <r>
    <n v="481"/>
    <x v="480"/>
    <x v="0"/>
    <x v="2"/>
    <x v="0"/>
    <s v="Very likely"/>
    <n v="4"/>
    <x v="3"/>
    <n v="3"/>
    <x v="2"/>
    <x v="8"/>
    <n v="5"/>
    <x v="7"/>
  </r>
  <r>
    <n v="482"/>
    <x v="481"/>
    <x v="0"/>
    <x v="1"/>
    <x v="64"/>
    <s v="Very likely"/>
    <n v="4"/>
    <x v="0"/>
    <n v="2"/>
    <x v="2"/>
    <x v="1"/>
    <n v="11"/>
    <x v="5"/>
  </r>
  <r>
    <n v="483"/>
    <x v="482"/>
    <x v="0"/>
    <x v="5"/>
    <x v="0"/>
    <s v="Very likely"/>
    <n v="4"/>
    <x v="4"/>
    <n v="4"/>
    <x v="0"/>
    <x v="2"/>
    <n v="6"/>
    <x v="4"/>
  </r>
  <r>
    <n v="484"/>
    <x v="483"/>
    <x v="0"/>
    <x v="1"/>
    <x v="9"/>
    <s v="Somewhat likely"/>
    <n v="3"/>
    <x v="0"/>
    <n v="2"/>
    <x v="2"/>
    <x v="9"/>
    <n v="10"/>
    <x v="6"/>
  </r>
  <r>
    <n v="485"/>
    <x v="484"/>
    <x v="0"/>
    <x v="5"/>
    <x v="0"/>
    <s v="Very likely"/>
    <n v="4"/>
    <x v="0"/>
    <n v="2"/>
    <x v="2"/>
    <x v="4"/>
    <n v="3"/>
    <x v="0"/>
  </r>
  <r>
    <n v="486"/>
    <x v="485"/>
    <x v="0"/>
    <x v="5"/>
    <x v="0"/>
    <s v="Very unlikely"/>
    <n v="1"/>
    <x v="4"/>
    <n v="4"/>
    <x v="2"/>
    <x v="7"/>
    <n v="2"/>
    <x v="5"/>
  </r>
  <r>
    <n v="487"/>
    <x v="486"/>
    <x v="0"/>
    <x v="0"/>
    <x v="0"/>
    <s v="Very likely"/>
    <n v="4"/>
    <x v="1"/>
    <n v="1"/>
    <x v="2"/>
    <x v="8"/>
    <n v="5"/>
    <x v="6"/>
  </r>
  <r>
    <n v="488"/>
    <x v="487"/>
    <x v="0"/>
    <x v="4"/>
    <x v="0"/>
    <s v="Somewhat likely"/>
    <n v="3"/>
    <x v="1"/>
    <n v="1"/>
    <x v="2"/>
    <x v="7"/>
    <n v="2"/>
    <x v="7"/>
  </r>
  <r>
    <n v="489"/>
    <x v="488"/>
    <x v="0"/>
    <x v="0"/>
    <x v="0"/>
    <s v="Very likely"/>
    <n v="4"/>
    <x v="4"/>
    <n v="4"/>
    <x v="2"/>
    <x v="8"/>
    <n v="5"/>
    <x v="4"/>
  </r>
  <r>
    <n v="490"/>
    <x v="489"/>
    <x v="0"/>
    <x v="5"/>
    <x v="0"/>
    <s v="Very likely"/>
    <n v="4"/>
    <x v="3"/>
    <n v="3"/>
    <x v="2"/>
    <x v="8"/>
    <n v="5"/>
    <x v="2"/>
  </r>
  <r>
    <n v="491"/>
    <x v="490"/>
    <x v="0"/>
    <x v="1"/>
    <x v="1"/>
    <s v="Somewhat likely"/>
    <n v="3"/>
    <x v="0"/>
    <n v="2"/>
    <x v="2"/>
    <x v="8"/>
    <n v="5"/>
    <x v="6"/>
  </r>
  <r>
    <n v="492"/>
    <x v="491"/>
    <x v="1"/>
    <x v="5"/>
    <x v="0"/>
    <s v="Very likely"/>
    <n v="4"/>
    <x v="1"/>
    <n v="1"/>
    <x v="2"/>
    <x v="6"/>
    <n v="1"/>
    <x v="0"/>
  </r>
  <r>
    <n v="493"/>
    <x v="492"/>
    <x v="1"/>
    <x v="1"/>
    <x v="65"/>
    <s v="Very unlikely"/>
    <n v="1"/>
    <x v="3"/>
    <n v="3"/>
    <x v="2"/>
    <x v="3"/>
    <n v="8"/>
    <x v="2"/>
  </r>
  <r>
    <n v="494"/>
    <x v="493"/>
    <x v="0"/>
    <x v="6"/>
    <x v="0"/>
    <s v="Very likely"/>
    <n v="4"/>
    <x v="4"/>
    <n v="4"/>
    <x v="2"/>
    <x v="2"/>
    <n v="6"/>
    <x v="8"/>
  </r>
  <r>
    <n v="495"/>
    <x v="494"/>
    <x v="0"/>
    <x v="4"/>
    <x v="0"/>
    <s v="Very unlikely"/>
    <n v="1"/>
    <x v="0"/>
    <n v="2"/>
    <x v="2"/>
    <x v="2"/>
    <n v="6"/>
    <x v="6"/>
  </r>
  <r>
    <n v="496"/>
    <x v="495"/>
    <x v="0"/>
    <x v="5"/>
    <x v="0"/>
    <s v="Very likely"/>
    <n v="4"/>
    <x v="4"/>
    <n v="4"/>
    <x v="2"/>
    <x v="9"/>
    <n v="10"/>
    <x v="0"/>
  </r>
  <r>
    <n v="497"/>
    <x v="496"/>
    <x v="0"/>
    <x v="6"/>
    <x v="0"/>
    <s v="Somewhat likely"/>
    <n v="3"/>
    <x v="4"/>
    <n v="4"/>
    <x v="0"/>
    <x v="1"/>
    <n v="11"/>
    <x v="6"/>
  </r>
  <r>
    <n v="498"/>
    <x v="497"/>
    <x v="0"/>
    <x v="2"/>
    <x v="0"/>
    <s v="Very likely"/>
    <n v="4"/>
    <x v="4"/>
    <n v="4"/>
    <x v="0"/>
    <x v="11"/>
    <n v="7"/>
    <x v="8"/>
  </r>
  <r>
    <n v="499"/>
    <x v="498"/>
    <x v="0"/>
    <x v="1"/>
    <x v="9"/>
    <s v="Very likely"/>
    <n v="4"/>
    <x v="4"/>
    <n v="4"/>
    <x v="2"/>
    <x v="1"/>
    <n v="11"/>
    <x v="4"/>
  </r>
  <r>
    <n v="500"/>
    <x v="499"/>
    <x v="0"/>
    <x v="5"/>
    <x v="0"/>
    <s v="Somewhat likely"/>
    <n v="3"/>
    <x v="3"/>
    <n v="3"/>
    <x v="2"/>
    <x v="1"/>
    <n v="11"/>
    <x v="6"/>
  </r>
  <r>
    <n v="501"/>
    <x v="500"/>
    <x v="0"/>
    <x v="1"/>
    <x v="9"/>
    <s v="Very likely"/>
    <n v="4"/>
    <x v="1"/>
    <n v="1"/>
    <x v="2"/>
    <x v="1"/>
    <n v="11"/>
    <x v="0"/>
  </r>
  <r>
    <n v="502"/>
    <x v="501"/>
    <x v="0"/>
    <x v="5"/>
    <x v="0"/>
    <s v="Somewhat likely"/>
    <n v="3"/>
    <x v="3"/>
    <n v="3"/>
    <x v="0"/>
    <x v="0"/>
    <n v="4"/>
    <x v="4"/>
  </r>
  <r>
    <n v="503"/>
    <x v="502"/>
    <x v="0"/>
    <x v="6"/>
    <x v="0"/>
    <s v="Somewhat likely"/>
    <n v="3"/>
    <x v="3"/>
    <n v="3"/>
    <x v="2"/>
    <x v="1"/>
    <n v="11"/>
    <x v="4"/>
  </r>
  <r>
    <n v="504"/>
    <x v="503"/>
    <x v="0"/>
    <x v="4"/>
    <x v="0"/>
    <s v="Somewhat unlikely"/>
    <n v="2"/>
    <x v="4"/>
    <n v="4"/>
    <x v="0"/>
    <x v="4"/>
    <n v="3"/>
    <x v="4"/>
  </r>
  <r>
    <n v="505"/>
    <x v="504"/>
    <x v="0"/>
    <x v="5"/>
    <x v="0"/>
    <s v="Very unlikely"/>
    <n v="1"/>
    <x v="4"/>
    <n v="4"/>
    <x v="2"/>
    <x v="1"/>
    <n v="11"/>
    <x v="3"/>
  </r>
  <r>
    <n v="506"/>
    <x v="505"/>
    <x v="0"/>
    <x v="0"/>
    <x v="0"/>
    <s v="Very unlikely"/>
    <n v="1"/>
    <x v="0"/>
    <n v="2"/>
    <x v="2"/>
    <x v="2"/>
    <n v="6"/>
    <x v="6"/>
  </r>
  <r>
    <n v="507"/>
    <x v="506"/>
    <x v="0"/>
    <x v="2"/>
    <x v="0"/>
    <s v="Very likely"/>
    <n v="4"/>
    <x v="4"/>
    <n v="4"/>
    <x v="0"/>
    <x v="4"/>
    <n v="3"/>
    <x v="4"/>
  </r>
  <r>
    <n v="508"/>
    <x v="507"/>
    <x v="0"/>
    <x v="4"/>
    <x v="0"/>
    <s v="Very unlikely"/>
    <n v="1"/>
    <x v="0"/>
    <n v="2"/>
    <x v="2"/>
    <x v="4"/>
    <n v="3"/>
    <x v="4"/>
  </r>
  <r>
    <n v="509"/>
    <x v="508"/>
    <x v="0"/>
    <x v="1"/>
    <x v="66"/>
    <s v="Very unlikely"/>
    <n v="1"/>
    <x v="3"/>
    <n v="3"/>
    <x v="0"/>
    <x v="1"/>
    <n v="11"/>
    <x v="4"/>
  </r>
  <r>
    <n v="510"/>
    <x v="509"/>
    <x v="0"/>
    <x v="4"/>
    <x v="0"/>
    <s v="Very unlikely"/>
    <n v="1"/>
    <x v="4"/>
    <n v="4"/>
    <x v="2"/>
    <x v="6"/>
    <n v="1"/>
    <x v="4"/>
  </r>
  <r>
    <n v="511"/>
    <x v="510"/>
    <x v="0"/>
    <x v="6"/>
    <x v="0"/>
    <s v="Somewhat likely"/>
    <n v="3"/>
    <x v="4"/>
    <n v="4"/>
    <x v="0"/>
    <x v="1"/>
    <n v="11"/>
    <x v="7"/>
  </r>
  <r>
    <n v="512"/>
    <x v="511"/>
    <x v="0"/>
    <x v="0"/>
    <x v="0"/>
    <s v="Very likely"/>
    <n v="4"/>
    <x v="4"/>
    <n v="4"/>
    <x v="0"/>
    <x v="9"/>
    <n v="10"/>
    <x v="0"/>
  </r>
  <r>
    <n v="513"/>
    <x v="512"/>
    <x v="0"/>
    <x v="4"/>
    <x v="0"/>
    <s v="Very likely"/>
    <n v="4"/>
    <x v="1"/>
    <n v="1"/>
    <x v="2"/>
    <x v="7"/>
    <n v="2"/>
    <x v="7"/>
  </r>
  <r>
    <n v="514"/>
    <x v="513"/>
    <x v="0"/>
    <x v="0"/>
    <x v="0"/>
    <s v="Very likely"/>
    <n v="4"/>
    <x v="1"/>
    <n v="1"/>
    <x v="2"/>
    <x v="2"/>
    <n v="6"/>
    <x v="6"/>
  </r>
  <r>
    <n v="515"/>
    <x v="514"/>
    <x v="1"/>
    <x v="4"/>
    <x v="0"/>
    <s v="Very unlikely"/>
    <n v="1"/>
    <x v="3"/>
    <n v="3"/>
    <x v="2"/>
    <x v="2"/>
    <n v="6"/>
    <x v="4"/>
  </r>
  <r>
    <n v="516"/>
    <x v="515"/>
    <x v="0"/>
    <x v="1"/>
    <x v="41"/>
    <s v="Somewhat likely"/>
    <n v="3"/>
    <x v="4"/>
    <n v="4"/>
    <x v="0"/>
    <x v="1"/>
    <n v="11"/>
    <x v="0"/>
  </r>
  <r>
    <n v="517"/>
    <x v="516"/>
    <x v="0"/>
    <x v="2"/>
    <x v="0"/>
    <s v="Very likely"/>
    <n v="4"/>
    <x v="1"/>
    <n v="1"/>
    <x v="2"/>
    <x v="7"/>
    <n v="2"/>
    <x v="3"/>
  </r>
  <r>
    <n v="518"/>
    <x v="517"/>
    <x v="0"/>
    <x v="2"/>
    <x v="0"/>
    <s v="Very likely"/>
    <n v="4"/>
    <x v="1"/>
    <n v="1"/>
    <x v="2"/>
    <x v="1"/>
    <n v="11"/>
    <x v="6"/>
  </r>
  <r>
    <n v="519"/>
    <x v="518"/>
    <x v="1"/>
    <x v="5"/>
    <x v="0"/>
    <s v="Very unlikely"/>
    <n v="1"/>
    <x v="4"/>
    <n v="4"/>
    <x v="0"/>
    <x v="0"/>
    <n v="4"/>
    <x v="3"/>
  </r>
  <r>
    <n v="520"/>
    <x v="519"/>
    <x v="0"/>
    <x v="2"/>
    <x v="0"/>
    <s v="Somewhat unlikely"/>
    <n v="2"/>
    <x v="3"/>
    <n v="3"/>
    <x v="2"/>
    <x v="8"/>
    <n v="5"/>
    <x v="4"/>
  </r>
  <r>
    <n v="521"/>
    <x v="520"/>
    <x v="0"/>
    <x v="2"/>
    <x v="0"/>
    <s v="Very likely"/>
    <n v="4"/>
    <x v="3"/>
    <n v="3"/>
    <x v="0"/>
    <x v="0"/>
    <n v="4"/>
    <x v="6"/>
  </r>
  <r>
    <n v="522"/>
    <x v="521"/>
    <x v="1"/>
    <x v="2"/>
    <x v="0"/>
    <s v="Somewhat likely"/>
    <n v="3"/>
    <x v="1"/>
    <n v="1"/>
    <x v="2"/>
    <x v="1"/>
    <n v="11"/>
    <x v="0"/>
  </r>
  <r>
    <n v="523"/>
    <x v="522"/>
    <x v="1"/>
    <x v="5"/>
    <x v="0"/>
    <s v="Very unlikely"/>
    <n v="1"/>
    <x v="1"/>
    <n v="1"/>
    <x v="2"/>
    <x v="7"/>
    <n v="2"/>
    <x v="0"/>
  </r>
  <r>
    <n v="524"/>
    <x v="523"/>
    <x v="0"/>
    <x v="0"/>
    <x v="0"/>
    <s v="Somewhat likely"/>
    <n v="3"/>
    <x v="3"/>
    <n v="3"/>
    <x v="0"/>
    <x v="1"/>
    <n v="11"/>
    <x v="4"/>
  </r>
  <r>
    <n v="525"/>
    <x v="524"/>
    <x v="0"/>
    <x v="2"/>
    <x v="0"/>
    <s v="Very unlikely"/>
    <n v="1"/>
    <x v="4"/>
    <n v="4"/>
    <x v="2"/>
    <x v="1"/>
    <n v="11"/>
    <x v="5"/>
  </r>
  <r>
    <n v="526"/>
    <x v="525"/>
    <x v="0"/>
    <x v="0"/>
    <x v="0"/>
    <s v="Very likely"/>
    <n v="4"/>
    <x v="3"/>
    <n v="3"/>
    <x v="2"/>
    <x v="4"/>
    <n v="3"/>
    <x v="3"/>
  </r>
  <r>
    <n v="527"/>
    <x v="526"/>
    <x v="0"/>
    <x v="5"/>
    <x v="0"/>
    <s v="Very likely"/>
    <n v="4"/>
    <x v="4"/>
    <n v="4"/>
    <x v="2"/>
    <x v="1"/>
    <n v="11"/>
    <x v="8"/>
  </r>
  <r>
    <n v="528"/>
    <x v="527"/>
    <x v="0"/>
    <x v="2"/>
    <x v="0"/>
    <s v="Very likely"/>
    <n v="4"/>
    <x v="4"/>
    <n v="4"/>
    <x v="0"/>
    <x v="11"/>
    <n v="7"/>
    <x v="7"/>
  </r>
  <r>
    <n v="529"/>
    <x v="528"/>
    <x v="0"/>
    <x v="1"/>
    <x v="5"/>
    <s v="Very unlikely"/>
    <n v="1"/>
    <x v="4"/>
    <n v="4"/>
    <x v="0"/>
    <x v="0"/>
    <n v="4"/>
    <x v="3"/>
  </r>
  <r>
    <n v="530"/>
    <x v="529"/>
    <x v="0"/>
    <x v="0"/>
    <x v="0"/>
    <s v="Very likely"/>
    <n v="4"/>
    <x v="3"/>
    <n v="3"/>
    <x v="2"/>
    <x v="11"/>
    <n v="7"/>
    <x v="6"/>
  </r>
  <r>
    <n v="531"/>
    <x v="530"/>
    <x v="1"/>
    <x v="0"/>
    <x v="0"/>
    <s v="Very unlikely"/>
    <n v="1"/>
    <x v="1"/>
    <n v="1"/>
    <x v="2"/>
    <x v="7"/>
    <n v="2"/>
    <x v="0"/>
  </r>
  <r>
    <n v="532"/>
    <x v="531"/>
    <x v="0"/>
    <x v="0"/>
    <x v="0"/>
    <s v="Somewhat likely"/>
    <n v="3"/>
    <x v="1"/>
    <n v="1"/>
    <x v="2"/>
    <x v="4"/>
    <n v="3"/>
    <x v="3"/>
  </r>
  <r>
    <n v="533"/>
    <x v="532"/>
    <x v="0"/>
    <x v="2"/>
    <x v="0"/>
    <s v="Very likely"/>
    <n v="4"/>
    <x v="3"/>
    <n v="3"/>
    <x v="0"/>
    <x v="10"/>
    <n v="9"/>
    <x v="3"/>
  </r>
  <r>
    <n v="534"/>
    <x v="533"/>
    <x v="0"/>
    <x v="1"/>
    <x v="4"/>
    <s v="Very likely"/>
    <n v="4"/>
    <x v="4"/>
    <n v="4"/>
    <x v="2"/>
    <x v="4"/>
    <n v="3"/>
    <x v="0"/>
  </r>
  <r>
    <n v="535"/>
    <x v="534"/>
    <x v="1"/>
    <x v="4"/>
    <x v="0"/>
    <s v="Somewhat unlikely"/>
    <n v="2"/>
    <x v="1"/>
    <n v="1"/>
    <x v="2"/>
    <x v="4"/>
    <n v="3"/>
    <x v="2"/>
  </r>
  <r>
    <n v="536"/>
    <x v="535"/>
    <x v="0"/>
    <x v="5"/>
    <x v="0"/>
    <s v="Somewhat likely"/>
    <n v="3"/>
    <x v="3"/>
    <n v="3"/>
    <x v="2"/>
    <x v="11"/>
    <n v="7"/>
    <x v="4"/>
  </r>
  <r>
    <n v="537"/>
    <x v="536"/>
    <x v="0"/>
    <x v="1"/>
    <x v="26"/>
    <s v="Very likely"/>
    <n v="4"/>
    <x v="0"/>
    <n v="2"/>
    <x v="2"/>
    <x v="8"/>
    <n v="5"/>
    <x v="2"/>
  </r>
  <r>
    <n v="538"/>
    <x v="537"/>
    <x v="0"/>
    <x v="1"/>
    <x v="26"/>
    <s v="Somewhat likely"/>
    <n v="3"/>
    <x v="3"/>
    <n v="3"/>
    <x v="2"/>
    <x v="1"/>
    <n v="11"/>
    <x v="4"/>
  </r>
  <r>
    <n v="539"/>
    <x v="538"/>
    <x v="1"/>
    <x v="0"/>
    <x v="0"/>
    <s v="Somewhat unlikely"/>
    <n v="2"/>
    <x v="1"/>
    <n v="1"/>
    <x v="2"/>
    <x v="6"/>
    <n v="1"/>
    <x v="4"/>
  </r>
  <r>
    <n v="540"/>
    <x v="539"/>
    <x v="0"/>
    <x v="0"/>
    <x v="0"/>
    <s v="Very unlikely"/>
    <n v="1"/>
    <x v="1"/>
    <n v="1"/>
    <x v="2"/>
    <x v="4"/>
    <n v="3"/>
    <x v="3"/>
  </r>
  <r>
    <n v="541"/>
    <x v="540"/>
    <x v="0"/>
    <x v="2"/>
    <x v="0"/>
    <s v="Very likely"/>
    <n v="4"/>
    <x v="3"/>
    <n v="3"/>
    <x v="0"/>
    <x v="2"/>
    <n v="6"/>
    <x v="2"/>
  </r>
  <r>
    <n v="542"/>
    <x v="541"/>
    <x v="0"/>
    <x v="1"/>
    <x v="24"/>
    <s v="Very likely"/>
    <n v="4"/>
    <x v="1"/>
    <n v="1"/>
    <x v="2"/>
    <x v="1"/>
    <n v="11"/>
    <x v="9"/>
  </r>
  <r>
    <n v="543"/>
    <x v="542"/>
    <x v="0"/>
    <x v="2"/>
    <x v="0"/>
    <s v="Somewhat likely"/>
    <n v="3"/>
    <x v="2"/>
    <s v="na"/>
    <x v="1"/>
    <x v="5"/>
    <s v="na"/>
    <x v="1"/>
  </r>
  <r>
    <n v="544"/>
    <x v="543"/>
    <x v="0"/>
    <x v="7"/>
    <x v="0"/>
    <s v="Very unlikely"/>
    <n v="1"/>
    <x v="4"/>
    <n v="4"/>
    <x v="0"/>
    <x v="1"/>
    <n v="11"/>
    <x v="2"/>
  </r>
  <r>
    <n v="545"/>
    <x v="544"/>
    <x v="0"/>
    <x v="1"/>
    <x v="67"/>
    <s v="Very likely"/>
    <n v="4"/>
    <x v="3"/>
    <n v="3"/>
    <x v="2"/>
    <x v="1"/>
    <n v="11"/>
    <x v="0"/>
  </r>
  <r>
    <n v="546"/>
    <x v="545"/>
    <x v="0"/>
    <x v="6"/>
    <x v="0"/>
    <s v="Somewhat likely"/>
    <n v="3"/>
    <x v="4"/>
    <n v="4"/>
    <x v="2"/>
    <x v="2"/>
    <n v="6"/>
    <x v="4"/>
  </r>
  <r>
    <n v="547"/>
    <x v="546"/>
    <x v="0"/>
    <x v="0"/>
    <x v="0"/>
    <s v="Somewhat likely"/>
    <n v="3"/>
    <x v="1"/>
    <n v="1"/>
    <x v="2"/>
    <x v="9"/>
    <n v="10"/>
    <x v="8"/>
  </r>
  <r>
    <n v="548"/>
    <x v="547"/>
    <x v="0"/>
    <x v="1"/>
    <x v="68"/>
    <s v="Very likely"/>
    <n v="4"/>
    <x v="3"/>
    <n v="3"/>
    <x v="2"/>
    <x v="2"/>
    <n v="6"/>
    <x v="7"/>
  </r>
  <r>
    <n v="549"/>
    <x v="548"/>
    <x v="0"/>
    <x v="5"/>
    <x v="0"/>
    <s v="Very unlikely"/>
    <n v="1"/>
    <x v="4"/>
    <n v="4"/>
    <x v="0"/>
    <x v="8"/>
    <n v="5"/>
    <x v="7"/>
  </r>
  <r>
    <n v="550"/>
    <x v="549"/>
    <x v="0"/>
    <x v="0"/>
    <x v="0"/>
    <s v="Very likely"/>
    <n v="4"/>
    <x v="1"/>
    <n v="1"/>
    <x v="2"/>
    <x v="7"/>
    <n v="2"/>
    <x v="0"/>
  </r>
  <r>
    <n v="551"/>
    <x v="550"/>
    <x v="1"/>
    <x v="4"/>
    <x v="0"/>
    <s v="Somewhat unlikely"/>
    <n v="2"/>
    <x v="1"/>
    <n v="1"/>
    <x v="2"/>
    <x v="4"/>
    <n v="3"/>
    <x v="4"/>
  </r>
  <r>
    <n v="552"/>
    <x v="551"/>
    <x v="1"/>
    <x v="1"/>
    <x v="69"/>
    <s v="Somewhat likely"/>
    <n v="3"/>
    <x v="3"/>
    <n v="3"/>
    <x v="2"/>
    <x v="2"/>
    <n v="6"/>
    <x v="7"/>
  </r>
  <r>
    <n v="553"/>
    <x v="552"/>
    <x v="0"/>
    <x v="4"/>
    <x v="0"/>
    <s v="Very likely"/>
    <n v="4"/>
    <x v="3"/>
    <n v="3"/>
    <x v="2"/>
    <x v="1"/>
    <n v="11"/>
    <x v="9"/>
  </r>
  <r>
    <n v="554"/>
    <x v="553"/>
    <x v="1"/>
    <x v="5"/>
    <x v="0"/>
    <s v="Very unlikely"/>
    <n v="1"/>
    <x v="3"/>
    <n v="3"/>
    <x v="2"/>
    <x v="11"/>
    <n v="7"/>
    <x v="3"/>
  </r>
  <r>
    <n v="555"/>
    <x v="554"/>
    <x v="0"/>
    <x v="5"/>
    <x v="0"/>
    <s v="Very likely"/>
    <n v="4"/>
    <x v="1"/>
    <n v="1"/>
    <x v="2"/>
    <x v="7"/>
    <n v="2"/>
    <x v="2"/>
  </r>
  <r>
    <n v="556"/>
    <x v="555"/>
    <x v="0"/>
    <x v="0"/>
    <x v="0"/>
    <s v="Very likely"/>
    <n v="4"/>
    <x v="4"/>
    <n v="4"/>
    <x v="0"/>
    <x v="0"/>
    <n v="4"/>
    <x v="5"/>
  </r>
  <r>
    <n v="557"/>
    <x v="556"/>
    <x v="0"/>
    <x v="0"/>
    <x v="0"/>
    <s v="Very unlikely"/>
    <n v="1"/>
    <x v="3"/>
    <n v="3"/>
    <x v="2"/>
    <x v="10"/>
    <n v="9"/>
    <x v="2"/>
  </r>
  <r>
    <n v="558"/>
    <x v="557"/>
    <x v="0"/>
    <x v="4"/>
    <x v="0"/>
    <s v="Very likely"/>
    <n v="4"/>
    <x v="4"/>
    <n v="4"/>
    <x v="2"/>
    <x v="8"/>
    <n v="5"/>
    <x v="4"/>
  </r>
  <r>
    <n v="559"/>
    <x v="558"/>
    <x v="0"/>
    <x v="0"/>
    <x v="0"/>
    <s v="Very likely"/>
    <n v="4"/>
    <x v="4"/>
    <n v="4"/>
    <x v="2"/>
    <x v="1"/>
    <n v="11"/>
    <x v="6"/>
  </r>
  <r>
    <n v="560"/>
    <x v="559"/>
    <x v="0"/>
    <x v="0"/>
    <x v="0"/>
    <s v="Very unlikely"/>
    <n v="1"/>
    <x v="0"/>
    <n v="2"/>
    <x v="2"/>
    <x v="1"/>
    <n v="11"/>
    <x v="0"/>
  </r>
  <r>
    <n v="561"/>
    <x v="560"/>
    <x v="0"/>
    <x v="2"/>
    <x v="0"/>
    <s v="Very likely"/>
    <n v="4"/>
    <x v="4"/>
    <n v="4"/>
    <x v="0"/>
    <x v="2"/>
    <n v="6"/>
    <x v="7"/>
  </r>
  <r>
    <n v="562"/>
    <x v="561"/>
    <x v="0"/>
    <x v="5"/>
    <x v="0"/>
    <s v="Very likely"/>
    <n v="4"/>
    <x v="3"/>
    <n v="3"/>
    <x v="2"/>
    <x v="4"/>
    <n v="3"/>
    <x v="2"/>
  </r>
  <r>
    <n v="563"/>
    <x v="562"/>
    <x v="0"/>
    <x v="1"/>
    <x v="66"/>
    <s v="Very unlikely"/>
    <n v="1"/>
    <x v="0"/>
    <n v="2"/>
    <x v="2"/>
    <x v="3"/>
    <n v="8"/>
    <x v="4"/>
  </r>
  <r>
    <n v="564"/>
    <x v="563"/>
    <x v="0"/>
    <x v="5"/>
    <x v="0"/>
    <s v="Very unlikely"/>
    <n v="1"/>
    <x v="4"/>
    <n v="4"/>
    <x v="0"/>
    <x v="9"/>
    <n v="10"/>
    <x v="4"/>
  </r>
  <r>
    <n v="565"/>
    <x v="564"/>
    <x v="0"/>
    <x v="4"/>
    <x v="0"/>
    <s v="Very likely"/>
    <n v="4"/>
    <x v="3"/>
    <n v="3"/>
    <x v="2"/>
    <x v="1"/>
    <n v="11"/>
    <x v="0"/>
  </r>
  <r>
    <n v="566"/>
    <x v="565"/>
    <x v="1"/>
    <x v="5"/>
    <x v="0"/>
    <s v="Very unlikely"/>
    <n v="1"/>
    <x v="3"/>
    <n v="3"/>
    <x v="2"/>
    <x v="8"/>
    <n v="5"/>
    <x v="0"/>
  </r>
  <r>
    <n v="567"/>
    <x v="566"/>
    <x v="0"/>
    <x v="4"/>
    <x v="0"/>
    <s v="Very likely"/>
    <n v="4"/>
    <x v="1"/>
    <n v="1"/>
    <x v="2"/>
    <x v="7"/>
    <n v="2"/>
    <x v="8"/>
  </r>
  <r>
    <n v="568"/>
    <x v="567"/>
    <x v="1"/>
    <x v="5"/>
    <x v="0"/>
    <s v="Somewhat likely"/>
    <n v="3"/>
    <x v="3"/>
    <n v="3"/>
    <x v="2"/>
    <x v="4"/>
    <n v="3"/>
    <x v="6"/>
  </r>
  <r>
    <n v="569"/>
    <x v="568"/>
    <x v="0"/>
    <x v="2"/>
    <x v="0"/>
    <s v="Very likely"/>
    <n v="4"/>
    <x v="3"/>
    <n v="3"/>
    <x v="0"/>
    <x v="0"/>
    <n v="4"/>
    <x v="9"/>
  </r>
  <r>
    <n v="570"/>
    <x v="569"/>
    <x v="1"/>
    <x v="3"/>
    <x v="0"/>
    <s v="No answer provided"/>
    <s v="na"/>
    <x v="2"/>
    <s v="na"/>
    <x v="1"/>
    <x v="5"/>
    <s v="na"/>
    <x v="1"/>
  </r>
  <r>
    <n v="571"/>
    <x v="570"/>
    <x v="0"/>
    <x v="4"/>
    <x v="0"/>
    <s v="Somewhat likely"/>
    <n v="3"/>
    <x v="0"/>
    <n v="2"/>
    <x v="2"/>
    <x v="0"/>
    <n v="4"/>
    <x v="2"/>
  </r>
  <r>
    <n v="572"/>
    <x v="571"/>
    <x v="0"/>
    <x v="2"/>
    <x v="0"/>
    <s v="Very likely"/>
    <n v="4"/>
    <x v="4"/>
    <n v="4"/>
    <x v="2"/>
    <x v="0"/>
    <n v="4"/>
    <x v="3"/>
  </r>
  <r>
    <n v="573"/>
    <x v="572"/>
    <x v="0"/>
    <x v="2"/>
    <x v="0"/>
    <s v="Very likely"/>
    <n v="4"/>
    <x v="3"/>
    <n v="3"/>
    <x v="0"/>
    <x v="11"/>
    <n v="7"/>
    <x v="6"/>
  </r>
  <r>
    <n v="574"/>
    <x v="573"/>
    <x v="0"/>
    <x v="1"/>
    <x v="70"/>
    <s v="Very likely"/>
    <n v="4"/>
    <x v="1"/>
    <n v="1"/>
    <x v="2"/>
    <x v="4"/>
    <n v="3"/>
    <x v="4"/>
  </r>
  <r>
    <n v="575"/>
    <x v="574"/>
    <x v="0"/>
    <x v="4"/>
    <x v="0"/>
    <s v="Very likely"/>
    <n v="4"/>
    <x v="1"/>
    <n v="1"/>
    <x v="2"/>
    <x v="1"/>
    <n v="11"/>
    <x v="3"/>
  </r>
  <r>
    <n v="576"/>
    <x v="575"/>
    <x v="0"/>
    <x v="1"/>
    <x v="9"/>
    <s v="Very likely"/>
    <n v="4"/>
    <x v="4"/>
    <n v="4"/>
    <x v="2"/>
    <x v="1"/>
    <n v="11"/>
    <x v="6"/>
  </r>
  <r>
    <n v="577"/>
    <x v="576"/>
    <x v="0"/>
    <x v="3"/>
    <x v="0"/>
    <s v="No answer provided"/>
    <s v="na"/>
    <x v="2"/>
    <s v="na"/>
    <x v="1"/>
    <x v="5"/>
    <s v="na"/>
    <x v="1"/>
  </r>
  <r>
    <n v="578"/>
    <x v="577"/>
    <x v="0"/>
    <x v="7"/>
    <x v="0"/>
    <s v="Somewhat likely"/>
    <n v="3"/>
    <x v="3"/>
    <n v="3"/>
    <x v="2"/>
    <x v="8"/>
    <n v="5"/>
    <x v="4"/>
  </r>
  <r>
    <n v="579"/>
    <x v="578"/>
    <x v="0"/>
    <x v="0"/>
    <x v="0"/>
    <s v="Very likely"/>
    <n v="4"/>
    <x v="3"/>
    <n v="3"/>
    <x v="2"/>
    <x v="9"/>
    <n v="10"/>
    <x v="7"/>
  </r>
  <r>
    <n v="580"/>
    <x v="579"/>
    <x v="0"/>
    <x v="2"/>
    <x v="0"/>
    <s v="Very likely"/>
    <n v="4"/>
    <x v="3"/>
    <n v="3"/>
    <x v="2"/>
    <x v="10"/>
    <n v="9"/>
    <x v="3"/>
  </r>
  <r>
    <n v="581"/>
    <x v="580"/>
    <x v="0"/>
    <x v="1"/>
    <x v="9"/>
    <s v="Somewhat likely"/>
    <n v="3"/>
    <x v="3"/>
    <n v="3"/>
    <x v="2"/>
    <x v="4"/>
    <n v="3"/>
    <x v="2"/>
  </r>
  <r>
    <n v="582"/>
    <x v="581"/>
    <x v="0"/>
    <x v="5"/>
    <x v="0"/>
    <s v="Very unlikely"/>
    <n v="1"/>
    <x v="4"/>
    <n v="4"/>
    <x v="0"/>
    <x v="1"/>
    <n v="11"/>
    <x v="9"/>
  </r>
  <r>
    <n v="583"/>
    <x v="582"/>
    <x v="0"/>
    <x v="1"/>
    <x v="71"/>
    <s v="Very likely"/>
    <n v="4"/>
    <x v="3"/>
    <n v="3"/>
    <x v="0"/>
    <x v="8"/>
    <n v="5"/>
    <x v="6"/>
  </r>
  <r>
    <n v="584"/>
    <x v="583"/>
    <x v="0"/>
    <x v="4"/>
    <x v="0"/>
    <s v="Very likely"/>
    <n v="4"/>
    <x v="1"/>
    <n v="1"/>
    <x v="2"/>
    <x v="7"/>
    <n v="2"/>
    <x v="4"/>
  </r>
  <r>
    <n v="585"/>
    <x v="584"/>
    <x v="0"/>
    <x v="5"/>
    <x v="0"/>
    <s v="Very likely"/>
    <n v="4"/>
    <x v="4"/>
    <n v="4"/>
    <x v="2"/>
    <x v="1"/>
    <n v="11"/>
    <x v="0"/>
  </r>
  <r>
    <n v="586"/>
    <x v="585"/>
    <x v="0"/>
    <x v="5"/>
    <x v="0"/>
    <s v="Somewhat likely"/>
    <n v="3"/>
    <x v="1"/>
    <n v="1"/>
    <x v="2"/>
    <x v="6"/>
    <n v="1"/>
    <x v="8"/>
  </r>
  <r>
    <n v="587"/>
    <x v="586"/>
    <x v="0"/>
    <x v="7"/>
    <x v="0"/>
    <s v="Very unlikely"/>
    <n v="1"/>
    <x v="4"/>
    <n v="4"/>
    <x v="0"/>
    <x v="9"/>
    <n v="10"/>
    <x v="3"/>
  </r>
  <r>
    <n v="588"/>
    <x v="587"/>
    <x v="0"/>
    <x v="2"/>
    <x v="0"/>
    <s v="Somewhat likely"/>
    <n v="3"/>
    <x v="3"/>
    <n v="3"/>
    <x v="2"/>
    <x v="6"/>
    <n v="1"/>
    <x v="6"/>
  </r>
  <r>
    <n v="589"/>
    <x v="588"/>
    <x v="0"/>
    <x v="4"/>
    <x v="0"/>
    <s v="Somewhat likely"/>
    <n v="3"/>
    <x v="4"/>
    <n v="4"/>
    <x v="0"/>
    <x v="11"/>
    <n v="7"/>
    <x v="4"/>
  </r>
  <r>
    <n v="590"/>
    <x v="589"/>
    <x v="1"/>
    <x v="5"/>
    <x v="0"/>
    <s v="Very likely"/>
    <n v="4"/>
    <x v="3"/>
    <n v="3"/>
    <x v="2"/>
    <x v="8"/>
    <n v="5"/>
    <x v="0"/>
  </r>
  <r>
    <n v="591"/>
    <x v="590"/>
    <x v="1"/>
    <x v="4"/>
    <x v="0"/>
    <s v="Very unlikely"/>
    <n v="1"/>
    <x v="0"/>
    <n v="2"/>
    <x v="2"/>
    <x v="8"/>
    <n v="5"/>
    <x v="2"/>
  </r>
  <r>
    <n v="592"/>
    <x v="591"/>
    <x v="0"/>
    <x v="5"/>
    <x v="0"/>
    <s v="Somewhat likely"/>
    <n v="3"/>
    <x v="4"/>
    <n v="4"/>
    <x v="2"/>
    <x v="11"/>
    <n v="7"/>
    <x v="6"/>
  </r>
  <r>
    <n v="593"/>
    <x v="592"/>
    <x v="1"/>
    <x v="0"/>
    <x v="0"/>
    <s v="Somewhat likely"/>
    <n v="3"/>
    <x v="1"/>
    <n v="1"/>
    <x v="2"/>
    <x v="3"/>
    <n v="8"/>
    <x v="4"/>
  </r>
  <r>
    <n v="594"/>
    <x v="593"/>
    <x v="0"/>
    <x v="1"/>
    <x v="66"/>
    <s v="Very likely"/>
    <n v="4"/>
    <x v="4"/>
    <n v="4"/>
    <x v="0"/>
    <x v="11"/>
    <n v="7"/>
    <x v="5"/>
  </r>
  <r>
    <n v="595"/>
    <x v="594"/>
    <x v="0"/>
    <x v="4"/>
    <x v="0"/>
    <s v="Very likely"/>
    <n v="4"/>
    <x v="3"/>
    <n v="3"/>
    <x v="2"/>
    <x v="9"/>
    <n v="10"/>
    <x v="9"/>
  </r>
  <r>
    <n v="596"/>
    <x v="595"/>
    <x v="0"/>
    <x v="8"/>
    <x v="0"/>
    <s v="Very likely"/>
    <n v="4"/>
    <x v="4"/>
    <n v="4"/>
    <x v="0"/>
    <x v="8"/>
    <n v="5"/>
    <x v="3"/>
  </r>
  <r>
    <n v="597"/>
    <x v="596"/>
    <x v="0"/>
    <x v="5"/>
    <x v="0"/>
    <s v="Somewhat likely"/>
    <n v="3"/>
    <x v="4"/>
    <n v="4"/>
    <x v="2"/>
    <x v="1"/>
    <n v="11"/>
    <x v="8"/>
  </r>
  <r>
    <n v="598"/>
    <x v="597"/>
    <x v="0"/>
    <x v="1"/>
    <x v="5"/>
    <s v="Somewhat likely"/>
    <n v="3"/>
    <x v="0"/>
    <n v="2"/>
    <x v="2"/>
    <x v="1"/>
    <n v="11"/>
    <x v="6"/>
  </r>
  <r>
    <n v="599"/>
    <x v="598"/>
    <x v="1"/>
    <x v="5"/>
    <x v="0"/>
    <s v="Very unlikely"/>
    <n v="1"/>
    <x v="3"/>
    <n v="3"/>
    <x v="2"/>
    <x v="3"/>
    <n v="8"/>
    <x v="7"/>
  </r>
  <r>
    <n v="600"/>
    <x v="599"/>
    <x v="0"/>
    <x v="0"/>
    <x v="0"/>
    <s v="Very likely"/>
    <n v="4"/>
    <x v="3"/>
    <n v="3"/>
    <x v="0"/>
    <x v="8"/>
    <n v="5"/>
    <x v="3"/>
  </r>
  <r>
    <n v="601"/>
    <x v="600"/>
    <x v="1"/>
    <x v="5"/>
    <x v="0"/>
    <s v="Very likely"/>
    <n v="4"/>
    <x v="3"/>
    <n v="3"/>
    <x v="2"/>
    <x v="1"/>
    <n v="11"/>
    <x v="6"/>
  </r>
  <r>
    <n v="602"/>
    <x v="601"/>
    <x v="0"/>
    <x v="6"/>
    <x v="0"/>
    <s v="Very likely"/>
    <n v="4"/>
    <x v="3"/>
    <n v="3"/>
    <x v="2"/>
    <x v="1"/>
    <n v="11"/>
    <x v="4"/>
  </r>
  <r>
    <n v="603"/>
    <x v="602"/>
    <x v="0"/>
    <x v="1"/>
    <x v="5"/>
    <s v="Somewhat likely"/>
    <n v="3"/>
    <x v="0"/>
    <n v="2"/>
    <x v="2"/>
    <x v="1"/>
    <n v="11"/>
    <x v="0"/>
  </r>
  <r>
    <n v="604"/>
    <x v="603"/>
    <x v="1"/>
    <x v="2"/>
    <x v="0"/>
    <s v="Very unlikely"/>
    <n v="1"/>
    <x v="1"/>
    <n v="1"/>
    <x v="2"/>
    <x v="1"/>
    <n v="11"/>
    <x v="0"/>
  </r>
  <r>
    <n v="605"/>
    <x v="604"/>
    <x v="0"/>
    <x v="1"/>
    <x v="72"/>
    <s v="Very unlikely"/>
    <n v="1"/>
    <x v="3"/>
    <n v="3"/>
    <x v="0"/>
    <x v="1"/>
    <n v="11"/>
    <x v="4"/>
  </r>
  <r>
    <n v="606"/>
    <x v="605"/>
    <x v="0"/>
    <x v="4"/>
    <x v="0"/>
    <s v="Very unlikely"/>
    <n v="1"/>
    <x v="4"/>
    <n v="4"/>
    <x v="2"/>
    <x v="8"/>
    <n v="5"/>
    <x v="6"/>
  </r>
  <r>
    <n v="607"/>
    <x v="606"/>
    <x v="0"/>
    <x v="1"/>
    <x v="11"/>
    <s v="Very likely"/>
    <n v="4"/>
    <x v="3"/>
    <n v="3"/>
    <x v="2"/>
    <x v="8"/>
    <n v="5"/>
    <x v="0"/>
  </r>
  <r>
    <n v="608"/>
    <x v="607"/>
    <x v="0"/>
    <x v="7"/>
    <x v="0"/>
    <s v="Very unlikely"/>
    <n v="1"/>
    <x v="4"/>
    <n v="4"/>
    <x v="2"/>
    <x v="9"/>
    <n v="10"/>
    <x v="4"/>
  </r>
  <r>
    <n v="609"/>
    <x v="608"/>
    <x v="0"/>
    <x v="5"/>
    <x v="0"/>
    <s v="Very likely"/>
    <n v="4"/>
    <x v="4"/>
    <n v="4"/>
    <x v="0"/>
    <x v="8"/>
    <n v="5"/>
    <x v="9"/>
  </r>
  <r>
    <n v="610"/>
    <x v="609"/>
    <x v="0"/>
    <x v="4"/>
    <x v="0"/>
    <s v="Very likely"/>
    <n v="4"/>
    <x v="4"/>
    <n v="4"/>
    <x v="2"/>
    <x v="4"/>
    <n v="3"/>
    <x v="4"/>
  </r>
  <r>
    <n v="611"/>
    <x v="610"/>
    <x v="0"/>
    <x v="4"/>
    <x v="0"/>
    <s v="Somewhat likely"/>
    <n v="3"/>
    <x v="1"/>
    <n v="1"/>
    <x v="2"/>
    <x v="1"/>
    <n v="11"/>
    <x v="3"/>
  </r>
  <r>
    <n v="612"/>
    <x v="611"/>
    <x v="0"/>
    <x v="5"/>
    <x v="0"/>
    <s v="Somewhat likely"/>
    <n v="3"/>
    <x v="3"/>
    <n v="3"/>
    <x v="2"/>
    <x v="2"/>
    <n v="6"/>
    <x v="4"/>
  </r>
  <r>
    <n v="613"/>
    <x v="612"/>
    <x v="1"/>
    <x v="1"/>
    <x v="58"/>
    <s v="Very unlikely"/>
    <n v="1"/>
    <x v="0"/>
    <n v="2"/>
    <x v="2"/>
    <x v="11"/>
    <n v="7"/>
    <x v="4"/>
  </r>
  <r>
    <n v="614"/>
    <x v="613"/>
    <x v="0"/>
    <x v="1"/>
    <x v="73"/>
    <s v="Very unlikely"/>
    <n v="1"/>
    <x v="4"/>
    <n v="4"/>
    <x v="0"/>
    <x v="0"/>
    <n v="4"/>
    <x v="0"/>
  </r>
  <r>
    <n v="615"/>
    <x v="614"/>
    <x v="0"/>
    <x v="0"/>
    <x v="0"/>
    <s v="Very likely"/>
    <n v="4"/>
    <x v="1"/>
    <n v="1"/>
    <x v="2"/>
    <x v="8"/>
    <n v="5"/>
    <x v="6"/>
  </r>
  <r>
    <n v="616"/>
    <x v="615"/>
    <x v="0"/>
    <x v="0"/>
    <x v="0"/>
    <s v="Somewhat likely"/>
    <n v="3"/>
    <x v="0"/>
    <n v="2"/>
    <x v="2"/>
    <x v="4"/>
    <n v="3"/>
    <x v="5"/>
  </r>
  <r>
    <n v="617"/>
    <x v="616"/>
    <x v="0"/>
    <x v="5"/>
    <x v="0"/>
    <s v="Somewhat likely"/>
    <n v="3"/>
    <x v="4"/>
    <n v="4"/>
    <x v="2"/>
    <x v="1"/>
    <n v="11"/>
    <x v="3"/>
  </r>
  <r>
    <n v="618"/>
    <x v="617"/>
    <x v="0"/>
    <x v="2"/>
    <x v="0"/>
    <s v="Very likely"/>
    <n v="4"/>
    <x v="3"/>
    <n v="3"/>
    <x v="2"/>
    <x v="0"/>
    <n v="4"/>
    <x v="4"/>
  </r>
  <r>
    <n v="619"/>
    <x v="618"/>
    <x v="1"/>
    <x v="5"/>
    <x v="0"/>
    <s v="Very unlikely"/>
    <n v="1"/>
    <x v="4"/>
    <n v="4"/>
    <x v="2"/>
    <x v="4"/>
    <n v="3"/>
    <x v="4"/>
  </r>
  <r>
    <n v="620"/>
    <x v="619"/>
    <x v="1"/>
    <x v="5"/>
    <x v="0"/>
    <s v="Very unlikely"/>
    <n v="1"/>
    <x v="0"/>
    <n v="2"/>
    <x v="2"/>
    <x v="4"/>
    <n v="3"/>
    <x v="6"/>
  </r>
  <r>
    <n v="621"/>
    <x v="620"/>
    <x v="0"/>
    <x v="1"/>
    <x v="64"/>
    <s v="Very likely"/>
    <n v="4"/>
    <x v="1"/>
    <n v="1"/>
    <x v="2"/>
    <x v="11"/>
    <n v="7"/>
    <x v="4"/>
  </r>
  <r>
    <n v="622"/>
    <x v="621"/>
    <x v="0"/>
    <x v="1"/>
    <x v="9"/>
    <s v="Very unlikely"/>
    <n v="1"/>
    <x v="4"/>
    <n v="4"/>
    <x v="2"/>
    <x v="1"/>
    <n v="11"/>
    <x v="6"/>
  </r>
  <r>
    <n v="623"/>
    <x v="622"/>
    <x v="0"/>
    <x v="7"/>
    <x v="0"/>
    <s v="Very unlikely"/>
    <n v="1"/>
    <x v="3"/>
    <n v="3"/>
    <x v="0"/>
    <x v="4"/>
    <n v="3"/>
    <x v="9"/>
  </r>
  <r>
    <n v="624"/>
    <x v="623"/>
    <x v="0"/>
    <x v="1"/>
    <x v="74"/>
    <s v="Very likely"/>
    <n v="4"/>
    <x v="3"/>
    <n v="3"/>
    <x v="2"/>
    <x v="3"/>
    <n v="8"/>
    <x v="6"/>
  </r>
  <r>
    <n v="625"/>
    <x v="624"/>
    <x v="0"/>
    <x v="5"/>
    <x v="0"/>
    <s v="Very likely"/>
    <n v="4"/>
    <x v="1"/>
    <n v="1"/>
    <x v="2"/>
    <x v="6"/>
    <n v="1"/>
    <x v="6"/>
  </r>
  <r>
    <n v="626"/>
    <x v="625"/>
    <x v="0"/>
    <x v="1"/>
    <x v="75"/>
    <s v="Very unlikely"/>
    <n v="1"/>
    <x v="1"/>
    <n v="1"/>
    <x v="2"/>
    <x v="6"/>
    <n v="1"/>
    <x v="3"/>
  </r>
  <r>
    <n v="627"/>
    <x v="626"/>
    <x v="0"/>
    <x v="0"/>
    <x v="0"/>
    <s v="Somewhat likely"/>
    <n v="3"/>
    <x v="4"/>
    <n v="4"/>
    <x v="2"/>
    <x v="0"/>
    <n v="4"/>
    <x v="3"/>
  </r>
  <r>
    <n v="628"/>
    <x v="627"/>
    <x v="0"/>
    <x v="0"/>
    <x v="0"/>
    <s v="Somewhat likely"/>
    <n v="3"/>
    <x v="4"/>
    <n v="4"/>
    <x v="0"/>
    <x v="2"/>
    <n v="6"/>
    <x v="2"/>
  </r>
  <r>
    <n v="629"/>
    <x v="628"/>
    <x v="0"/>
    <x v="2"/>
    <x v="0"/>
    <s v="Very likely"/>
    <n v="4"/>
    <x v="1"/>
    <n v="1"/>
    <x v="2"/>
    <x v="4"/>
    <n v="3"/>
    <x v="0"/>
  </r>
  <r>
    <n v="630"/>
    <x v="629"/>
    <x v="0"/>
    <x v="1"/>
    <x v="18"/>
    <s v="Somewhat likely"/>
    <n v="3"/>
    <x v="4"/>
    <n v="4"/>
    <x v="2"/>
    <x v="4"/>
    <n v="3"/>
    <x v="7"/>
  </r>
  <r>
    <n v="631"/>
    <x v="630"/>
    <x v="0"/>
    <x v="5"/>
    <x v="0"/>
    <s v="Very likely"/>
    <n v="4"/>
    <x v="3"/>
    <n v="3"/>
    <x v="2"/>
    <x v="11"/>
    <n v="7"/>
    <x v="4"/>
  </r>
  <r>
    <n v="632"/>
    <x v="631"/>
    <x v="1"/>
    <x v="6"/>
    <x v="0"/>
    <s v="Somewhat likely"/>
    <n v="3"/>
    <x v="3"/>
    <n v="3"/>
    <x v="2"/>
    <x v="11"/>
    <n v="7"/>
    <x v="4"/>
  </r>
  <r>
    <n v="633"/>
    <x v="632"/>
    <x v="0"/>
    <x v="4"/>
    <x v="0"/>
    <s v="Very unlikely"/>
    <n v="1"/>
    <x v="3"/>
    <n v="3"/>
    <x v="2"/>
    <x v="1"/>
    <n v="11"/>
    <x v="7"/>
  </r>
  <r>
    <n v="634"/>
    <x v="633"/>
    <x v="0"/>
    <x v="1"/>
    <x v="5"/>
    <s v="Very likely"/>
    <n v="4"/>
    <x v="3"/>
    <n v="3"/>
    <x v="2"/>
    <x v="0"/>
    <n v="4"/>
    <x v="0"/>
  </r>
  <r>
    <n v="635"/>
    <x v="634"/>
    <x v="0"/>
    <x v="0"/>
    <x v="0"/>
    <s v="Somewhat likely"/>
    <n v="3"/>
    <x v="1"/>
    <n v="1"/>
    <x v="2"/>
    <x v="0"/>
    <n v="4"/>
    <x v="0"/>
  </r>
  <r>
    <n v="636"/>
    <x v="635"/>
    <x v="0"/>
    <x v="5"/>
    <x v="0"/>
    <s v="Somewhat likely"/>
    <n v="3"/>
    <x v="3"/>
    <n v="3"/>
    <x v="0"/>
    <x v="7"/>
    <n v="2"/>
    <x v="3"/>
  </r>
  <r>
    <n v="637"/>
    <x v="636"/>
    <x v="1"/>
    <x v="5"/>
    <x v="0"/>
    <s v="Somewhat likely"/>
    <n v="3"/>
    <x v="4"/>
    <n v="4"/>
    <x v="2"/>
    <x v="4"/>
    <n v="3"/>
    <x v="4"/>
  </r>
  <r>
    <n v="638"/>
    <x v="637"/>
    <x v="1"/>
    <x v="0"/>
    <x v="0"/>
    <s v="Somewhat unlikely"/>
    <n v="2"/>
    <x v="0"/>
    <n v="2"/>
    <x v="2"/>
    <x v="11"/>
    <n v="7"/>
    <x v="7"/>
  </r>
  <r>
    <n v="639"/>
    <x v="638"/>
    <x v="0"/>
    <x v="5"/>
    <x v="0"/>
    <s v="Somewhat likely"/>
    <n v="3"/>
    <x v="3"/>
    <n v="3"/>
    <x v="2"/>
    <x v="7"/>
    <n v="2"/>
    <x v="5"/>
  </r>
  <r>
    <n v="640"/>
    <x v="639"/>
    <x v="0"/>
    <x v="0"/>
    <x v="0"/>
    <s v="Very likely"/>
    <n v="4"/>
    <x v="3"/>
    <n v="3"/>
    <x v="2"/>
    <x v="0"/>
    <n v="4"/>
    <x v="0"/>
  </r>
  <r>
    <n v="641"/>
    <x v="640"/>
    <x v="1"/>
    <x v="4"/>
    <x v="0"/>
    <s v="Somewhat unlikely"/>
    <n v="2"/>
    <x v="0"/>
    <n v="2"/>
    <x v="2"/>
    <x v="8"/>
    <n v="5"/>
    <x v="1"/>
  </r>
  <r>
    <n v="642"/>
    <x v="641"/>
    <x v="0"/>
    <x v="5"/>
    <x v="0"/>
    <s v="Very likely"/>
    <n v="4"/>
    <x v="0"/>
    <n v="2"/>
    <x v="2"/>
    <x v="0"/>
    <n v="4"/>
    <x v="3"/>
  </r>
  <r>
    <n v="643"/>
    <x v="642"/>
    <x v="0"/>
    <x v="1"/>
    <x v="11"/>
    <s v="Somewhat likely"/>
    <n v="3"/>
    <x v="1"/>
    <n v="1"/>
    <x v="2"/>
    <x v="1"/>
    <n v="11"/>
    <x v="2"/>
  </r>
  <r>
    <n v="644"/>
    <x v="643"/>
    <x v="0"/>
    <x v="0"/>
    <x v="0"/>
    <s v="Somewhat likely"/>
    <n v="3"/>
    <x v="0"/>
    <n v="2"/>
    <x v="0"/>
    <x v="4"/>
    <n v="3"/>
    <x v="6"/>
  </r>
  <r>
    <n v="645"/>
    <x v="644"/>
    <x v="1"/>
    <x v="2"/>
    <x v="0"/>
    <s v="Very likely"/>
    <n v="4"/>
    <x v="0"/>
    <n v="2"/>
    <x v="2"/>
    <x v="2"/>
    <n v="6"/>
    <x v="4"/>
  </r>
  <r>
    <n v="646"/>
    <x v="645"/>
    <x v="0"/>
    <x v="0"/>
    <x v="0"/>
    <s v="Very likely"/>
    <n v="4"/>
    <x v="3"/>
    <n v="3"/>
    <x v="2"/>
    <x v="8"/>
    <n v="5"/>
    <x v="0"/>
  </r>
  <r>
    <n v="647"/>
    <x v="646"/>
    <x v="0"/>
    <x v="2"/>
    <x v="0"/>
    <s v="Very likely"/>
    <n v="4"/>
    <x v="3"/>
    <n v="3"/>
    <x v="0"/>
    <x v="0"/>
    <n v="4"/>
    <x v="5"/>
  </r>
  <r>
    <n v="648"/>
    <x v="647"/>
    <x v="0"/>
    <x v="1"/>
    <x v="18"/>
    <s v="Very likely"/>
    <n v="4"/>
    <x v="3"/>
    <n v="3"/>
    <x v="0"/>
    <x v="2"/>
    <n v="6"/>
    <x v="6"/>
  </r>
  <r>
    <n v="649"/>
    <x v="648"/>
    <x v="0"/>
    <x v="2"/>
    <x v="0"/>
    <s v="Very likely"/>
    <n v="4"/>
    <x v="3"/>
    <n v="3"/>
    <x v="2"/>
    <x v="4"/>
    <n v="3"/>
    <x v="9"/>
  </r>
  <r>
    <n v="650"/>
    <x v="649"/>
    <x v="0"/>
    <x v="2"/>
    <x v="0"/>
    <s v="Somewhat likely"/>
    <n v="3"/>
    <x v="4"/>
    <n v="4"/>
    <x v="2"/>
    <x v="1"/>
    <n v="11"/>
    <x v="7"/>
  </r>
  <r>
    <n v="651"/>
    <x v="650"/>
    <x v="0"/>
    <x v="0"/>
    <x v="0"/>
    <s v="Very unlikely"/>
    <n v="1"/>
    <x v="1"/>
    <n v="1"/>
    <x v="2"/>
    <x v="6"/>
    <n v="1"/>
    <x v="2"/>
  </r>
  <r>
    <n v="652"/>
    <x v="651"/>
    <x v="0"/>
    <x v="0"/>
    <x v="0"/>
    <s v="Very likely"/>
    <n v="4"/>
    <x v="1"/>
    <n v="1"/>
    <x v="2"/>
    <x v="1"/>
    <n v="11"/>
    <x v="8"/>
  </r>
  <r>
    <n v="653"/>
    <x v="652"/>
    <x v="0"/>
    <x v="5"/>
    <x v="0"/>
    <s v="Very unlikely"/>
    <n v="1"/>
    <x v="3"/>
    <n v="3"/>
    <x v="0"/>
    <x v="1"/>
    <n v="11"/>
    <x v="4"/>
  </r>
  <r>
    <n v="654"/>
    <x v="653"/>
    <x v="0"/>
    <x v="5"/>
    <x v="0"/>
    <s v="Very likely"/>
    <n v="4"/>
    <x v="4"/>
    <n v="4"/>
    <x v="2"/>
    <x v="4"/>
    <n v="3"/>
    <x v="6"/>
  </r>
  <r>
    <n v="655"/>
    <x v="654"/>
    <x v="0"/>
    <x v="1"/>
    <x v="76"/>
    <s v="Very likely"/>
    <n v="4"/>
    <x v="4"/>
    <n v="4"/>
    <x v="2"/>
    <x v="4"/>
    <n v="3"/>
    <x v="4"/>
  </r>
  <r>
    <n v="656"/>
    <x v="655"/>
    <x v="0"/>
    <x v="2"/>
    <x v="0"/>
    <s v="Very likely"/>
    <n v="4"/>
    <x v="4"/>
    <n v="4"/>
    <x v="0"/>
    <x v="0"/>
    <n v="4"/>
    <x v="0"/>
  </r>
  <r>
    <n v="657"/>
    <x v="656"/>
    <x v="0"/>
    <x v="1"/>
    <x v="6"/>
    <s v="Somewhat likely"/>
    <n v="3"/>
    <x v="0"/>
    <n v="2"/>
    <x v="2"/>
    <x v="10"/>
    <n v="9"/>
    <x v="6"/>
  </r>
  <r>
    <n v="658"/>
    <x v="657"/>
    <x v="0"/>
    <x v="2"/>
    <x v="0"/>
    <s v="Somewhat likely"/>
    <n v="3"/>
    <x v="1"/>
    <n v="1"/>
    <x v="2"/>
    <x v="4"/>
    <n v="3"/>
    <x v="6"/>
  </r>
  <r>
    <n v="659"/>
    <x v="658"/>
    <x v="0"/>
    <x v="5"/>
    <x v="0"/>
    <s v="Somewhat likely"/>
    <n v="3"/>
    <x v="4"/>
    <n v="4"/>
    <x v="2"/>
    <x v="11"/>
    <n v="7"/>
    <x v="3"/>
  </r>
  <r>
    <n v="660"/>
    <x v="659"/>
    <x v="0"/>
    <x v="0"/>
    <x v="0"/>
    <s v="Very unlikely"/>
    <n v="1"/>
    <x v="4"/>
    <n v="4"/>
    <x v="2"/>
    <x v="0"/>
    <n v="4"/>
    <x v="6"/>
  </r>
  <r>
    <n v="661"/>
    <x v="660"/>
    <x v="0"/>
    <x v="6"/>
    <x v="0"/>
    <s v="Very likely"/>
    <n v="4"/>
    <x v="4"/>
    <n v="4"/>
    <x v="2"/>
    <x v="1"/>
    <n v="11"/>
    <x v="0"/>
  </r>
  <r>
    <n v="662"/>
    <x v="661"/>
    <x v="0"/>
    <x v="5"/>
    <x v="0"/>
    <s v="Very likely"/>
    <n v="4"/>
    <x v="4"/>
    <n v="4"/>
    <x v="2"/>
    <x v="1"/>
    <n v="11"/>
    <x v="2"/>
  </r>
  <r>
    <n v="663"/>
    <x v="662"/>
    <x v="1"/>
    <x v="4"/>
    <x v="0"/>
    <s v="Somewhat likely"/>
    <n v="3"/>
    <x v="0"/>
    <n v="2"/>
    <x v="2"/>
    <x v="1"/>
    <n v="11"/>
    <x v="0"/>
  </r>
  <r>
    <n v="664"/>
    <x v="663"/>
    <x v="0"/>
    <x v="0"/>
    <x v="0"/>
    <s v="Very likely"/>
    <n v="4"/>
    <x v="0"/>
    <n v="2"/>
    <x v="2"/>
    <x v="3"/>
    <n v="8"/>
    <x v="6"/>
  </r>
  <r>
    <n v="665"/>
    <x v="664"/>
    <x v="0"/>
    <x v="2"/>
    <x v="0"/>
    <s v="Very unlikely"/>
    <n v="1"/>
    <x v="0"/>
    <n v="2"/>
    <x v="2"/>
    <x v="1"/>
    <n v="11"/>
    <x v="3"/>
  </r>
  <r>
    <n v="666"/>
    <x v="665"/>
    <x v="0"/>
    <x v="0"/>
    <x v="0"/>
    <s v="Very likely"/>
    <n v="4"/>
    <x v="1"/>
    <n v="1"/>
    <x v="2"/>
    <x v="1"/>
    <n v="11"/>
    <x v="2"/>
  </r>
  <r>
    <n v="667"/>
    <x v="666"/>
    <x v="0"/>
    <x v="6"/>
    <x v="0"/>
    <s v="Somewhat likely"/>
    <n v="3"/>
    <x v="4"/>
    <n v="4"/>
    <x v="0"/>
    <x v="9"/>
    <n v="10"/>
    <x v="6"/>
  </r>
  <r>
    <n v="668"/>
    <x v="667"/>
    <x v="0"/>
    <x v="5"/>
    <x v="0"/>
    <s v="Somewhat likely"/>
    <n v="3"/>
    <x v="4"/>
    <n v="4"/>
    <x v="2"/>
    <x v="11"/>
    <n v="7"/>
    <x v="4"/>
  </r>
  <r>
    <n v="669"/>
    <x v="668"/>
    <x v="0"/>
    <x v="0"/>
    <x v="0"/>
    <s v="Very likely"/>
    <n v="4"/>
    <x v="4"/>
    <n v="4"/>
    <x v="0"/>
    <x v="2"/>
    <n v="6"/>
    <x v="0"/>
  </r>
  <r>
    <n v="670"/>
    <x v="669"/>
    <x v="0"/>
    <x v="0"/>
    <x v="0"/>
    <s v="Somewhat unlikely"/>
    <n v="2"/>
    <x v="4"/>
    <n v="4"/>
    <x v="2"/>
    <x v="3"/>
    <n v="8"/>
    <x v="4"/>
  </r>
  <r>
    <n v="671"/>
    <x v="670"/>
    <x v="0"/>
    <x v="4"/>
    <x v="0"/>
    <s v="Somewhat unlikely"/>
    <n v="2"/>
    <x v="3"/>
    <n v="3"/>
    <x v="2"/>
    <x v="8"/>
    <n v="5"/>
    <x v="2"/>
  </r>
  <r>
    <n v="672"/>
    <x v="671"/>
    <x v="0"/>
    <x v="2"/>
    <x v="0"/>
    <s v="Somewhat unlikely"/>
    <n v="2"/>
    <x v="3"/>
    <n v="3"/>
    <x v="2"/>
    <x v="7"/>
    <n v="2"/>
    <x v="8"/>
  </r>
  <r>
    <n v="673"/>
    <x v="672"/>
    <x v="0"/>
    <x v="5"/>
    <x v="0"/>
    <s v="Very unlikely"/>
    <n v="1"/>
    <x v="4"/>
    <n v="4"/>
    <x v="2"/>
    <x v="7"/>
    <n v="2"/>
    <x v="3"/>
  </r>
  <r>
    <n v="674"/>
    <x v="673"/>
    <x v="1"/>
    <x v="5"/>
    <x v="0"/>
    <s v="Somewhat unlikely"/>
    <n v="2"/>
    <x v="4"/>
    <n v="4"/>
    <x v="0"/>
    <x v="0"/>
    <n v="4"/>
    <x v="7"/>
  </r>
  <r>
    <n v="675"/>
    <x v="674"/>
    <x v="0"/>
    <x v="2"/>
    <x v="0"/>
    <s v="Somewhat unlikely"/>
    <n v="2"/>
    <x v="4"/>
    <n v="4"/>
    <x v="2"/>
    <x v="7"/>
    <n v="2"/>
    <x v="7"/>
  </r>
  <r>
    <n v="676"/>
    <x v="675"/>
    <x v="0"/>
    <x v="0"/>
    <x v="0"/>
    <s v="Somewhat likely"/>
    <n v="3"/>
    <x v="1"/>
    <n v="1"/>
    <x v="2"/>
    <x v="6"/>
    <n v="1"/>
    <x v="6"/>
  </r>
  <r>
    <n v="677"/>
    <x v="676"/>
    <x v="1"/>
    <x v="5"/>
    <x v="0"/>
    <s v="Very likely"/>
    <n v="4"/>
    <x v="3"/>
    <n v="3"/>
    <x v="2"/>
    <x v="2"/>
    <n v="6"/>
    <x v="3"/>
  </r>
  <r>
    <n v="678"/>
    <x v="677"/>
    <x v="0"/>
    <x v="2"/>
    <x v="0"/>
    <s v="Somewhat likely"/>
    <n v="3"/>
    <x v="1"/>
    <n v="1"/>
    <x v="2"/>
    <x v="1"/>
    <n v="11"/>
    <x v="8"/>
  </r>
  <r>
    <n v="679"/>
    <x v="678"/>
    <x v="1"/>
    <x v="7"/>
    <x v="0"/>
    <s v="Somewhat likely"/>
    <n v="3"/>
    <x v="0"/>
    <n v="2"/>
    <x v="2"/>
    <x v="1"/>
    <n v="11"/>
    <x v="0"/>
  </r>
  <r>
    <n v="680"/>
    <x v="679"/>
    <x v="0"/>
    <x v="1"/>
    <x v="4"/>
    <s v="Very likely"/>
    <n v="4"/>
    <x v="4"/>
    <n v="4"/>
    <x v="2"/>
    <x v="3"/>
    <n v="8"/>
    <x v="8"/>
  </r>
  <r>
    <n v="681"/>
    <x v="680"/>
    <x v="0"/>
    <x v="2"/>
    <x v="0"/>
    <s v="Somewhat likely"/>
    <n v="3"/>
    <x v="4"/>
    <n v="4"/>
    <x v="2"/>
    <x v="2"/>
    <n v="6"/>
    <x v="4"/>
  </r>
  <r>
    <n v="682"/>
    <x v="681"/>
    <x v="0"/>
    <x v="0"/>
    <x v="0"/>
    <s v="Very likely"/>
    <n v="4"/>
    <x v="1"/>
    <n v="1"/>
    <x v="2"/>
    <x v="6"/>
    <n v="1"/>
    <x v="2"/>
  </r>
  <r>
    <n v="683"/>
    <x v="682"/>
    <x v="1"/>
    <x v="5"/>
    <x v="0"/>
    <s v="Somewhat likely"/>
    <n v="3"/>
    <x v="1"/>
    <n v="1"/>
    <x v="2"/>
    <x v="1"/>
    <n v="11"/>
    <x v="0"/>
  </r>
  <r>
    <n v="684"/>
    <x v="683"/>
    <x v="0"/>
    <x v="5"/>
    <x v="0"/>
    <s v="Very likely"/>
    <n v="4"/>
    <x v="4"/>
    <n v="4"/>
    <x v="0"/>
    <x v="4"/>
    <n v="3"/>
    <x v="4"/>
  </r>
  <r>
    <n v="685"/>
    <x v="684"/>
    <x v="1"/>
    <x v="5"/>
    <x v="0"/>
    <s v="Somewhat likely"/>
    <n v="3"/>
    <x v="1"/>
    <n v="1"/>
    <x v="2"/>
    <x v="1"/>
    <n v="11"/>
    <x v="5"/>
  </r>
  <r>
    <n v="686"/>
    <x v="685"/>
    <x v="0"/>
    <x v="5"/>
    <x v="0"/>
    <s v="Very likely"/>
    <n v="4"/>
    <x v="3"/>
    <n v="3"/>
    <x v="2"/>
    <x v="9"/>
    <n v="10"/>
    <x v="2"/>
  </r>
  <r>
    <n v="687"/>
    <x v="686"/>
    <x v="1"/>
    <x v="1"/>
    <x v="77"/>
    <s v="Somewhat unlikely"/>
    <n v="2"/>
    <x v="3"/>
    <n v="3"/>
    <x v="2"/>
    <x v="1"/>
    <n v="11"/>
    <x v="4"/>
  </r>
  <r>
    <n v="688"/>
    <x v="687"/>
    <x v="0"/>
    <x v="0"/>
    <x v="0"/>
    <s v="Very likely"/>
    <n v="4"/>
    <x v="3"/>
    <n v="3"/>
    <x v="2"/>
    <x v="4"/>
    <n v="3"/>
    <x v="0"/>
  </r>
  <r>
    <n v="689"/>
    <x v="688"/>
    <x v="1"/>
    <x v="1"/>
    <x v="78"/>
    <s v="Somewhat likely"/>
    <n v="3"/>
    <x v="0"/>
    <n v="2"/>
    <x v="2"/>
    <x v="0"/>
    <n v="4"/>
    <x v="4"/>
  </r>
  <r>
    <n v="690"/>
    <x v="689"/>
    <x v="0"/>
    <x v="5"/>
    <x v="0"/>
    <s v="Very unlikely"/>
    <n v="1"/>
    <x v="1"/>
    <n v="1"/>
    <x v="2"/>
    <x v="0"/>
    <n v="4"/>
    <x v="6"/>
  </r>
  <r>
    <n v="691"/>
    <x v="690"/>
    <x v="0"/>
    <x v="0"/>
    <x v="0"/>
    <s v="Somewhat likely"/>
    <n v="3"/>
    <x v="1"/>
    <n v="1"/>
    <x v="2"/>
    <x v="6"/>
    <n v="1"/>
    <x v="4"/>
  </r>
  <r>
    <n v="692"/>
    <x v="691"/>
    <x v="0"/>
    <x v="1"/>
    <x v="26"/>
    <s v="Very likely"/>
    <n v="4"/>
    <x v="3"/>
    <n v="3"/>
    <x v="2"/>
    <x v="2"/>
    <n v="6"/>
    <x v="0"/>
  </r>
  <r>
    <n v="693"/>
    <x v="692"/>
    <x v="0"/>
    <x v="2"/>
    <x v="0"/>
    <s v="Somewhat likely"/>
    <n v="3"/>
    <x v="4"/>
    <n v="4"/>
    <x v="0"/>
    <x v="2"/>
    <n v="6"/>
    <x v="4"/>
  </r>
  <r>
    <n v="694"/>
    <x v="693"/>
    <x v="0"/>
    <x v="0"/>
    <x v="0"/>
    <s v="Very unlikely"/>
    <n v="1"/>
    <x v="1"/>
    <n v="1"/>
    <x v="2"/>
    <x v="6"/>
    <n v="1"/>
    <x v="5"/>
  </r>
  <r>
    <n v="695"/>
    <x v="694"/>
    <x v="0"/>
    <x v="5"/>
    <x v="0"/>
    <s v="Somewhat likely"/>
    <n v="3"/>
    <x v="3"/>
    <n v="3"/>
    <x v="0"/>
    <x v="6"/>
    <n v="1"/>
    <x v="0"/>
  </r>
  <r>
    <n v="696"/>
    <x v="695"/>
    <x v="0"/>
    <x v="5"/>
    <x v="0"/>
    <s v="Somewhat unlikely"/>
    <n v="2"/>
    <x v="4"/>
    <n v="4"/>
    <x v="0"/>
    <x v="3"/>
    <n v="8"/>
    <x v="6"/>
  </r>
  <r>
    <n v="697"/>
    <x v="696"/>
    <x v="0"/>
    <x v="4"/>
    <x v="0"/>
    <s v="Somewhat likely"/>
    <n v="3"/>
    <x v="4"/>
    <n v="4"/>
    <x v="0"/>
    <x v="2"/>
    <n v="6"/>
    <x v="9"/>
  </r>
  <r>
    <n v="698"/>
    <x v="697"/>
    <x v="0"/>
    <x v="0"/>
    <x v="0"/>
    <s v="Very likely"/>
    <n v="4"/>
    <x v="3"/>
    <n v="3"/>
    <x v="2"/>
    <x v="0"/>
    <n v="4"/>
    <x v="6"/>
  </r>
  <r>
    <n v="699"/>
    <x v="698"/>
    <x v="0"/>
    <x v="1"/>
    <x v="4"/>
    <s v="Very likely"/>
    <n v="4"/>
    <x v="0"/>
    <n v="2"/>
    <x v="2"/>
    <x v="1"/>
    <n v="11"/>
    <x v="6"/>
  </r>
  <r>
    <n v="700"/>
    <x v="699"/>
    <x v="1"/>
    <x v="4"/>
    <x v="0"/>
    <s v="Somewhat unlikely"/>
    <n v="2"/>
    <x v="4"/>
    <n v="4"/>
    <x v="2"/>
    <x v="1"/>
    <n v="11"/>
    <x v="4"/>
  </r>
  <r>
    <n v="701"/>
    <x v="700"/>
    <x v="0"/>
    <x v="0"/>
    <x v="0"/>
    <s v="Somewhat likely"/>
    <n v="3"/>
    <x v="1"/>
    <n v="1"/>
    <x v="2"/>
    <x v="6"/>
    <n v="1"/>
    <x v="4"/>
  </r>
  <r>
    <n v="702"/>
    <x v="701"/>
    <x v="0"/>
    <x v="4"/>
    <x v="0"/>
    <s v="Very likely"/>
    <n v="4"/>
    <x v="3"/>
    <n v="3"/>
    <x v="2"/>
    <x v="1"/>
    <n v="11"/>
    <x v="3"/>
  </r>
  <r>
    <n v="703"/>
    <x v="702"/>
    <x v="0"/>
    <x v="5"/>
    <x v="0"/>
    <s v="Very likely"/>
    <n v="4"/>
    <x v="4"/>
    <n v="4"/>
    <x v="0"/>
    <x v="11"/>
    <n v="7"/>
    <x v="6"/>
  </r>
  <r>
    <n v="704"/>
    <x v="703"/>
    <x v="0"/>
    <x v="1"/>
    <x v="4"/>
    <s v="Somewhat likely"/>
    <n v="3"/>
    <x v="4"/>
    <n v="4"/>
    <x v="2"/>
    <x v="8"/>
    <n v="5"/>
    <x v="6"/>
  </r>
  <r>
    <n v="705"/>
    <x v="704"/>
    <x v="0"/>
    <x v="2"/>
    <x v="0"/>
    <s v="Very unlikely"/>
    <n v="1"/>
    <x v="0"/>
    <n v="2"/>
    <x v="2"/>
    <x v="4"/>
    <n v="3"/>
    <x v="0"/>
  </r>
  <r>
    <n v="706"/>
    <x v="705"/>
    <x v="0"/>
    <x v="1"/>
    <x v="79"/>
    <s v="Somewhat likely"/>
    <n v="3"/>
    <x v="4"/>
    <n v="4"/>
    <x v="2"/>
    <x v="1"/>
    <n v="11"/>
    <x v="0"/>
  </r>
  <r>
    <n v="707"/>
    <x v="706"/>
    <x v="0"/>
    <x v="6"/>
    <x v="0"/>
    <s v="Very likely"/>
    <n v="4"/>
    <x v="4"/>
    <n v="4"/>
    <x v="0"/>
    <x v="1"/>
    <n v="11"/>
    <x v="6"/>
  </r>
  <r>
    <n v="708"/>
    <x v="707"/>
    <x v="0"/>
    <x v="1"/>
    <x v="11"/>
    <s v="Very unlikely"/>
    <n v="1"/>
    <x v="4"/>
    <n v="4"/>
    <x v="0"/>
    <x v="1"/>
    <n v="11"/>
    <x v="6"/>
  </r>
  <r>
    <n v="709"/>
    <x v="708"/>
    <x v="0"/>
    <x v="5"/>
    <x v="0"/>
    <s v="Very unlikely"/>
    <n v="1"/>
    <x v="4"/>
    <n v="4"/>
    <x v="0"/>
    <x v="4"/>
    <n v="3"/>
    <x v="2"/>
  </r>
  <r>
    <n v="710"/>
    <x v="709"/>
    <x v="0"/>
    <x v="7"/>
    <x v="0"/>
    <s v="Very likely"/>
    <n v="4"/>
    <x v="3"/>
    <n v="3"/>
    <x v="0"/>
    <x v="10"/>
    <n v="9"/>
    <x v="8"/>
  </r>
  <r>
    <n v="711"/>
    <x v="710"/>
    <x v="0"/>
    <x v="1"/>
    <x v="66"/>
    <s v="Somewhat likely"/>
    <n v="3"/>
    <x v="0"/>
    <n v="2"/>
    <x v="2"/>
    <x v="4"/>
    <n v="3"/>
    <x v="0"/>
  </r>
  <r>
    <n v="712"/>
    <x v="711"/>
    <x v="0"/>
    <x v="5"/>
    <x v="0"/>
    <s v="Somewhat likely"/>
    <n v="3"/>
    <x v="0"/>
    <n v="2"/>
    <x v="2"/>
    <x v="4"/>
    <n v="3"/>
    <x v="5"/>
  </r>
  <r>
    <n v="713"/>
    <x v="712"/>
    <x v="0"/>
    <x v="1"/>
    <x v="80"/>
    <s v="Very likely"/>
    <n v="4"/>
    <x v="1"/>
    <n v="1"/>
    <x v="2"/>
    <x v="8"/>
    <n v="5"/>
    <x v="8"/>
  </r>
  <r>
    <n v="714"/>
    <x v="713"/>
    <x v="0"/>
    <x v="5"/>
    <x v="0"/>
    <s v="Very likely"/>
    <n v="4"/>
    <x v="4"/>
    <n v="4"/>
    <x v="2"/>
    <x v="8"/>
    <n v="5"/>
    <x v="7"/>
  </r>
  <r>
    <n v="715"/>
    <x v="714"/>
    <x v="1"/>
    <x v="5"/>
    <x v="0"/>
    <s v="Very likely"/>
    <n v="4"/>
    <x v="3"/>
    <n v="3"/>
    <x v="2"/>
    <x v="1"/>
    <n v="11"/>
    <x v="6"/>
  </r>
  <r>
    <n v="716"/>
    <x v="715"/>
    <x v="0"/>
    <x v="5"/>
    <x v="0"/>
    <s v="Very likely"/>
    <n v="4"/>
    <x v="4"/>
    <n v="4"/>
    <x v="0"/>
    <x v="2"/>
    <n v="6"/>
    <x v="0"/>
  </r>
  <r>
    <n v="717"/>
    <x v="716"/>
    <x v="0"/>
    <x v="5"/>
    <x v="0"/>
    <s v="Very likely"/>
    <n v="4"/>
    <x v="0"/>
    <n v="2"/>
    <x v="2"/>
    <x v="8"/>
    <n v="5"/>
    <x v="6"/>
  </r>
  <r>
    <n v="718"/>
    <x v="717"/>
    <x v="0"/>
    <x v="1"/>
    <x v="81"/>
    <s v="Very likely"/>
    <n v="4"/>
    <x v="4"/>
    <n v="4"/>
    <x v="2"/>
    <x v="0"/>
    <n v="4"/>
    <x v="3"/>
  </r>
  <r>
    <n v="719"/>
    <x v="718"/>
    <x v="1"/>
    <x v="0"/>
    <x v="0"/>
    <s v="Somewhat likely"/>
    <n v="3"/>
    <x v="1"/>
    <n v="1"/>
    <x v="2"/>
    <x v="4"/>
    <n v="3"/>
    <x v="0"/>
  </r>
  <r>
    <n v="720"/>
    <x v="719"/>
    <x v="0"/>
    <x v="1"/>
    <x v="13"/>
    <s v="Somewhat likely"/>
    <n v="3"/>
    <x v="1"/>
    <n v="1"/>
    <x v="2"/>
    <x v="3"/>
    <n v="8"/>
    <x v="2"/>
  </r>
  <r>
    <n v="721"/>
    <x v="720"/>
    <x v="0"/>
    <x v="0"/>
    <x v="0"/>
    <s v="Very likely"/>
    <n v="4"/>
    <x v="3"/>
    <n v="3"/>
    <x v="2"/>
    <x v="1"/>
    <n v="11"/>
    <x v="5"/>
  </r>
  <r>
    <n v="722"/>
    <x v="721"/>
    <x v="0"/>
    <x v="4"/>
    <x v="0"/>
    <s v="Very likely"/>
    <n v="4"/>
    <x v="4"/>
    <n v="4"/>
    <x v="0"/>
    <x v="2"/>
    <n v="6"/>
    <x v="2"/>
  </r>
  <r>
    <n v="723"/>
    <x v="722"/>
    <x v="0"/>
    <x v="5"/>
    <x v="0"/>
    <s v="Somewhat likely"/>
    <n v="3"/>
    <x v="4"/>
    <n v="4"/>
    <x v="2"/>
    <x v="8"/>
    <n v="5"/>
    <x v="3"/>
  </r>
  <r>
    <n v="724"/>
    <x v="723"/>
    <x v="0"/>
    <x v="5"/>
    <x v="0"/>
    <s v="Very likely"/>
    <n v="4"/>
    <x v="3"/>
    <n v="3"/>
    <x v="0"/>
    <x v="4"/>
    <n v="3"/>
    <x v="3"/>
  </r>
  <r>
    <n v="725"/>
    <x v="724"/>
    <x v="1"/>
    <x v="1"/>
    <x v="82"/>
    <s v="Somewhat likely"/>
    <n v="3"/>
    <x v="0"/>
    <n v="2"/>
    <x v="2"/>
    <x v="11"/>
    <n v="7"/>
    <x v="4"/>
  </r>
  <r>
    <n v="726"/>
    <x v="725"/>
    <x v="0"/>
    <x v="5"/>
    <x v="0"/>
    <s v="Somewhat likely"/>
    <n v="3"/>
    <x v="4"/>
    <n v="4"/>
    <x v="0"/>
    <x v="7"/>
    <n v="2"/>
    <x v="4"/>
  </r>
  <r>
    <n v="727"/>
    <x v="726"/>
    <x v="0"/>
    <x v="2"/>
    <x v="0"/>
    <s v="Somewhat likely"/>
    <n v="3"/>
    <x v="4"/>
    <n v="4"/>
    <x v="0"/>
    <x v="0"/>
    <n v="4"/>
    <x v="5"/>
  </r>
  <r>
    <n v="728"/>
    <x v="727"/>
    <x v="0"/>
    <x v="5"/>
    <x v="0"/>
    <s v="Very likely"/>
    <n v="4"/>
    <x v="3"/>
    <n v="3"/>
    <x v="0"/>
    <x v="0"/>
    <n v="4"/>
    <x v="2"/>
  </r>
  <r>
    <n v="729"/>
    <x v="728"/>
    <x v="0"/>
    <x v="5"/>
    <x v="0"/>
    <s v="Very unlikely"/>
    <n v="1"/>
    <x v="4"/>
    <n v="4"/>
    <x v="2"/>
    <x v="1"/>
    <n v="11"/>
    <x v="2"/>
  </r>
  <r>
    <n v="730"/>
    <x v="729"/>
    <x v="0"/>
    <x v="1"/>
    <x v="13"/>
    <s v="Very likely"/>
    <n v="4"/>
    <x v="3"/>
    <n v="3"/>
    <x v="2"/>
    <x v="10"/>
    <n v="9"/>
    <x v="4"/>
  </r>
  <r>
    <n v="731"/>
    <x v="730"/>
    <x v="0"/>
    <x v="0"/>
    <x v="0"/>
    <s v="Somewhat likely"/>
    <n v="3"/>
    <x v="3"/>
    <n v="3"/>
    <x v="2"/>
    <x v="7"/>
    <n v="2"/>
    <x v="4"/>
  </r>
  <r>
    <n v="732"/>
    <x v="731"/>
    <x v="0"/>
    <x v="0"/>
    <x v="0"/>
    <s v="Very likely"/>
    <n v="4"/>
    <x v="1"/>
    <n v="1"/>
    <x v="2"/>
    <x v="8"/>
    <n v="5"/>
    <x v="4"/>
  </r>
  <r>
    <n v="733"/>
    <x v="732"/>
    <x v="0"/>
    <x v="5"/>
    <x v="0"/>
    <s v="Somewhat unlikely"/>
    <n v="2"/>
    <x v="3"/>
    <n v="3"/>
    <x v="2"/>
    <x v="0"/>
    <n v="4"/>
    <x v="9"/>
  </r>
  <r>
    <n v="734"/>
    <x v="733"/>
    <x v="1"/>
    <x v="2"/>
    <x v="0"/>
    <s v="Very likely"/>
    <n v="4"/>
    <x v="0"/>
    <n v="2"/>
    <x v="2"/>
    <x v="4"/>
    <n v="3"/>
    <x v="9"/>
  </r>
  <r>
    <n v="735"/>
    <x v="734"/>
    <x v="1"/>
    <x v="4"/>
    <x v="0"/>
    <s v="Somewhat likely"/>
    <n v="3"/>
    <x v="1"/>
    <n v="1"/>
    <x v="2"/>
    <x v="7"/>
    <n v="2"/>
    <x v="8"/>
  </r>
  <r>
    <n v="736"/>
    <x v="735"/>
    <x v="0"/>
    <x v="0"/>
    <x v="0"/>
    <s v="Very likely"/>
    <n v="4"/>
    <x v="1"/>
    <n v="1"/>
    <x v="2"/>
    <x v="7"/>
    <n v="2"/>
    <x v="6"/>
  </r>
  <r>
    <n v="737"/>
    <x v="736"/>
    <x v="0"/>
    <x v="0"/>
    <x v="0"/>
    <s v="Very unlikely"/>
    <n v="1"/>
    <x v="0"/>
    <n v="2"/>
    <x v="2"/>
    <x v="6"/>
    <n v="1"/>
    <x v="9"/>
  </r>
  <r>
    <n v="738"/>
    <x v="737"/>
    <x v="0"/>
    <x v="2"/>
    <x v="0"/>
    <s v="Very likely"/>
    <n v="4"/>
    <x v="1"/>
    <n v="1"/>
    <x v="2"/>
    <x v="7"/>
    <n v="2"/>
    <x v="6"/>
  </r>
  <r>
    <n v="739"/>
    <x v="738"/>
    <x v="0"/>
    <x v="6"/>
    <x v="0"/>
    <s v="Very unlikely"/>
    <n v="1"/>
    <x v="4"/>
    <n v="4"/>
    <x v="0"/>
    <x v="1"/>
    <n v="11"/>
    <x v="4"/>
  </r>
  <r>
    <n v="740"/>
    <x v="739"/>
    <x v="0"/>
    <x v="1"/>
    <x v="4"/>
    <s v="Very likely"/>
    <n v="4"/>
    <x v="3"/>
    <n v="3"/>
    <x v="2"/>
    <x v="1"/>
    <n v="11"/>
    <x v="0"/>
  </r>
  <r>
    <n v="741"/>
    <x v="740"/>
    <x v="1"/>
    <x v="0"/>
    <x v="0"/>
    <s v="Somewhat likely"/>
    <n v="3"/>
    <x v="1"/>
    <n v="1"/>
    <x v="2"/>
    <x v="0"/>
    <n v="4"/>
    <x v="6"/>
  </r>
  <r>
    <n v="742"/>
    <x v="741"/>
    <x v="1"/>
    <x v="1"/>
    <x v="83"/>
    <s v="Very likely"/>
    <n v="4"/>
    <x v="1"/>
    <n v="1"/>
    <x v="2"/>
    <x v="9"/>
    <n v="10"/>
    <x v="6"/>
  </r>
  <r>
    <n v="743"/>
    <x v="742"/>
    <x v="0"/>
    <x v="0"/>
    <x v="0"/>
    <s v="Very likely"/>
    <n v="4"/>
    <x v="1"/>
    <n v="1"/>
    <x v="2"/>
    <x v="4"/>
    <n v="3"/>
    <x v="8"/>
  </r>
  <r>
    <n v="744"/>
    <x v="743"/>
    <x v="1"/>
    <x v="5"/>
    <x v="0"/>
    <s v="Somewhat unlikely"/>
    <n v="2"/>
    <x v="4"/>
    <n v="4"/>
    <x v="0"/>
    <x v="2"/>
    <n v="6"/>
    <x v="6"/>
  </r>
  <r>
    <n v="745"/>
    <x v="744"/>
    <x v="0"/>
    <x v="4"/>
    <x v="0"/>
    <s v="Very unlikely"/>
    <n v="1"/>
    <x v="4"/>
    <n v="4"/>
    <x v="0"/>
    <x v="8"/>
    <n v="5"/>
    <x v="6"/>
  </r>
  <r>
    <n v="746"/>
    <x v="745"/>
    <x v="0"/>
    <x v="4"/>
    <x v="0"/>
    <s v="Very likely"/>
    <n v="4"/>
    <x v="3"/>
    <n v="3"/>
    <x v="0"/>
    <x v="9"/>
    <n v="10"/>
    <x v="7"/>
  </r>
  <r>
    <n v="747"/>
    <x v="746"/>
    <x v="1"/>
    <x v="5"/>
    <x v="0"/>
    <s v="Somewhat likely"/>
    <n v="3"/>
    <x v="3"/>
    <n v="3"/>
    <x v="2"/>
    <x v="7"/>
    <n v="2"/>
    <x v="9"/>
  </r>
  <r>
    <n v="748"/>
    <x v="747"/>
    <x v="0"/>
    <x v="1"/>
    <x v="84"/>
    <s v="Somewhat likely"/>
    <n v="3"/>
    <x v="0"/>
    <n v="2"/>
    <x v="2"/>
    <x v="3"/>
    <n v="8"/>
    <x v="3"/>
  </r>
  <r>
    <n v="749"/>
    <x v="748"/>
    <x v="0"/>
    <x v="2"/>
    <x v="0"/>
    <s v="Somewhat unlikely"/>
    <n v="2"/>
    <x v="3"/>
    <n v="3"/>
    <x v="0"/>
    <x v="2"/>
    <n v="6"/>
    <x v="4"/>
  </r>
  <r>
    <n v="750"/>
    <x v="749"/>
    <x v="0"/>
    <x v="2"/>
    <x v="0"/>
    <s v="Very likely"/>
    <n v="4"/>
    <x v="3"/>
    <n v="3"/>
    <x v="2"/>
    <x v="2"/>
    <n v="6"/>
    <x v="1"/>
  </r>
  <r>
    <n v="751"/>
    <x v="750"/>
    <x v="0"/>
    <x v="0"/>
    <x v="0"/>
    <s v="Very likely"/>
    <n v="4"/>
    <x v="4"/>
    <n v="4"/>
    <x v="0"/>
    <x v="11"/>
    <n v="7"/>
    <x v="4"/>
  </r>
  <r>
    <n v="752"/>
    <x v="751"/>
    <x v="0"/>
    <x v="2"/>
    <x v="0"/>
    <s v="Very unlikely"/>
    <n v="1"/>
    <x v="1"/>
    <n v="1"/>
    <x v="2"/>
    <x v="4"/>
    <n v="3"/>
    <x v="2"/>
  </r>
  <r>
    <n v="753"/>
    <x v="752"/>
    <x v="0"/>
    <x v="0"/>
    <x v="0"/>
    <s v="Somewhat unlikely"/>
    <n v="2"/>
    <x v="3"/>
    <n v="3"/>
    <x v="2"/>
    <x v="1"/>
    <n v="11"/>
    <x v="3"/>
  </r>
  <r>
    <n v="754"/>
    <x v="753"/>
    <x v="0"/>
    <x v="0"/>
    <x v="0"/>
    <s v="Very likely"/>
    <n v="4"/>
    <x v="3"/>
    <n v="3"/>
    <x v="2"/>
    <x v="2"/>
    <n v="6"/>
    <x v="5"/>
  </r>
  <r>
    <n v="755"/>
    <x v="754"/>
    <x v="1"/>
    <x v="5"/>
    <x v="0"/>
    <s v="Very unlikely"/>
    <n v="1"/>
    <x v="3"/>
    <n v="3"/>
    <x v="2"/>
    <x v="1"/>
    <n v="11"/>
    <x v="0"/>
  </r>
  <r>
    <n v="756"/>
    <x v="755"/>
    <x v="1"/>
    <x v="2"/>
    <x v="0"/>
    <s v="Very unlikely"/>
    <n v="1"/>
    <x v="4"/>
    <n v="4"/>
    <x v="2"/>
    <x v="4"/>
    <n v="3"/>
    <x v="5"/>
  </r>
  <r>
    <n v="757"/>
    <x v="756"/>
    <x v="0"/>
    <x v="4"/>
    <x v="0"/>
    <s v="Somewhat likely"/>
    <n v="3"/>
    <x v="4"/>
    <n v="4"/>
    <x v="0"/>
    <x v="1"/>
    <n v="11"/>
    <x v="5"/>
  </r>
  <r>
    <n v="758"/>
    <x v="757"/>
    <x v="1"/>
    <x v="4"/>
    <x v="0"/>
    <s v="Very unlikely"/>
    <n v="1"/>
    <x v="0"/>
    <n v="2"/>
    <x v="2"/>
    <x v="4"/>
    <n v="3"/>
    <x v="4"/>
  </r>
  <r>
    <n v="759"/>
    <x v="758"/>
    <x v="0"/>
    <x v="1"/>
    <x v="13"/>
    <s v="Very unlikely"/>
    <n v="1"/>
    <x v="3"/>
    <n v="3"/>
    <x v="0"/>
    <x v="3"/>
    <n v="8"/>
    <x v="8"/>
  </r>
  <r>
    <n v="760"/>
    <x v="759"/>
    <x v="0"/>
    <x v="5"/>
    <x v="0"/>
    <s v="Very likely"/>
    <n v="4"/>
    <x v="1"/>
    <n v="1"/>
    <x v="2"/>
    <x v="4"/>
    <n v="3"/>
    <x v="6"/>
  </r>
  <r>
    <n v="761"/>
    <x v="760"/>
    <x v="0"/>
    <x v="5"/>
    <x v="0"/>
    <s v="Very unlikely"/>
    <n v="1"/>
    <x v="3"/>
    <n v="3"/>
    <x v="2"/>
    <x v="1"/>
    <n v="11"/>
    <x v="0"/>
  </r>
  <r>
    <n v="762"/>
    <x v="761"/>
    <x v="0"/>
    <x v="1"/>
    <x v="85"/>
    <s v="Very likely"/>
    <n v="4"/>
    <x v="0"/>
    <n v="2"/>
    <x v="2"/>
    <x v="8"/>
    <n v="5"/>
    <x v="6"/>
  </r>
  <r>
    <n v="763"/>
    <x v="762"/>
    <x v="0"/>
    <x v="0"/>
    <x v="0"/>
    <s v="Very likely"/>
    <n v="4"/>
    <x v="0"/>
    <n v="2"/>
    <x v="2"/>
    <x v="9"/>
    <n v="10"/>
    <x v="2"/>
  </r>
  <r>
    <n v="764"/>
    <x v="763"/>
    <x v="0"/>
    <x v="1"/>
    <x v="9"/>
    <s v="Somewhat likely"/>
    <n v="3"/>
    <x v="1"/>
    <n v="1"/>
    <x v="2"/>
    <x v="1"/>
    <n v="11"/>
    <x v="2"/>
  </r>
  <r>
    <n v="765"/>
    <x v="764"/>
    <x v="0"/>
    <x v="5"/>
    <x v="0"/>
    <s v="Somewhat likely"/>
    <n v="3"/>
    <x v="0"/>
    <n v="2"/>
    <x v="2"/>
    <x v="2"/>
    <n v="6"/>
    <x v="2"/>
  </r>
  <r>
    <n v="766"/>
    <x v="765"/>
    <x v="0"/>
    <x v="4"/>
    <x v="0"/>
    <s v="Somewhat unlikely"/>
    <n v="2"/>
    <x v="0"/>
    <n v="2"/>
    <x v="2"/>
    <x v="0"/>
    <n v="4"/>
    <x v="7"/>
  </r>
  <r>
    <n v="767"/>
    <x v="766"/>
    <x v="1"/>
    <x v="5"/>
    <x v="0"/>
    <s v="Somewhat likely"/>
    <n v="3"/>
    <x v="4"/>
    <n v="4"/>
    <x v="0"/>
    <x v="1"/>
    <n v="11"/>
    <x v="9"/>
  </r>
  <r>
    <n v="768"/>
    <x v="767"/>
    <x v="0"/>
    <x v="0"/>
    <x v="0"/>
    <s v="Somewhat likely"/>
    <n v="3"/>
    <x v="1"/>
    <n v="1"/>
    <x v="2"/>
    <x v="6"/>
    <n v="1"/>
    <x v="7"/>
  </r>
  <r>
    <n v="769"/>
    <x v="768"/>
    <x v="0"/>
    <x v="5"/>
    <x v="0"/>
    <s v="Somewhat likely"/>
    <n v="3"/>
    <x v="4"/>
    <n v="4"/>
    <x v="0"/>
    <x v="8"/>
    <n v="5"/>
    <x v="2"/>
  </r>
  <r>
    <n v="770"/>
    <x v="769"/>
    <x v="1"/>
    <x v="0"/>
    <x v="0"/>
    <s v="Somewhat likely"/>
    <n v="3"/>
    <x v="1"/>
    <n v="1"/>
    <x v="2"/>
    <x v="0"/>
    <n v="4"/>
    <x v="0"/>
  </r>
  <r>
    <n v="771"/>
    <x v="770"/>
    <x v="0"/>
    <x v="5"/>
    <x v="0"/>
    <s v="Very unlikely"/>
    <n v="1"/>
    <x v="0"/>
    <n v="2"/>
    <x v="2"/>
    <x v="8"/>
    <n v="5"/>
    <x v="2"/>
  </r>
  <r>
    <n v="772"/>
    <x v="771"/>
    <x v="1"/>
    <x v="4"/>
    <x v="0"/>
    <s v="Somewhat likely"/>
    <n v="3"/>
    <x v="0"/>
    <n v="2"/>
    <x v="2"/>
    <x v="8"/>
    <n v="5"/>
    <x v="0"/>
  </r>
  <r>
    <n v="773"/>
    <x v="772"/>
    <x v="0"/>
    <x v="2"/>
    <x v="0"/>
    <s v="Very likely"/>
    <n v="4"/>
    <x v="0"/>
    <n v="2"/>
    <x v="2"/>
    <x v="2"/>
    <n v="6"/>
    <x v="0"/>
  </r>
  <r>
    <n v="774"/>
    <x v="773"/>
    <x v="1"/>
    <x v="2"/>
    <x v="0"/>
    <s v="Very likely"/>
    <n v="4"/>
    <x v="0"/>
    <n v="2"/>
    <x v="2"/>
    <x v="4"/>
    <n v="3"/>
    <x v="6"/>
  </r>
  <r>
    <n v="775"/>
    <x v="774"/>
    <x v="1"/>
    <x v="4"/>
    <x v="0"/>
    <s v="Very unlikely"/>
    <n v="1"/>
    <x v="1"/>
    <n v="1"/>
    <x v="2"/>
    <x v="1"/>
    <n v="11"/>
    <x v="4"/>
  </r>
  <r>
    <n v="776"/>
    <x v="775"/>
    <x v="0"/>
    <x v="0"/>
    <x v="0"/>
    <s v="Very likely"/>
    <n v="4"/>
    <x v="1"/>
    <n v="1"/>
    <x v="0"/>
    <x v="0"/>
    <n v="4"/>
    <x v="7"/>
  </r>
  <r>
    <n v="777"/>
    <x v="776"/>
    <x v="0"/>
    <x v="2"/>
    <x v="0"/>
    <s v="Very likely"/>
    <n v="4"/>
    <x v="4"/>
    <n v="4"/>
    <x v="2"/>
    <x v="0"/>
    <n v="4"/>
    <x v="4"/>
  </r>
  <r>
    <n v="778"/>
    <x v="777"/>
    <x v="0"/>
    <x v="2"/>
    <x v="0"/>
    <s v="Somewhat likely"/>
    <n v="3"/>
    <x v="0"/>
    <n v="2"/>
    <x v="2"/>
    <x v="7"/>
    <n v="2"/>
    <x v="6"/>
  </r>
  <r>
    <n v="779"/>
    <x v="778"/>
    <x v="0"/>
    <x v="2"/>
    <x v="0"/>
    <s v="Somewhat unlikely"/>
    <n v="2"/>
    <x v="1"/>
    <n v="1"/>
    <x v="2"/>
    <x v="7"/>
    <n v="2"/>
    <x v="7"/>
  </r>
  <r>
    <n v="780"/>
    <x v="779"/>
    <x v="0"/>
    <x v="1"/>
    <x v="86"/>
    <s v="Very likely"/>
    <n v="4"/>
    <x v="1"/>
    <n v="1"/>
    <x v="2"/>
    <x v="1"/>
    <n v="11"/>
    <x v="3"/>
  </r>
  <r>
    <n v="781"/>
    <x v="780"/>
    <x v="0"/>
    <x v="5"/>
    <x v="0"/>
    <s v="Somewhat likely"/>
    <n v="3"/>
    <x v="3"/>
    <n v="3"/>
    <x v="2"/>
    <x v="9"/>
    <n v="10"/>
    <x v="5"/>
  </r>
  <r>
    <n v="782"/>
    <x v="781"/>
    <x v="1"/>
    <x v="0"/>
    <x v="0"/>
    <s v="Very unlikely"/>
    <n v="1"/>
    <x v="1"/>
    <n v="1"/>
    <x v="2"/>
    <x v="1"/>
    <n v="11"/>
    <x v="0"/>
  </r>
  <r>
    <n v="783"/>
    <x v="782"/>
    <x v="0"/>
    <x v="7"/>
    <x v="0"/>
    <s v="Very unlikely"/>
    <n v="1"/>
    <x v="4"/>
    <n v="4"/>
    <x v="0"/>
    <x v="1"/>
    <n v="11"/>
    <x v="6"/>
  </r>
  <r>
    <n v="784"/>
    <x v="783"/>
    <x v="0"/>
    <x v="1"/>
    <x v="65"/>
    <s v="Somewhat unlikely"/>
    <n v="2"/>
    <x v="4"/>
    <n v="4"/>
    <x v="0"/>
    <x v="9"/>
    <n v="10"/>
    <x v="9"/>
  </r>
  <r>
    <n v="785"/>
    <x v="784"/>
    <x v="0"/>
    <x v="2"/>
    <x v="0"/>
    <s v="Very unlikely"/>
    <n v="1"/>
    <x v="4"/>
    <n v="4"/>
    <x v="0"/>
    <x v="0"/>
    <n v="4"/>
    <x v="2"/>
  </r>
  <r>
    <n v="786"/>
    <x v="785"/>
    <x v="0"/>
    <x v="0"/>
    <x v="0"/>
    <s v="Very unlikely"/>
    <n v="1"/>
    <x v="0"/>
    <n v="2"/>
    <x v="2"/>
    <x v="9"/>
    <n v="10"/>
    <x v="7"/>
  </r>
  <r>
    <n v="787"/>
    <x v="786"/>
    <x v="0"/>
    <x v="5"/>
    <x v="0"/>
    <s v="Very unlikely"/>
    <n v="1"/>
    <x v="0"/>
    <n v="2"/>
    <x v="2"/>
    <x v="2"/>
    <n v="6"/>
    <x v="9"/>
  </r>
  <r>
    <n v="788"/>
    <x v="787"/>
    <x v="1"/>
    <x v="0"/>
    <x v="0"/>
    <s v="Somewhat likely"/>
    <n v="3"/>
    <x v="1"/>
    <n v="1"/>
    <x v="2"/>
    <x v="8"/>
    <n v="5"/>
    <x v="3"/>
  </r>
  <r>
    <n v="789"/>
    <x v="788"/>
    <x v="0"/>
    <x v="2"/>
    <x v="0"/>
    <s v="Somewhat likely"/>
    <n v="3"/>
    <x v="4"/>
    <n v="4"/>
    <x v="2"/>
    <x v="8"/>
    <n v="5"/>
    <x v="7"/>
  </r>
  <r>
    <n v="790"/>
    <x v="789"/>
    <x v="0"/>
    <x v="0"/>
    <x v="0"/>
    <s v="Very likely"/>
    <n v="4"/>
    <x v="3"/>
    <n v="3"/>
    <x v="2"/>
    <x v="3"/>
    <n v="8"/>
    <x v="0"/>
  </r>
  <r>
    <n v="791"/>
    <x v="790"/>
    <x v="0"/>
    <x v="2"/>
    <x v="0"/>
    <s v="Very likely"/>
    <n v="4"/>
    <x v="0"/>
    <n v="2"/>
    <x v="2"/>
    <x v="11"/>
    <n v="7"/>
    <x v="4"/>
  </r>
  <r>
    <n v="792"/>
    <x v="791"/>
    <x v="1"/>
    <x v="5"/>
    <x v="0"/>
    <s v="Somewhat likely"/>
    <n v="3"/>
    <x v="3"/>
    <n v="3"/>
    <x v="2"/>
    <x v="4"/>
    <n v="3"/>
    <x v="3"/>
  </r>
  <r>
    <n v="793"/>
    <x v="792"/>
    <x v="0"/>
    <x v="2"/>
    <x v="0"/>
    <s v="Somewhat likely"/>
    <n v="3"/>
    <x v="1"/>
    <n v="1"/>
    <x v="2"/>
    <x v="8"/>
    <n v="5"/>
    <x v="7"/>
  </r>
  <r>
    <n v="794"/>
    <x v="793"/>
    <x v="0"/>
    <x v="5"/>
    <x v="0"/>
    <s v="Very likely"/>
    <n v="4"/>
    <x v="3"/>
    <n v="3"/>
    <x v="0"/>
    <x v="2"/>
    <n v="6"/>
    <x v="0"/>
  </r>
  <r>
    <n v="795"/>
    <x v="794"/>
    <x v="1"/>
    <x v="4"/>
    <x v="0"/>
    <s v="Very likely"/>
    <n v="4"/>
    <x v="1"/>
    <n v="1"/>
    <x v="2"/>
    <x v="7"/>
    <n v="2"/>
    <x v="0"/>
  </r>
  <r>
    <n v="796"/>
    <x v="795"/>
    <x v="1"/>
    <x v="0"/>
    <x v="0"/>
    <s v="Somewhat likely"/>
    <n v="3"/>
    <x v="0"/>
    <n v="2"/>
    <x v="2"/>
    <x v="2"/>
    <n v="6"/>
    <x v="7"/>
  </r>
  <r>
    <n v="797"/>
    <x v="796"/>
    <x v="0"/>
    <x v="0"/>
    <x v="0"/>
    <s v="Very likely"/>
    <n v="4"/>
    <x v="1"/>
    <n v="1"/>
    <x v="2"/>
    <x v="0"/>
    <n v="4"/>
    <x v="0"/>
  </r>
  <r>
    <n v="798"/>
    <x v="797"/>
    <x v="0"/>
    <x v="2"/>
    <x v="0"/>
    <s v="Very likely"/>
    <n v="4"/>
    <x v="1"/>
    <n v="1"/>
    <x v="0"/>
    <x v="1"/>
    <n v="11"/>
    <x v="3"/>
  </r>
  <r>
    <n v="799"/>
    <x v="798"/>
    <x v="1"/>
    <x v="6"/>
    <x v="0"/>
    <s v="Somewhat likely"/>
    <n v="3"/>
    <x v="3"/>
    <n v="3"/>
    <x v="0"/>
    <x v="0"/>
    <n v="4"/>
    <x v="0"/>
  </r>
  <r>
    <n v="800"/>
    <x v="799"/>
    <x v="0"/>
    <x v="5"/>
    <x v="0"/>
    <s v="Somewhat likely"/>
    <n v="3"/>
    <x v="4"/>
    <n v="4"/>
    <x v="0"/>
    <x v="0"/>
    <n v="4"/>
    <x v="9"/>
  </r>
  <r>
    <n v="801"/>
    <x v="800"/>
    <x v="0"/>
    <x v="5"/>
    <x v="0"/>
    <s v="Very likely"/>
    <n v="4"/>
    <x v="4"/>
    <n v="4"/>
    <x v="2"/>
    <x v="4"/>
    <n v="3"/>
    <x v="9"/>
  </r>
  <r>
    <n v="802"/>
    <x v="801"/>
    <x v="0"/>
    <x v="5"/>
    <x v="0"/>
    <s v="Somewhat likely"/>
    <n v="3"/>
    <x v="4"/>
    <n v="4"/>
    <x v="0"/>
    <x v="8"/>
    <n v="5"/>
    <x v="5"/>
  </r>
  <r>
    <n v="803"/>
    <x v="802"/>
    <x v="1"/>
    <x v="0"/>
    <x v="0"/>
    <s v="Very unlikely"/>
    <n v="1"/>
    <x v="1"/>
    <n v="1"/>
    <x v="2"/>
    <x v="10"/>
    <n v="9"/>
    <x v="8"/>
  </r>
  <r>
    <n v="804"/>
    <x v="803"/>
    <x v="0"/>
    <x v="1"/>
    <x v="24"/>
    <s v="Somewhat likely"/>
    <n v="3"/>
    <x v="1"/>
    <n v="1"/>
    <x v="2"/>
    <x v="4"/>
    <n v="3"/>
    <x v="3"/>
  </r>
  <r>
    <n v="805"/>
    <x v="804"/>
    <x v="0"/>
    <x v="5"/>
    <x v="0"/>
    <s v="Very likely"/>
    <n v="4"/>
    <x v="4"/>
    <n v="4"/>
    <x v="2"/>
    <x v="10"/>
    <n v="9"/>
    <x v="4"/>
  </r>
  <r>
    <n v="806"/>
    <x v="805"/>
    <x v="1"/>
    <x v="1"/>
    <x v="87"/>
    <s v="Somewhat likely"/>
    <n v="3"/>
    <x v="3"/>
    <n v="3"/>
    <x v="2"/>
    <x v="4"/>
    <n v="3"/>
    <x v="4"/>
  </r>
  <r>
    <n v="807"/>
    <x v="806"/>
    <x v="0"/>
    <x v="0"/>
    <x v="0"/>
    <s v="Somewhat likely"/>
    <n v="3"/>
    <x v="1"/>
    <n v="1"/>
    <x v="2"/>
    <x v="7"/>
    <n v="2"/>
    <x v="1"/>
  </r>
  <r>
    <n v="808"/>
    <x v="807"/>
    <x v="0"/>
    <x v="1"/>
    <x v="88"/>
    <s v="Very likely"/>
    <n v="4"/>
    <x v="1"/>
    <n v="1"/>
    <x v="2"/>
    <x v="6"/>
    <n v="1"/>
    <x v="8"/>
  </r>
  <r>
    <n v="809"/>
    <x v="808"/>
    <x v="0"/>
    <x v="0"/>
    <x v="0"/>
    <s v="Very likely"/>
    <n v="4"/>
    <x v="1"/>
    <n v="1"/>
    <x v="2"/>
    <x v="11"/>
    <n v="7"/>
    <x v="8"/>
  </r>
  <r>
    <n v="810"/>
    <x v="809"/>
    <x v="0"/>
    <x v="2"/>
    <x v="0"/>
    <s v="Somewhat likely"/>
    <n v="3"/>
    <x v="0"/>
    <n v="2"/>
    <x v="2"/>
    <x v="3"/>
    <n v="8"/>
    <x v="8"/>
  </r>
  <r>
    <n v="811"/>
    <x v="810"/>
    <x v="0"/>
    <x v="5"/>
    <x v="0"/>
    <s v="Somewhat likely"/>
    <n v="3"/>
    <x v="3"/>
    <n v="3"/>
    <x v="2"/>
    <x v="4"/>
    <n v="3"/>
    <x v="6"/>
  </r>
  <r>
    <n v="812"/>
    <x v="811"/>
    <x v="0"/>
    <x v="4"/>
    <x v="0"/>
    <s v="Somewhat likely"/>
    <n v="3"/>
    <x v="4"/>
    <n v="4"/>
    <x v="2"/>
    <x v="1"/>
    <n v="11"/>
    <x v="3"/>
  </r>
  <r>
    <n v="813"/>
    <x v="812"/>
    <x v="0"/>
    <x v="1"/>
    <x v="18"/>
    <s v="Somewhat likely"/>
    <n v="3"/>
    <x v="3"/>
    <n v="3"/>
    <x v="2"/>
    <x v="4"/>
    <n v="3"/>
    <x v="6"/>
  </r>
  <r>
    <n v="814"/>
    <x v="813"/>
    <x v="0"/>
    <x v="7"/>
    <x v="0"/>
    <s v="Somewhat likely"/>
    <n v="3"/>
    <x v="4"/>
    <n v="4"/>
    <x v="0"/>
    <x v="8"/>
    <n v="5"/>
    <x v="7"/>
  </r>
  <r>
    <n v="815"/>
    <x v="814"/>
    <x v="0"/>
    <x v="1"/>
    <x v="89"/>
    <s v="Very likely"/>
    <n v="4"/>
    <x v="4"/>
    <n v="4"/>
    <x v="2"/>
    <x v="9"/>
    <n v="10"/>
    <x v="3"/>
  </r>
  <r>
    <n v="816"/>
    <x v="815"/>
    <x v="0"/>
    <x v="0"/>
    <x v="0"/>
    <s v="Somewhat unlikely"/>
    <n v="2"/>
    <x v="1"/>
    <n v="1"/>
    <x v="2"/>
    <x v="4"/>
    <n v="3"/>
    <x v="3"/>
  </r>
  <r>
    <n v="817"/>
    <x v="816"/>
    <x v="0"/>
    <x v="2"/>
    <x v="0"/>
    <s v="Somewhat likely"/>
    <n v="3"/>
    <x v="3"/>
    <n v="3"/>
    <x v="0"/>
    <x v="0"/>
    <n v="4"/>
    <x v="4"/>
  </r>
  <r>
    <n v="818"/>
    <x v="817"/>
    <x v="0"/>
    <x v="4"/>
    <x v="0"/>
    <s v="Very unlikely"/>
    <n v="1"/>
    <x v="1"/>
    <n v="1"/>
    <x v="2"/>
    <x v="1"/>
    <n v="11"/>
    <x v="1"/>
  </r>
  <r>
    <n v="819"/>
    <x v="818"/>
    <x v="0"/>
    <x v="1"/>
    <x v="9"/>
    <s v="Very likely"/>
    <n v="4"/>
    <x v="3"/>
    <n v="3"/>
    <x v="0"/>
    <x v="8"/>
    <n v="5"/>
    <x v="0"/>
  </r>
  <r>
    <n v="820"/>
    <x v="819"/>
    <x v="0"/>
    <x v="1"/>
    <x v="18"/>
    <s v="Very likely"/>
    <n v="4"/>
    <x v="3"/>
    <n v="3"/>
    <x v="2"/>
    <x v="9"/>
    <n v="10"/>
    <x v="0"/>
  </r>
  <r>
    <n v="821"/>
    <x v="820"/>
    <x v="0"/>
    <x v="5"/>
    <x v="0"/>
    <s v="Somewhat likely"/>
    <n v="3"/>
    <x v="4"/>
    <n v="4"/>
    <x v="2"/>
    <x v="9"/>
    <n v="10"/>
    <x v="3"/>
  </r>
  <r>
    <n v="822"/>
    <x v="821"/>
    <x v="0"/>
    <x v="5"/>
    <x v="0"/>
    <s v="Very unlikely"/>
    <n v="1"/>
    <x v="4"/>
    <n v="4"/>
    <x v="2"/>
    <x v="1"/>
    <n v="11"/>
    <x v="7"/>
  </r>
  <r>
    <n v="823"/>
    <x v="822"/>
    <x v="0"/>
    <x v="1"/>
    <x v="90"/>
    <s v="Very likely"/>
    <n v="4"/>
    <x v="4"/>
    <n v="4"/>
    <x v="2"/>
    <x v="4"/>
    <n v="3"/>
    <x v="4"/>
  </r>
  <r>
    <n v="824"/>
    <x v="823"/>
    <x v="0"/>
    <x v="0"/>
    <x v="0"/>
    <s v="Very likely"/>
    <n v="4"/>
    <x v="3"/>
    <n v="3"/>
    <x v="2"/>
    <x v="9"/>
    <n v="10"/>
    <x v="0"/>
  </r>
  <r>
    <n v="825"/>
    <x v="824"/>
    <x v="1"/>
    <x v="0"/>
    <x v="0"/>
    <s v="Very unlikely"/>
    <n v="1"/>
    <x v="1"/>
    <n v="1"/>
    <x v="2"/>
    <x v="1"/>
    <n v="11"/>
    <x v="0"/>
  </r>
  <r>
    <n v="826"/>
    <x v="825"/>
    <x v="0"/>
    <x v="1"/>
    <x v="5"/>
    <s v="Very unlikely"/>
    <n v="1"/>
    <x v="1"/>
    <n v="1"/>
    <x v="2"/>
    <x v="7"/>
    <n v="2"/>
    <x v="6"/>
  </r>
  <r>
    <n v="827"/>
    <x v="826"/>
    <x v="0"/>
    <x v="5"/>
    <x v="0"/>
    <s v="Very unlikely"/>
    <n v="1"/>
    <x v="3"/>
    <n v="3"/>
    <x v="2"/>
    <x v="0"/>
    <n v="4"/>
    <x v="4"/>
  </r>
  <r>
    <n v="828"/>
    <x v="827"/>
    <x v="1"/>
    <x v="0"/>
    <x v="0"/>
    <s v="Somewhat likely"/>
    <n v="3"/>
    <x v="0"/>
    <n v="2"/>
    <x v="2"/>
    <x v="9"/>
    <n v="10"/>
    <x v="0"/>
  </r>
  <r>
    <n v="829"/>
    <x v="828"/>
    <x v="0"/>
    <x v="6"/>
    <x v="0"/>
    <s v="Somewhat likely"/>
    <n v="3"/>
    <x v="3"/>
    <n v="3"/>
    <x v="2"/>
    <x v="11"/>
    <n v="7"/>
    <x v="8"/>
  </r>
  <r>
    <n v="830"/>
    <x v="829"/>
    <x v="0"/>
    <x v="4"/>
    <x v="0"/>
    <s v="Very likely"/>
    <n v="4"/>
    <x v="0"/>
    <n v="2"/>
    <x v="2"/>
    <x v="4"/>
    <n v="3"/>
    <x v="3"/>
  </r>
  <r>
    <n v="831"/>
    <x v="830"/>
    <x v="0"/>
    <x v="5"/>
    <x v="0"/>
    <s v="Very likely"/>
    <n v="4"/>
    <x v="0"/>
    <n v="2"/>
    <x v="2"/>
    <x v="8"/>
    <n v="5"/>
    <x v="6"/>
  </r>
  <r>
    <n v="832"/>
    <x v="831"/>
    <x v="0"/>
    <x v="0"/>
    <x v="0"/>
    <s v="Very likely"/>
    <n v="4"/>
    <x v="4"/>
    <n v="4"/>
    <x v="0"/>
    <x v="9"/>
    <n v="10"/>
    <x v="4"/>
  </r>
  <r>
    <n v="833"/>
    <x v="832"/>
    <x v="0"/>
    <x v="4"/>
    <x v="0"/>
    <s v="Very likely"/>
    <n v="4"/>
    <x v="1"/>
    <n v="1"/>
    <x v="2"/>
    <x v="4"/>
    <n v="3"/>
    <x v="6"/>
  </r>
  <r>
    <n v="834"/>
    <x v="833"/>
    <x v="0"/>
    <x v="5"/>
    <x v="0"/>
    <s v="Very unlikely"/>
    <n v="1"/>
    <x v="3"/>
    <n v="3"/>
    <x v="2"/>
    <x v="4"/>
    <n v="3"/>
    <x v="2"/>
  </r>
  <r>
    <n v="835"/>
    <x v="834"/>
    <x v="0"/>
    <x v="0"/>
    <x v="0"/>
    <s v="Very unlikely"/>
    <n v="1"/>
    <x v="0"/>
    <n v="2"/>
    <x v="2"/>
    <x v="1"/>
    <n v="11"/>
    <x v="0"/>
  </r>
  <r>
    <n v="836"/>
    <x v="835"/>
    <x v="0"/>
    <x v="6"/>
    <x v="0"/>
    <s v="Very unlikely"/>
    <n v="1"/>
    <x v="3"/>
    <n v="3"/>
    <x v="2"/>
    <x v="8"/>
    <n v="5"/>
    <x v="5"/>
  </r>
  <r>
    <n v="837"/>
    <x v="836"/>
    <x v="0"/>
    <x v="5"/>
    <x v="0"/>
    <s v="Somewhat likely"/>
    <n v="3"/>
    <x v="3"/>
    <n v="3"/>
    <x v="2"/>
    <x v="10"/>
    <n v="9"/>
    <x v="0"/>
  </r>
  <r>
    <n v="838"/>
    <x v="837"/>
    <x v="0"/>
    <x v="2"/>
    <x v="0"/>
    <s v="Very unlikely"/>
    <n v="1"/>
    <x v="3"/>
    <n v="3"/>
    <x v="0"/>
    <x v="8"/>
    <n v="5"/>
    <x v="0"/>
  </r>
  <r>
    <n v="839"/>
    <x v="838"/>
    <x v="0"/>
    <x v="0"/>
    <x v="0"/>
    <s v="Somewhat likely"/>
    <n v="3"/>
    <x v="0"/>
    <n v="2"/>
    <x v="2"/>
    <x v="1"/>
    <n v="11"/>
    <x v="0"/>
  </r>
  <r>
    <n v="840"/>
    <x v="839"/>
    <x v="0"/>
    <x v="1"/>
    <x v="9"/>
    <s v="Very likely"/>
    <n v="4"/>
    <x v="3"/>
    <n v="3"/>
    <x v="2"/>
    <x v="1"/>
    <n v="11"/>
    <x v="6"/>
  </r>
  <r>
    <n v="841"/>
    <x v="840"/>
    <x v="0"/>
    <x v="1"/>
    <x v="11"/>
    <s v="Very unlikely"/>
    <n v="1"/>
    <x v="1"/>
    <n v="1"/>
    <x v="2"/>
    <x v="6"/>
    <n v="1"/>
    <x v="2"/>
  </r>
  <r>
    <n v="842"/>
    <x v="841"/>
    <x v="0"/>
    <x v="5"/>
    <x v="0"/>
    <s v="Somewhat unlikely"/>
    <n v="2"/>
    <x v="4"/>
    <n v="4"/>
    <x v="2"/>
    <x v="7"/>
    <n v="2"/>
    <x v="9"/>
  </r>
  <r>
    <n v="843"/>
    <x v="842"/>
    <x v="0"/>
    <x v="0"/>
    <x v="0"/>
    <s v="Very likely"/>
    <n v="4"/>
    <x v="0"/>
    <n v="2"/>
    <x v="2"/>
    <x v="11"/>
    <n v="7"/>
    <x v="4"/>
  </r>
  <r>
    <n v="844"/>
    <x v="843"/>
    <x v="0"/>
    <x v="4"/>
    <x v="0"/>
    <s v="Somewhat likely"/>
    <n v="3"/>
    <x v="4"/>
    <n v="4"/>
    <x v="0"/>
    <x v="4"/>
    <n v="3"/>
    <x v="3"/>
  </r>
  <r>
    <n v="845"/>
    <x v="844"/>
    <x v="0"/>
    <x v="2"/>
    <x v="0"/>
    <s v="Very likely"/>
    <n v="4"/>
    <x v="3"/>
    <n v="3"/>
    <x v="2"/>
    <x v="3"/>
    <n v="8"/>
    <x v="2"/>
  </r>
  <r>
    <n v="846"/>
    <x v="845"/>
    <x v="0"/>
    <x v="1"/>
    <x v="91"/>
    <s v="Very likely"/>
    <n v="4"/>
    <x v="3"/>
    <n v="3"/>
    <x v="0"/>
    <x v="4"/>
    <n v="3"/>
    <x v="8"/>
  </r>
  <r>
    <n v="847"/>
    <x v="846"/>
    <x v="1"/>
    <x v="0"/>
    <x v="0"/>
    <s v="Somewhat unlikely"/>
    <n v="2"/>
    <x v="1"/>
    <n v="1"/>
    <x v="2"/>
    <x v="1"/>
    <n v="11"/>
    <x v="5"/>
  </r>
  <r>
    <n v="848"/>
    <x v="847"/>
    <x v="0"/>
    <x v="1"/>
    <x v="30"/>
    <s v="Very likely"/>
    <n v="4"/>
    <x v="1"/>
    <n v="1"/>
    <x v="2"/>
    <x v="7"/>
    <n v="2"/>
    <x v="9"/>
  </r>
  <r>
    <n v="849"/>
    <x v="848"/>
    <x v="0"/>
    <x v="0"/>
    <x v="0"/>
    <s v="Very unlikely"/>
    <n v="1"/>
    <x v="3"/>
    <n v="3"/>
    <x v="0"/>
    <x v="9"/>
    <n v="10"/>
    <x v="8"/>
  </r>
  <r>
    <n v="850"/>
    <x v="849"/>
    <x v="0"/>
    <x v="1"/>
    <x v="92"/>
    <s v="Very unlikely"/>
    <n v="1"/>
    <x v="4"/>
    <n v="4"/>
    <x v="2"/>
    <x v="1"/>
    <n v="11"/>
    <x v="3"/>
  </r>
  <r>
    <n v="851"/>
    <x v="850"/>
    <x v="1"/>
    <x v="0"/>
    <x v="0"/>
    <s v="Very unlikely"/>
    <n v="1"/>
    <x v="1"/>
    <n v="1"/>
    <x v="2"/>
    <x v="10"/>
    <n v="9"/>
    <x v="1"/>
  </r>
  <r>
    <n v="852"/>
    <x v="851"/>
    <x v="0"/>
    <x v="0"/>
    <x v="0"/>
    <s v="Very likely"/>
    <n v="4"/>
    <x v="0"/>
    <n v="2"/>
    <x v="2"/>
    <x v="1"/>
    <n v="11"/>
    <x v="6"/>
  </r>
  <r>
    <n v="853"/>
    <x v="852"/>
    <x v="0"/>
    <x v="4"/>
    <x v="0"/>
    <s v="Very likely"/>
    <n v="4"/>
    <x v="0"/>
    <n v="2"/>
    <x v="2"/>
    <x v="7"/>
    <n v="2"/>
    <x v="8"/>
  </r>
  <r>
    <n v="854"/>
    <x v="853"/>
    <x v="1"/>
    <x v="5"/>
    <x v="0"/>
    <s v="Somewhat likely"/>
    <n v="3"/>
    <x v="1"/>
    <n v="1"/>
    <x v="2"/>
    <x v="1"/>
    <n v="11"/>
    <x v="6"/>
  </r>
  <r>
    <n v="855"/>
    <x v="854"/>
    <x v="0"/>
    <x v="1"/>
    <x v="4"/>
    <s v="Very unlikely"/>
    <n v="1"/>
    <x v="0"/>
    <n v="2"/>
    <x v="2"/>
    <x v="2"/>
    <n v="6"/>
    <x v="7"/>
  </r>
  <r>
    <n v="856"/>
    <x v="855"/>
    <x v="0"/>
    <x v="1"/>
    <x v="93"/>
    <s v="Somewhat likely"/>
    <n v="3"/>
    <x v="0"/>
    <n v="2"/>
    <x v="2"/>
    <x v="0"/>
    <n v="4"/>
    <x v="5"/>
  </r>
  <r>
    <n v="857"/>
    <x v="856"/>
    <x v="0"/>
    <x v="2"/>
    <x v="0"/>
    <s v="Somewhat likely"/>
    <n v="3"/>
    <x v="3"/>
    <n v="3"/>
    <x v="2"/>
    <x v="1"/>
    <n v="11"/>
    <x v="4"/>
  </r>
  <r>
    <n v="858"/>
    <x v="857"/>
    <x v="0"/>
    <x v="2"/>
    <x v="0"/>
    <s v="Somewhat likely"/>
    <n v="3"/>
    <x v="0"/>
    <n v="2"/>
    <x v="2"/>
    <x v="2"/>
    <n v="6"/>
    <x v="4"/>
  </r>
  <r>
    <n v="859"/>
    <x v="858"/>
    <x v="0"/>
    <x v="7"/>
    <x v="0"/>
    <s v="Very likely"/>
    <n v="4"/>
    <x v="1"/>
    <n v="1"/>
    <x v="2"/>
    <x v="1"/>
    <n v="11"/>
    <x v="3"/>
  </r>
  <r>
    <n v="860"/>
    <x v="859"/>
    <x v="0"/>
    <x v="5"/>
    <x v="0"/>
    <s v="Very likely"/>
    <n v="4"/>
    <x v="4"/>
    <n v="4"/>
    <x v="0"/>
    <x v="1"/>
    <n v="11"/>
    <x v="7"/>
  </r>
  <r>
    <n v="861"/>
    <x v="860"/>
    <x v="0"/>
    <x v="4"/>
    <x v="0"/>
    <s v="Very likely"/>
    <n v="4"/>
    <x v="1"/>
    <n v="1"/>
    <x v="2"/>
    <x v="1"/>
    <n v="11"/>
    <x v="8"/>
  </r>
  <r>
    <n v="862"/>
    <x v="861"/>
    <x v="0"/>
    <x v="8"/>
    <x v="0"/>
    <s v="Somewhat unlikely"/>
    <n v="2"/>
    <x v="3"/>
    <n v="3"/>
    <x v="2"/>
    <x v="1"/>
    <n v="11"/>
    <x v="4"/>
  </r>
  <r>
    <n v="863"/>
    <x v="862"/>
    <x v="1"/>
    <x v="1"/>
    <x v="9"/>
    <s v="Somewhat likely"/>
    <n v="3"/>
    <x v="1"/>
    <n v="1"/>
    <x v="2"/>
    <x v="1"/>
    <n v="11"/>
    <x v="7"/>
  </r>
  <r>
    <n v="864"/>
    <x v="863"/>
    <x v="0"/>
    <x v="4"/>
    <x v="0"/>
    <s v="Very likely"/>
    <n v="4"/>
    <x v="0"/>
    <n v="2"/>
    <x v="2"/>
    <x v="8"/>
    <n v="5"/>
    <x v="4"/>
  </r>
  <r>
    <n v="865"/>
    <x v="864"/>
    <x v="0"/>
    <x v="4"/>
    <x v="0"/>
    <s v="Somewhat likely"/>
    <n v="3"/>
    <x v="0"/>
    <n v="2"/>
    <x v="2"/>
    <x v="1"/>
    <n v="11"/>
    <x v="4"/>
  </r>
  <r>
    <n v="866"/>
    <x v="865"/>
    <x v="0"/>
    <x v="0"/>
    <x v="0"/>
    <s v="Very likely"/>
    <n v="4"/>
    <x v="1"/>
    <n v="1"/>
    <x v="2"/>
    <x v="1"/>
    <n v="11"/>
    <x v="2"/>
  </r>
  <r>
    <n v="867"/>
    <x v="866"/>
    <x v="1"/>
    <x v="0"/>
    <x v="0"/>
    <s v="Somewhat likely"/>
    <n v="3"/>
    <x v="0"/>
    <n v="2"/>
    <x v="2"/>
    <x v="0"/>
    <n v="4"/>
    <x v="3"/>
  </r>
  <r>
    <n v="868"/>
    <x v="867"/>
    <x v="1"/>
    <x v="1"/>
    <x v="94"/>
    <s v="Very likely"/>
    <n v="4"/>
    <x v="3"/>
    <n v="3"/>
    <x v="2"/>
    <x v="9"/>
    <n v="10"/>
    <x v="4"/>
  </r>
  <r>
    <n v="869"/>
    <x v="868"/>
    <x v="0"/>
    <x v="2"/>
    <x v="0"/>
    <s v="Somewhat likely"/>
    <n v="3"/>
    <x v="1"/>
    <n v="1"/>
    <x v="2"/>
    <x v="1"/>
    <n v="11"/>
    <x v="5"/>
  </r>
  <r>
    <n v="870"/>
    <x v="869"/>
    <x v="0"/>
    <x v="0"/>
    <x v="0"/>
    <s v="Very likely"/>
    <n v="4"/>
    <x v="4"/>
    <n v="4"/>
    <x v="2"/>
    <x v="8"/>
    <n v="5"/>
    <x v="5"/>
  </r>
  <r>
    <n v="871"/>
    <x v="870"/>
    <x v="1"/>
    <x v="1"/>
    <x v="95"/>
    <s v="Somewhat likely"/>
    <n v="3"/>
    <x v="0"/>
    <n v="2"/>
    <x v="2"/>
    <x v="0"/>
    <n v="4"/>
    <x v="6"/>
  </r>
  <r>
    <n v="872"/>
    <x v="871"/>
    <x v="0"/>
    <x v="4"/>
    <x v="0"/>
    <s v="Very unlikely"/>
    <n v="1"/>
    <x v="4"/>
    <n v="4"/>
    <x v="2"/>
    <x v="9"/>
    <n v="10"/>
    <x v="7"/>
  </r>
  <r>
    <n v="873"/>
    <x v="872"/>
    <x v="0"/>
    <x v="5"/>
    <x v="0"/>
    <s v="Very unlikely"/>
    <n v="1"/>
    <x v="4"/>
    <n v="4"/>
    <x v="2"/>
    <x v="4"/>
    <n v="3"/>
    <x v="2"/>
  </r>
  <r>
    <n v="874"/>
    <x v="873"/>
    <x v="0"/>
    <x v="0"/>
    <x v="0"/>
    <s v="Very likely"/>
    <n v="4"/>
    <x v="3"/>
    <n v="3"/>
    <x v="2"/>
    <x v="9"/>
    <n v="10"/>
    <x v="0"/>
  </r>
  <r>
    <n v="875"/>
    <x v="874"/>
    <x v="0"/>
    <x v="1"/>
    <x v="4"/>
    <s v="Somewhat unlikely"/>
    <n v="2"/>
    <x v="4"/>
    <n v="4"/>
    <x v="2"/>
    <x v="8"/>
    <n v="5"/>
    <x v="8"/>
  </r>
  <r>
    <n v="876"/>
    <x v="875"/>
    <x v="0"/>
    <x v="5"/>
    <x v="0"/>
    <s v="Somewhat unlikely"/>
    <n v="2"/>
    <x v="0"/>
    <n v="2"/>
    <x v="2"/>
    <x v="0"/>
    <n v="4"/>
    <x v="7"/>
  </r>
  <r>
    <n v="877"/>
    <x v="876"/>
    <x v="0"/>
    <x v="0"/>
    <x v="0"/>
    <s v="Somewhat likely"/>
    <n v="3"/>
    <x v="3"/>
    <n v="3"/>
    <x v="2"/>
    <x v="0"/>
    <n v="4"/>
    <x v="7"/>
  </r>
  <r>
    <n v="878"/>
    <x v="877"/>
    <x v="0"/>
    <x v="1"/>
    <x v="13"/>
    <s v="Very likely"/>
    <n v="4"/>
    <x v="1"/>
    <n v="1"/>
    <x v="2"/>
    <x v="1"/>
    <n v="11"/>
    <x v="2"/>
  </r>
  <r>
    <n v="879"/>
    <x v="878"/>
    <x v="0"/>
    <x v="2"/>
    <x v="0"/>
    <s v="Very likely"/>
    <n v="4"/>
    <x v="1"/>
    <n v="1"/>
    <x v="2"/>
    <x v="4"/>
    <n v="3"/>
    <x v="2"/>
  </r>
  <r>
    <n v="880"/>
    <x v="879"/>
    <x v="1"/>
    <x v="3"/>
    <x v="0"/>
    <s v="No answer provided"/>
    <s v="na"/>
    <x v="2"/>
    <s v="na"/>
    <x v="1"/>
    <x v="5"/>
    <s v="na"/>
    <x v="1"/>
  </r>
  <r>
    <n v="881"/>
    <x v="880"/>
    <x v="0"/>
    <x v="4"/>
    <x v="0"/>
    <s v="Somewhat likely"/>
    <n v="3"/>
    <x v="4"/>
    <n v="4"/>
    <x v="2"/>
    <x v="3"/>
    <n v="8"/>
    <x v="4"/>
  </r>
  <r>
    <n v="882"/>
    <x v="881"/>
    <x v="0"/>
    <x v="5"/>
    <x v="0"/>
    <s v="Very unlikely"/>
    <n v="1"/>
    <x v="3"/>
    <n v="3"/>
    <x v="2"/>
    <x v="0"/>
    <n v="4"/>
    <x v="9"/>
  </r>
  <r>
    <n v="883"/>
    <x v="882"/>
    <x v="0"/>
    <x v="4"/>
    <x v="0"/>
    <s v="Somewhat likely"/>
    <n v="3"/>
    <x v="4"/>
    <n v="4"/>
    <x v="2"/>
    <x v="1"/>
    <n v="11"/>
    <x v="9"/>
  </r>
  <r>
    <n v="884"/>
    <x v="883"/>
    <x v="0"/>
    <x v="4"/>
    <x v="0"/>
    <s v="Somewhat likely"/>
    <n v="3"/>
    <x v="3"/>
    <n v="3"/>
    <x v="0"/>
    <x v="8"/>
    <n v="5"/>
    <x v="9"/>
  </r>
  <r>
    <n v="885"/>
    <x v="884"/>
    <x v="1"/>
    <x v="5"/>
    <x v="0"/>
    <s v="Somewhat likely"/>
    <n v="3"/>
    <x v="3"/>
    <n v="3"/>
    <x v="0"/>
    <x v="2"/>
    <n v="6"/>
    <x v="0"/>
  </r>
  <r>
    <n v="886"/>
    <x v="885"/>
    <x v="0"/>
    <x v="2"/>
    <x v="0"/>
    <s v="Very likely"/>
    <n v="4"/>
    <x v="3"/>
    <n v="3"/>
    <x v="2"/>
    <x v="8"/>
    <n v="5"/>
    <x v="3"/>
  </r>
  <r>
    <n v="887"/>
    <x v="886"/>
    <x v="0"/>
    <x v="5"/>
    <x v="0"/>
    <s v="Very unlikely"/>
    <n v="1"/>
    <x v="3"/>
    <n v="3"/>
    <x v="2"/>
    <x v="11"/>
    <n v="7"/>
    <x v="4"/>
  </r>
  <r>
    <n v="888"/>
    <x v="887"/>
    <x v="1"/>
    <x v="0"/>
    <x v="0"/>
    <s v="Very unlikely"/>
    <n v="1"/>
    <x v="1"/>
    <n v="1"/>
    <x v="2"/>
    <x v="6"/>
    <n v="1"/>
    <x v="7"/>
  </r>
  <r>
    <n v="889"/>
    <x v="888"/>
    <x v="0"/>
    <x v="1"/>
    <x v="11"/>
    <s v="Very likely"/>
    <n v="4"/>
    <x v="3"/>
    <n v="3"/>
    <x v="0"/>
    <x v="1"/>
    <n v="11"/>
    <x v="0"/>
  </r>
  <r>
    <n v="890"/>
    <x v="889"/>
    <x v="0"/>
    <x v="6"/>
    <x v="0"/>
    <s v="Somewhat likely"/>
    <n v="3"/>
    <x v="4"/>
    <n v="4"/>
    <x v="2"/>
    <x v="8"/>
    <n v="5"/>
    <x v="0"/>
  </r>
  <r>
    <n v="891"/>
    <x v="890"/>
    <x v="0"/>
    <x v="5"/>
    <x v="0"/>
    <s v="Very unlikely"/>
    <n v="1"/>
    <x v="0"/>
    <n v="2"/>
    <x v="2"/>
    <x v="4"/>
    <n v="3"/>
    <x v="8"/>
  </r>
  <r>
    <n v="892"/>
    <x v="891"/>
    <x v="0"/>
    <x v="1"/>
    <x v="96"/>
    <s v="Very likely"/>
    <n v="4"/>
    <x v="1"/>
    <n v="1"/>
    <x v="2"/>
    <x v="0"/>
    <n v="4"/>
    <x v="0"/>
  </r>
  <r>
    <n v="893"/>
    <x v="892"/>
    <x v="0"/>
    <x v="5"/>
    <x v="0"/>
    <s v="Very likely"/>
    <n v="4"/>
    <x v="3"/>
    <n v="3"/>
    <x v="2"/>
    <x v="6"/>
    <n v="1"/>
    <x v="7"/>
  </r>
  <r>
    <n v="894"/>
    <x v="893"/>
    <x v="0"/>
    <x v="4"/>
    <x v="0"/>
    <s v="Somewhat likely"/>
    <n v="3"/>
    <x v="3"/>
    <n v="3"/>
    <x v="2"/>
    <x v="1"/>
    <n v="11"/>
    <x v="5"/>
  </r>
  <r>
    <n v="895"/>
    <x v="894"/>
    <x v="0"/>
    <x v="0"/>
    <x v="0"/>
    <s v="Very unlikely"/>
    <n v="1"/>
    <x v="0"/>
    <n v="2"/>
    <x v="2"/>
    <x v="8"/>
    <n v="5"/>
    <x v="7"/>
  </r>
  <r>
    <n v="896"/>
    <x v="895"/>
    <x v="0"/>
    <x v="1"/>
    <x v="4"/>
    <s v="Very likely"/>
    <n v="4"/>
    <x v="4"/>
    <n v="4"/>
    <x v="0"/>
    <x v="10"/>
    <n v="9"/>
    <x v="6"/>
  </r>
  <r>
    <n v="897"/>
    <x v="896"/>
    <x v="0"/>
    <x v="2"/>
    <x v="0"/>
    <s v="Very likely"/>
    <n v="4"/>
    <x v="0"/>
    <n v="2"/>
    <x v="2"/>
    <x v="0"/>
    <n v="4"/>
    <x v="9"/>
  </r>
  <r>
    <n v="898"/>
    <x v="897"/>
    <x v="0"/>
    <x v="0"/>
    <x v="0"/>
    <s v="Very likely"/>
    <n v="4"/>
    <x v="0"/>
    <n v="2"/>
    <x v="2"/>
    <x v="8"/>
    <n v="5"/>
    <x v="3"/>
  </r>
  <r>
    <n v="899"/>
    <x v="898"/>
    <x v="0"/>
    <x v="2"/>
    <x v="0"/>
    <s v="Somewhat unlikely"/>
    <n v="2"/>
    <x v="1"/>
    <n v="1"/>
    <x v="2"/>
    <x v="4"/>
    <n v="3"/>
    <x v="0"/>
  </r>
  <r>
    <n v="900"/>
    <x v="899"/>
    <x v="0"/>
    <x v="0"/>
    <x v="0"/>
    <s v="Very likely"/>
    <n v="4"/>
    <x v="4"/>
    <n v="4"/>
    <x v="0"/>
    <x v="4"/>
    <n v="3"/>
    <x v="6"/>
  </r>
  <r>
    <n v="901"/>
    <x v="900"/>
    <x v="1"/>
    <x v="4"/>
    <x v="0"/>
    <s v="Very unlikely"/>
    <n v="1"/>
    <x v="0"/>
    <n v="2"/>
    <x v="2"/>
    <x v="11"/>
    <n v="7"/>
    <x v="0"/>
  </r>
  <r>
    <n v="902"/>
    <x v="901"/>
    <x v="0"/>
    <x v="2"/>
    <x v="0"/>
    <s v="Very likely"/>
    <n v="4"/>
    <x v="0"/>
    <n v="2"/>
    <x v="2"/>
    <x v="11"/>
    <n v="7"/>
    <x v="3"/>
  </r>
  <r>
    <n v="903"/>
    <x v="902"/>
    <x v="0"/>
    <x v="5"/>
    <x v="0"/>
    <s v="Very unlikely"/>
    <n v="1"/>
    <x v="3"/>
    <n v="3"/>
    <x v="0"/>
    <x v="2"/>
    <n v="6"/>
    <x v="6"/>
  </r>
  <r>
    <n v="904"/>
    <x v="903"/>
    <x v="0"/>
    <x v="0"/>
    <x v="0"/>
    <s v="Very likely"/>
    <n v="4"/>
    <x v="4"/>
    <n v="4"/>
    <x v="2"/>
    <x v="8"/>
    <n v="5"/>
    <x v="6"/>
  </r>
  <r>
    <n v="905"/>
    <x v="904"/>
    <x v="0"/>
    <x v="7"/>
    <x v="0"/>
    <s v="Somewhat likely"/>
    <n v="3"/>
    <x v="4"/>
    <n v="4"/>
    <x v="0"/>
    <x v="4"/>
    <n v="3"/>
    <x v="6"/>
  </r>
  <r>
    <n v="906"/>
    <x v="905"/>
    <x v="0"/>
    <x v="5"/>
    <x v="0"/>
    <s v="Very likely"/>
    <n v="4"/>
    <x v="3"/>
    <n v="3"/>
    <x v="2"/>
    <x v="10"/>
    <n v="9"/>
    <x v="2"/>
  </r>
  <r>
    <n v="907"/>
    <x v="906"/>
    <x v="0"/>
    <x v="2"/>
    <x v="0"/>
    <s v="Very likely"/>
    <n v="4"/>
    <x v="3"/>
    <n v="3"/>
    <x v="2"/>
    <x v="0"/>
    <n v="4"/>
    <x v="3"/>
  </r>
  <r>
    <n v="908"/>
    <x v="907"/>
    <x v="0"/>
    <x v="5"/>
    <x v="0"/>
    <s v="Very unlikely"/>
    <n v="1"/>
    <x v="0"/>
    <n v="2"/>
    <x v="2"/>
    <x v="8"/>
    <n v="5"/>
    <x v="5"/>
  </r>
  <r>
    <n v="909"/>
    <x v="908"/>
    <x v="1"/>
    <x v="0"/>
    <x v="0"/>
    <s v="Somewhat likely"/>
    <n v="3"/>
    <x v="3"/>
    <n v="3"/>
    <x v="2"/>
    <x v="11"/>
    <n v="7"/>
    <x v="4"/>
  </r>
  <r>
    <n v="910"/>
    <x v="909"/>
    <x v="0"/>
    <x v="1"/>
    <x v="4"/>
    <s v="Very likely"/>
    <n v="4"/>
    <x v="0"/>
    <n v="2"/>
    <x v="2"/>
    <x v="2"/>
    <n v="6"/>
    <x v="5"/>
  </r>
  <r>
    <n v="911"/>
    <x v="910"/>
    <x v="0"/>
    <x v="0"/>
    <x v="0"/>
    <s v="Somewhat likely"/>
    <n v="3"/>
    <x v="0"/>
    <n v="2"/>
    <x v="2"/>
    <x v="1"/>
    <n v="11"/>
    <x v="8"/>
  </r>
  <r>
    <n v="912"/>
    <x v="911"/>
    <x v="0"/>
    <x v="1"/>
    <x v="97"/>
    <s v="Very likely"/>
    <n v="4"/>
    <x v="3"/>
    <n v="3"/>
    <x v="2"/>
    <x v="8"/>
    <n v="5"/>
    <x v="3"/>
  </r>
  <r>
    <n v="913"/>
    <x v="912"/>
    <x v="1"/>
    <x v="1"/>
    <x v="98"/>
    <s v="Very unlikely"/>
    <n v="1"/>
    <x v="0"/>
    <n v="2"/>
    <x v="2"/>
    <x v="7"/>
    <n v="2"/>
    <x v="2"/>
  </r>
  <r>
    <n v="914"/>
    <x v="913"/>
    <x v="0"/>
    <x v="6"/>
    <x v="0"/>
    <s v="Somewhat likely"/>
    <n v="3"/>
    <x v="3"/>
    <n v="3"/>
    <x v="2"/>
    <x v="4"/>
    <n v="3"/>
    <x v="7"/>
  </r>
  <r>
    <n v="915"/>
    <x v="914"/>
    <x v="0"/>
    <x v="2"/>
    <x v="0"/>
    <s v="Very unlikely"/>
    <n v="1"/>
    <x v="0"/>
    <n v="2"/>
    <x v="0"/>
    <x v="4"/>
    <n v="3"/>
    <x v="9"/>
  </r>
  <r>
    <n v="916"/>
    <x v="915"/>
    <x v="0"/>
    <x v="2"/>
    <x v="0"/>
    <s v="Very unlikely"/>
    <n v="1"/>
    <x v="3"/>
    <n v="3"/>
    <x v="2"/>
    <x v="8"/>
    <n v="5"/>
    <x v="4"/>
  </r>
  <r>
    <n v="917"/>
    <x v="916"/>
    <x v="1"/>
    <x v="5"/>
    <x v="0"/>
    <s v="Very likely"/>
    <n v="4"/>
    <x v="3"/>
    <n v="3"/>
    <x v="2"/>
    <x v="7"/>
    <n v="2"/>
    <x v="6"/>
  </r>
  <r>
    <n v="918"/>
    <x v="917"/>
    <x v="0"/>
    <x v="5"/>
    <x v="0"/>
    <s v="Somewhat unlikely"/>
    <n v="2"/>
    <x v="3"/>
    <n v="3"/>
    <x v="2"/>
    <x v="4"/>
    <n v="3"/>
    <x v="9"/>
  </r>
  <r>
    <n v="919"/>
    <x v="918"/>
    <x v="0"/>
    <x v="1"/>
    <x v="99"/>
    <s v="Very likely"/>
    <n v="4"/>
    <x v="0"/>
    <n v="2"/>
    <x v="2"/>
    <x v="11"/>
    <n v="7"/>
    <x v="0"/>
  </r>
  <r>
    <n v="920"/>
    <x v="919"/>
    <x v="1"/>
    <x v="0"/>
    <x v="0"/>
    <s v="Very likely"/>
    <n v="4"/>
    <x v="1"/>
    <n v="1"/>
    <x v="2"/>
    <x v="2"/>
    <n v="6"/>
    <x v="0"/>
  </r>
  <r>
    <n v="921"/>
    <x v="920"/>
    <x v="1"/>
    <x v="0"/>
    <x v="0"/>
    <s v="Somewhat likely"/>
    <n v="3"/>
    <x v="3"/>
    <n v="3"/>
    <x v="2"/>
    <x v="2"/>
    <n v="6"/>
    <x v="6"/>
  </r>
  <r>
    <n v="922"/>
    <x v="921"/>
    <x v="0"/>
    <x v="2"/>
    <x v="0"/>
    <s v="Very unlikely"/>
    <n v="1"/>
    <x v="0"/>
    <n v="2"/>
    <x v="2"/>
    <x v="4"/>
    <n v="3"/>
    <x v="0"/>
  </r>
  <r>
    <n v="923"/>
    <x v="922"/>
    <x v="1"/>
    <x v="4"/>
    <x v="0"/>
    <s v="Very unlikely"/>
    <n v="1"/>
    <x v="4"/>
    <n v="4"/>
    <x v="2"/>
    <x v="2"/>
    <n v="6"/>
    <x v="3"/>
  </r>
  <r>
    <n v="924"/>
    <x v="923"/>
    <x v="0"/>
    <x v="2"/>
    <x v="0"/>
    <s v="Very likely"/>
    <n v="4"/>
    <x v="3"/>
    <n v="3"/>
    <x v="2"/>
    <x v="1"/>
    <n v="11"/>
    <x v="4"/>
  </r>
  <r>
    <n v="925"/>
    <x v="924"/>
    <x v="0"/>
    <x v="0"/>
    <x v="0"/>
    <s v="Very likely"/>
    <n v="4"/>
    <x v="0"/>
    <n v="2"/>
    <x v="2"/>
    <x v="1"/>
    <n v="11"/>
    <x v="0"/>
  </r>
  <r>
    <n v="926"/>
    <x v="925"/>
    <x v="0"/>
    <x v="5"/>
    <x v="0"/>
    <s v="Somewhat likely"/>
    <n v="3"/>
    <x v="4"/>
    <n v="4"/>
    <x v="2"/>
    <x v="1"/>
    <n v="11"/>
    <x v="4"/>
  </r>
  <r>
    <n v="927"/>
    <x v="926"/>
    <x v="1"/>
    <x v="3"/>
    <x v="0"/>
    <s v="No answer provided"/>
    <s v="na"/>
    <x v="2"/>
    <s v="na"/>
    <x v="1"/>
    <x v="5"/>
    <s v="na"/>
    <x v="1"/>
  </r>
  <r>
    <n v="928"/>
    <x v="927"/>
    <x v="0"/>
    <x v="3"/>
    <x v="0"/>
    <s v="No answer provided"/>
    <s v="na"/>
    <x v="2"/>
    <s v="na"/>
    <x v="1"/>
    <x v="5"/>
    <s v="na"/>
    <x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928">
  <r>
    <n v="1"/>
    <n v="3887201482"/>
    <x v="0"/>
    <x v="0"/>
    <s v="No answer provided"/>
    <s v="Very likely"/>
    <n v="4"/>
    <x v="0"/>
    <n v="2"/>
    <x v="0"/>
    <x v="0"/>
    <n v="4"/>
    <x v="0"/>
    <x v="0"/>
  </r>
  <r>
    <n v="2"/>
    <n v="3887159451"/>
    <x v="0"/>
    <x v="0"/>
    <s v="No answer provided"/>
    <s v="Very likely"/>
    <n v="4"/>
    <x v="1"/>
    <n v="1"/>
    <x v="0"/>
    <x v="1"/>
    <n v="11"/>
    <x v="1"/>
    <x v="0"/>
  </r>
  <r>
    <n v="3"/>
    <n v="3887152228"/>
    <x v="0"/>
    <x v="0"/>
    <s v="No answer provided"/>
    <s v="Very likely"/>
    <n v="4"/>
    <x v="0"/>
    <n v="2"/>
    <x v="0"/>
    <x v="2"/>
    <n v="6"/>
    <x v="2"/>
    <x v="0"/>
  </r>
  <r>
    <n v="4"/>
    <n v="3887145426"/>
    <x v="0"/>
    <x v="0"/>
    <s v="No answer provided"/>
    <s v="Somewhat likely"/>
    <n v="3"/>
    <x v="0"/>
    <n v="2"/>
    <x v="0"/>
    <x v="1"/>
    <n v="11"/>
    <x v="1"/>
    <x v="0"/>
  </r>
  <r>
    <n v="5"/>
    <n v="3887021873"/>
    <x v="0"/>
    <x v="1"/>
    <s v="Iphone app"/>
    <s v="Very likely"/>
    <n v="4"/>
    <x v="0"/>
    <n v="2"/>
    <x v="0"/>
    <x v="3"/>
    <n v="8"/>
    <x v="2"/>
    <x v="1"/>
  </r>
  <r>
    <n v="6"/>
    <n v="3886937140"/>
    <x v="0"/>
    <x v="1"/>
    <s v="AccuWeather App"/>
    <s v="Somewhat likely"/>
    <n v="3"/>
    <x v="1"/>
    <n v="1"/>
    <x v="0"/>
    <x v="2"/>
    <n v="6"/>
    <x v="3"/>
    <x v="2"/>
  </r>
  <r>
    <n v="7"/>
    <n v="3886923931"/>
    <x v="0"/>
    <x v="2"/>
    <s v="No answer provided"/>
    <s v="Very unlikely"/>
    <n v="1"/>
    <x v="0"/>
    <n v="2"/>
    <x v="0"/>
    <x v="4"/>
    <n v="3"/>
    <x v="3"/>
    <x v="0"/>
  </r>
  <r>
    <n v="8"/>
    <n v="3886913587"/>
    <x v="0"/>
    <x v="3"/>
    <s v="No answer provided"/>
    <s v="No answer provided"/>
    <s v="na"/>
    <x v="2"/>
    <s v="na"/>
    <x v="1"/>
    <x v="5"/>
    <s v="na"/>
    <x v="1"/>
    <x v="0"/>
  </r>
  <r>
    <n v="9"/>
    <n v="3886889048"/>
    <x v="0"/>
    <x v="2"/>
    <s v="No answer provided"/>
    <s v="Very likely"/>
    <n v="4"/>
    <x v="0"/>
    <n v="2"/>
    <x v="0"/>
    <x v="1"/>
    <n v="11"/>
    <x v="4"/>
    <x v="0"/>
  </r>
  <r>
    <n v="10"/>
    <n v="3886848806"/>
    <x v="0"/>
    <x v="0"/>
    <s v="No answer provided"/>
    <s v="Very likely"/>
    <n v="4"/>
    <x v="0"/>
    <n v="2"/>
    <x v="0"/>
    <x v="3"/>
    <n v="8"/>
    <x v="5"/>
    <x v="0"/>
  </r>
  <r>
    <n v="11"/>
    <n v="3886782609"/>
    <x v="1"/>
    <x v="4"/>
    <s v="No answer provided"/>
    <s v="Somewhat unlikely"/>
    <n v="2"/>
    <x v="1"/>
    <n v="1"/>
    <x v="0"/>
    <x v="6"/>
    <n v="1"/>
    <x v="4"/>
    <x v="0"/>
  </r>
  <r>
    <n v="12"/>
    <n v="3886416355"/>
    <x v="1"/>
    <x v="0"/>
    <s v="No answer provided"/>
    <s v="Somewhat likely"/>
    <n v="3"/>
    <x v="0"/>
    <n v="2"/>
    <x v="0"/>
    <x v="2"/>
    <n v="6"/>
    <x v="6"/>
    <x v="0"/>
  </r>
  <r>
    <n v="13"/>
    <n v="3886356706"/>
    <x v="1"/>
    <x v="3"/>
    <s v="No answer provided"/>
    <s v="No answer provided"/>
    <s v="na"/>
    <x v="2"/>
    <s v="na"/>
    <x v="1"/>
    <x v="5"/>
    <s v="na"/>
    <x v="1"/>
    <x v="0"/>
  </r>
  <r>
    <n v="14"/>
    <n v="3886328736"/>
    <x v="0"/>
    <x v="5"/>
    <s v="No answer provided"/>
    <s v="Very likely"/>
    <n v="4"/>
    <x v="0"/>
    <n v="2"/>
    <x v="0"/>
    <x v="6"/>
    <n v="1"/>
    <x v="2"/>
    <x v="0"/>
  </r>
  <r>
    <n v="15"/>
    <n v="3886284495"/>
    <x v="1"/>
    <x v="2"/>
    <s v="No answer provided"/>
    <s v="Very unlikely"/>
    <n v="1"/>
    <x v="1"/>
    <n v="1"/>
    <x v="0"/>
    <x v="7"/>
    <n v="2"/>
    <x v="2"/>
    <x v="0"/>
  </r>
  <r>
    <n v="16"/>
    <n v="3886283555"/>
    <x v="0"/>
    <x v="4"/>
    <s v="No answer provided"/>
    <s v="Somewhat likely"/>
    <n v="3"/>
    <x v="1"/>
    <n v="1"/>
    <x v="0"/>
    <x v="8"/>
    <n v="5"/>
    <x v="2"/>
    <x v="0"/>
  </r>
  <r>
    <n v="17"/>
    <n v="3886272525"/>
    <x v="0"/>
    <x v="0"/>
    <s v="No answer provided"/>
    <s v="Very likely"/>
    <n v="4"/>
    <x v="0"/>
    <n v="2"/>
    <x v="0"/>
    <x v="7"/>
    <n v="2"/>
    <x v="7"/>
    <x v="0"/>
  </r>
  <r>
    <n v="18"/>
    <n v="3886261814"/>
    <x v="0"/>
    <x v="1"/>
    <s v="nice"/>
    <s v="Very likely"/>
    <n v="4"/>
    <x v="0"/>
    <n v="2"/>
    <x v="0"/>
    <x v="4"/>
    <n v="3"/>
    <x v="2"/>
    <x v="3"/>
  </r>
  <r>
    <n v="19"/>
    <n v="3886258514"/>
    <x v="0"/>
    <x v="5"/>
    <s v="No answer provided"/>
    <s v="Very unlikely"/>
    <n v="1"/>
    <x v="0"/>
    <n v="2"/>
    <x v="2"/>
    <x v="4"/>
    <n v="3"/>
    <x v="3"/>
    <x v="0"/>
  </r>
  <r>
    <n v="20"/>
    <n v="3886256409"/>
    <x v="1"/>
    <x v="0"/>
    <s v="No answer provided"/>
    <s v="Very likely"/>
    <n v="4"/>
    <x v="1"/>
    <n v="1"/>
    <x v="0"/>
    <x v="4"/>
    <n v="3"/>
    <x v="0"/>
    <x v="0"/>
  </r>
  <r>
    <n v="21"/>
    <n v="3886226091"/>
    <x v="0"/>
    <x v="0"/>
    <s v="No answer provided"/>
    <s v="Somewhat unlikely"/>
    <n v="2"/>
    <x v="1"/>
    <n v="1"/>
    <x v="0"/>
    <x v="4"/>
    <n v="3"/>
    <x v="0"/>
    <x v="0"/>
  </r>
  <r>
    <n v="22"/>
    <n v="3886201383"/>
    <x v="0"/>
    <x v="5"/>
    <s v="No answer provided"/>
    <s v="Very likely"/>
    <n v="4"/>
    <x v="0"/>
    <n v="2"/>
    <x v="0"/>
    <x v="3"/>
    <n v="8"/>
    <x v="3"/>
    <x v="0"/>
  </r>
  <r>
    <n v="23"/>
    <n v="3886197152"/>
    <x v="0"/>
    <x v="2"/>
    <s v="No answer provided"/>
    <s v="Very unlikely"/>
    <n v="1"/>
    <x v="0"/>
    <n v="2"/>
    <x v="0"/>
    <x v="1"/>
    <n v="11"/>
    <x v="7"/>
    <x v="0"/>
  </r>
  <r>
    <n v="24"/>
    <n v="3886132282"/>
    <x v="0"/>
    <x v="0"/>
    <s v="No answer provided"/>
    <s v="Very likely"/>
    <n v="4"/>
    <x v="0"/>
    <n v="2"/>
    <x v="0"/>
    <x v="4"/>
    <n v="3"/>
    <x v="6"/>
    <x v="0"/>
  </r>
  <r>
    <n v="25"/>
    <n v="3886121810"/>
    <x v="1"/>
    <x v="3"/>
    <s v="No answer provided"/>
    <s v="No answer provided"/>
    <s v="na"/>
    <x v="2"/>
    <s v="na"/>
    <x v="1"/>
    <x v="5"/>
    <s v="na"/>
    <x v="1"/>
    <x v="0"/>
  </r>
  <r>
    <n v="26"/>
    <n v="3886114640"/>
    <x v="0"/>
    <x v="1"/>
    <s v="Weather.com"/>
    <s v="Very unlikely"/>
    <n v="1"/>
    <x v="0"/>
    <n v="2"/>
    <x v="0"/>
    <x v="8"/>
    <n v="5"/>
    <x v="2"/>
    <x v="4"/>
  </r>
  <r>
    <n v="27"/>
    <n v="3886112493"/>
    <x v="0"/>
    <x v="0"/>
    <s v="No answer provided"/>
    <s v="Very likely"/>
    <n v="4"/>
    <x v="1"/>
    <n v="1"/>
    <x v="0"/>
    <x v="7"/>
    <n v="2"/>
    <x v="6"/>
    <x v="0"/>
  </r>
  <r>
    <n v="28"/>
    <n v="3886110900"/>
    <x v="0"/>
    <x v="5"/>
    <s v="No answer provided"/>
    <s v="Somewhat likely"/>
    <n v="3"/>
    <x v="0"/>
    <n v="2"/>
    <x v="0"/>
    <x v="4"/>
    <n v="3"/>
    <x v="8"/>
    <x v="0"/>
  </r>
  <r>
    <n v="29"/>
    <n v="3886102001"/>
    <x v="0"/>
    <x v="2"/>
    <s v="No answer provided"/>
    <s v="Very likely"/>
    <n v="4"/>
    <x v="3"/>
    <n v="3"/>
    <x v="2"/>
    <x v="9"/>
    <n v="10"/>
    <x v="7"/>
    <x v="0"/>
  </r>
  <r>
    <n v="30"/>
    <n v="3886098922"/>
    <x v="1"/>
    <x v="6"/>
    <s v="No answer provided"/>
    <s v="Very unlikely"/>
    <n v="1"/>
    <x v="1"/>
    <n v="1"/>
    <x v="0"/>
    <x v="6"/>
    <n v="1"/>
    <x v="5"/>
    <x v="0"/>
  </r>
  <r>
    <n v="31"/>
    <n v="3886095863"/>
    <x v="0"/>
    <x v="2"/>
    <s v="No answer provided"/>
    <s v="Somewhat unlikely"/>
    <n v="2"/>
    <x v="3"/>
    <n v="3"/>
    <x v="2"/>
    <x v="7"/>
    <n v="2"/>
    <x v="6"/>
    <x v="0"/>
  </r>
  <r>
    <n v="32"/>
    <n v="3886067670"/>
    <x v="0"/>
    <x v="7"/>
    <s v="No answer provided"/>
    <s v="Somewhat likely"/>
    <n v="3"/>
    <x v="0"/>
    <n v="2"/>
    <x v="0"/>
    <x v="4"/>
    <n v="3"/>
    <x v="2"/>
    <x v="0"/>
  </r>
  <r>
    <n v="33"/>
    <n v="3886043003"/>
    <x v="1"/>
    <x v="0"/>
    <s v="No answer provided"/>
    <s v="Somewhat likely"/>
    <n v="3"/>
    <x v="1"/>
    <n v="1"/>
    <x v="0"/>
    <x v="6"/>
    <n v="1"/>
    <x v="5"/>
    <x v="0"/>
  </r>
  <r>
    <n v="34"/>
    <n v="3886040050"/>
    <x v="0"/>
    <x v="4"/>
    <s v="No answer provided"/>
    <s v="Very likely"/>
    <n v="4"/>
    <x v="1"/>
    <n v="1"/>
    <x v="0"/>
    <x v="6"/>
    <n v="1"/>
    <x v="9"/>
    <x v="0"/>
  </r>
  <r>
    <n v="35"/>
    <n v="3886031017"/>
    <x v="0"/>
    <x v="0"/>
    <s v="No answer provided"/>
    <s v="Very likely"/>
    <n v="4"/>
    <x v="4"/>
    <n v="4"/>
    <x v="2"/>
    <x v="0"/>
    <n v="4"/>
    <x v="0"/>
    <x v="0"/>
  </r>
  <r>
    <n v="36"/>
    <n v="3886019381"/>
    <x v="1"/>
    <x v="4"/>
    <s v="No answer provided"/>
    <s v="Somewhat likely"/>
    <n v="3"/>
    <x v="1"/>
    <n v="1"/>
    <x v="0"/>
    <x v="8"/>
    <n v="5"/>
    <x v="4"/>
    <x v="0"/>
  </r>
  <r>
    <n v="37"/>
    <n v="3886018765"/>
    <x v="0"/>
    <x v="0"/>
    <s v="No answer provided"/>
    <s v="Very likely"/>
    <n v="4"/>
    <x v="1"/>
    <n v="1"/>
    <x v="0"/>
    <x v="0"/>
    <n v="4"/>
    <x v="3"/>
    <x v="0"/>
  </r>
  <r>
    <n v="38"/>
    <n v="3886007951"/>
    <x v="0"/>
    <x v="1"/>
    <s v="Weatherbug"/>
    <s v="Very likely"/>
    <n v="4"/>
    <x v="0"/>
    <n v="2"/>
    <x v="0"/>
    <x v="4"/>
    <n v="3"/>
    <x v="7"/>
    <x v="5"/>
  </r>
  <r>
    <n v="39"/>
    <n v="3885984891"/>
    <x v="0"/>
    <x v="0"/>
    <s v="No answer provided"/>
    <s v="Very likely"/>
    <n v="4"/>
    <x v="3"/>
    <n v="3"/>
    <x v="2"/>
    <x v="0"/>
    <n v="4"/>
    <x v="4"/>
    <x v="0"/>
  </r>
  <r>
    <n v="40"/>
    <n v="3885983629"/>
    <x v="0"/>
    <x v="2"/>
    <s v="No answer provided"/>
    <s v="Very likely"/>
    <n v="4"/>
    <x v="4"/>
    <n v="4"/>
    <x v="0"/>
    <x v="1"/>
    <n v="11"/>
    <x v="0"/>
    <x v="0"/>
  </r>
  <r>
    <n v="41"/>
    <n v="3885983248"/>
    <x v="0"/>
    <x v="2"/>
    <s v="No answer provided"/>
    <s v="Very likely"/>
    <n v="4"/>
    <x v="0"/>
    <n v="2"/>
    <x v="0"/>
    <x v="1"/>
    <n v="11"/>
    <x v="2"/>
    <x v="0"/>
  </r>
  <r>
    <n v="42"/>
    <n v="3885969840"/>
    <x v="0"/>
    <x v="4"/>
    <s v="No answer provided"/>
    <s v="Very likely"/>
    <n v="4"/>
    <x v="0"/>
    <n v="2"/>
    <x v="0"/>
    <x v="9"/>
    <n v="10"/>
    <x v="0"/>
    <x v="0"/>
  </r>
  <r>
    <n v="43"/>
    <n v="3885965613"/>
    <x v="0"/>
    <x v="5"/>
    <s v="No answer provided"/>
    <s v="Somewhat likely"/>
    <n v="3"/>
    <x v="4"/>
    <n v="4"/>
    <x v="0"/>
    <x v="3"/>
    <n v="8"/>
    <x v="8"/>
    <x v="0"/>
  </r>
  <r>
    <n v="44"/>
    <n v="3885944544"/>
    <x v="0"/>
    <x v="0"/>
    <s v="No answer provided"/>
    <s v="Very likely"/>
    <n v="4"/>
    <x v="0"/>
    <n v="2"/>
    <x v="0"/>
    <x v="2"/>
    <n v="6"/>
    <x v="2"/>
    <x v="0"/>
  </r>
  <r>
    <n v="45"/>
    <n v="3885928568"/>
    <x v="0"/>
    <x v="5"/>
    <s v="No answer provided"/>
    <s v="Very likely"/>
    <n v="4"/>
    <x v="1"/>
    <n v="1"/>
    <x v="0"/>
    <x v="2"/>
    <n v="6"/>
    <x v="8"/>
    <x v="0"/>
  </r>
  <r>
    <n v="46"/>
    <n v="3885927684"/>
    <x v="1"/>
    <x v="0"/>
    <s v="No answer provided"/>
    <s v="Somewhat likely"/>
    <n v="3"/>
    <x v="0"/>
    <n v="2"/>
    <x v="0"/>
    <x v="4"/>
    <n v="3"/>
    <x v="0"/>
    <x v="0"/>
  </r>
  <r>
    <n v="47"/>
    <n v="3885872237"/>
    <x v="1"/>
    <x v="2"/>
    <s v="No answer provided"/>
    <s v="Somewhat likely"/>
    <n v="3"/>
    <x v="0"/>
    <n v="2"/>
    <x v="0"/>
    <x v="7"/>
    <n v="2"/>
    <x v="0"/>
    <x v="0"/>
  </r>
  <r>
    <n v="48"/>
    <n v="3885869392"/>
    <x v="0"/>
    <x v="1"/>
    <s v="weather channel app"/>
    <s v="Somewhat likely"/>
    <n v="3"/>
    <x v="1"/>
    <n v="1"/>
    <x v="0"/>
    <x v="0"/>
    <n v="4"/>
    <x v="3"/>
    <x v="4"/>
  </r>
  <r>
    <n v="49"/>
    <n v="3885838101"/>
    <x v="0"/>
    <x v="4"/>
    <s v="No answer provided"/>
    <s v="Very likely"/>
    <n v="4"/>
    <x v="1"/>
    <n v="1"/>
    <x v="0"/>
    <x v="7"/>
    <n v="2"/>
    <x v="4"/>
    <x v="0"/>
  </r>
  <r>
    <n v="50"/>
    <n v="3885835130"/>
    <x v="0"/>
    <x v="4"/>
    <s v="No answer provided"/>
    <s v="Somewhat likely"/>
    <n v="3"/>
    <x v="1"/>
    <n v="1"/>
    <x v="0"/>
    <x v="7"/>
    <n v="2"/>
    <x v="0"/>
    <x v="0"/>
  </r>
  <r>
    <n v="51"/>
    <n v="3885824482"/>
    <x v="0"/>
    <x v="2"/>
    <s v="No answer provided"/>
    <s v="Very unlikely"/>
    <n v="1"/>
    <x v="4"/>
    <n v="4"/>
    <x v="0"/>
    <x v="2"/>
    <n v="6"/>
    <x v="3"/>
    <x v="0"/>
  </r>
  <r>
    <n v="52"/>
    <n v="3885821034"/>
    <x v="0"/>
    <x v="0"/>
    <s v="No answer provided"/>
    <s v="Very likely"/>
    <n v="4"/>
    <x v="4"/>
    <n v="4"/>
    <x v="0"/>
    <x v="1"/>
    <n v="11"/>
    <x v="6"/>
    <x v="0"/>
  </r>
  <r>
    <n v="53"/>
    <n v="3885802164"/>
    <x v="1"/>
    <x v="7"/>
    <s v="No answer provided"/>
    <s v="Very unlikely"/>
    <n v="1"/>
    <x v="0"/>
    <n v="2"/>
    <x v="0"/>
    <x v="0"/>
    <n v="4"/>
    <x v="2"/>
    <x v="0"/>
  </r>
  <r>
    <n v="54"/>
    <n v="3885791607"/>
    <x v="1"/>
    <x v="5"/>
    <s v="No answer provided"/>
    <s v="Somewhat unlikely"/>
    <n v="2"/>
    <x v="0"/>
    <n v="2"/>
    <x v="0"/>
    <x v="9"/>
    <n v="10"/>
    <x v="2"/>
    <x v="0"/>
  </r>
  <r>
    <n v="55"/>
    <n v="3885773515"/>
    <x v="0"/>
    <x v="0"/>
    <s v="No answer provided"/>
    <s v="Somewhat likely"/>
    <n v="3"/>
    <x v="0"/>
    <n v="2"/>
    <x v="0"/>
    <x v="7"/>
    <n v="2"/>
    <x v="4"/>
    <x v="0"/>
  </r>
  <r>
    <n v="56"/>
    <n v="3885691247"/>
    <x v="0"/>
    <x v="4"/>
    <s v="No answer provided"/>
    <s v="Somewhat unlikely"/>
    <n v="2"/>
    <x v="0"/>
    <n v="2"/>
    <x v="0"/>
    <x v="1"/>
    <n v="11"/>
    <x v="3"/>
    <x v="0"/>
  </r>
  <r>
    <n v="57"/>
    <n v="3885688258"/>
    <x v="0"/>
    <x v="1"/>
    <s v="Yahoo weather iphone"/>
    <s v="Very likely"/>
    <n v="4"/>
    <x v="1"/>
    <n v="1"/>
    <x v="0"/>
    <x v="4"/>
    <n v="3"/>
    <x v="3"/>
    <x v="6"/>
  </r>
  <r>
    <n v="58"/>
    <n v="3885687708"/>
    <x v="0"/>
    <x v="4"/>
    <s v="No answer provided"/>
    <s v="Very unlikely"/>
    <n v="1"/>
    <x v="0"/>
    <n v="2"/>
    <x v="0"/>
    <x v="10"/>
    <n v="9"/>
    <x v="6"/>
    <x v="0"/>
  </r>
  <r>
    <n v="59"/>
    <n v="3885683872"/>
    <x v="0"/>
    <x v="5"/>
    <s v="No answer provided"/>
    <s v="Somewhat likely"/>
    <n v="3"/>
    <x v="0"/>
    <n v="2"/>
    <x v="0"/>
    <x v="1"/>
    <n v="11"/>
    <x v="2"/>
    <x v="0"/>
  </r>
  <r>
    <n v="60"/>
    <n v="3885652370"/>
    <x v="0"/>
    <x v="4"/>
    <s v="No answer provided"/>
    <s v="Somewhat likely"/>
    <n v="3"/>
    <x v="0"/>
    <n v="2"/>
    <x v="0"/>
    <x v="0"/>
    <n v="4"/>
    <x v="5"/>
    <x v="0"/>
  </r>
  <r>
    <n v="61"/>
    <n v="3885637949"/>
    <x v="1"/>
    <x v="4"/>
    <s v="No answer provided"/>
    <s v="Very likely"/>
    <n v="4"/>
    <x v="1"/>
    <n v="1"/>
    <x v="0"/>
    <x v="7"/>
    <n v="2"/>
    <x v="1"/>
    <x v="0"/>
  </r>
  <r>
    <n v="62"/>
    <n v="3885625628"/>
    <x v="0"/>
    <x v="0"/>
    <s v="No answer provided"/>
    <s v="Very likely"/>
    <n v="4"/>
    <x v="0"/>
    <n v="2"/>
    <x v="0"/>
    <x v="8"/>
    <n v="5"/>
    <x v="5"/>
    <x v="0"/>
  </r>
  <r>
    <n v="63"/>
    <n v="3885602270"/>
    <x v="0"/>
    <x v="0"/>
    <s v="No answer provided"/>
    <s v="Very unlikely"/>
    <n v="1"/>
    <x v="1"/>
    <n v="1"/>
    <x v="0"/>
    <x v="11"/>
    <n v="7"/>
    <x v="6"/>
    <x v="0"/>
  </r>
  <r>
    <n v="64"/>
    <n v="3885570360"/>
    <x v="1"/>
    <x v="7"/>
    <s v="No answer provided"/>
    <s v="Somewhat unlikely"/>
    <n v="2"/>
    <x v="0"/>
    <n v="2"/>
    <x v="0"/>
    <x v="11"/>
    <n v="7"/>
    <x v="0"/>
    <x v="0"/>
  </r>
  <r>
    <n v="65"/>
    <n v="3885569498"/>
    <x v="0"/>
    <x v="1"/>
    <s v="Weather Puppy"/>
    <s v="Somewhat likely"/>
    <n v="3"/>
    <x v="0"/>
    <n v="2"/>
    <x v="0"/>
    <x v="8"/>
    <n v="5"/>
    <x v="0"/>
    <x v="3"/>
  </r>
  <r>
    <n v="66"/>
    <n v="3885540601"/>
    <x v="0"/>
    <x v="1"/>
    <s v="AccuWeather"/>
    <s v="Very likely"/>
    <n v="4"/>
    <x v="1"/>
    <n v="1"/>
    <x v="0"/>
    <x v="6"/>
    <n v="1"/>
    <x v="0"/>
    <x v="2"/>
  </r>
  <r>
    <n v="67"/>
    <n v="3885539632"/>
    <x v="0"/>
    <x v="2"/>
    <s v="No answer provided"/>
    <s v="Very unlikely"/>
    <n v="1"/>
    <x v="1"/>
    <n v="1"/>
    <x v="0"/>
    <x v="7"/>
    <n v="2"/>
    <x v="6"/>
    <x v="0"/>
  </r>
  <r>
    <n v="68"/>
    <n v="3885525146"/>
    <x v="0"/>
    <x v="0"/>
    <s v="No answer provided"/>
    <s v="Very likely"/>
    <n v="4"/>
    <x v="1"/>
    <n v="1"/>
    <x v="0"/>
    <x v="9"/>
    <n v="10"/>
    <x v="4"/>
    <x v="0"/>
  </r>
  <r>
    <n v="69"/>
    <n v="3885512170"/>
    <x v="0"/>
    <x v="8"/>
    <s v="No answer provided"/>
    <s v="Somewhat unlikely"/>
    <n v="2"/>
    <x v="0"/>
    <n v="2"/>
    <x v="0"/>
    <x v="4"/>
    <n v="3"/>
    <x v="4"/>
    <x v="0"/>
  </r>
  <r>
    <n v="70"/>
    <n v="3885497220"/>
    <x v="0"/>
    <x v="1"/>
    <s v="Apple weater"/>
    <s v="Somewhat likely"/>
    <n v="3"/>
    <x v="1"/>
    <n v="1"/>
    <x v="0"/>
    <x v="7"/>
    <n v="2"/>
    <x v="4"/>
    <x v="1"/>
  </r>
  <r>
    <n v="71"/>
    <n v="3885496201"/>
    <x v="0"/>
    <x v="7"/>
    <s v="No answer provided"/>
    <s v="Very unlikely"/>
    <n v="1"/>
    <x v="0"/>
    <n v="2"/>
    <x v="0"/>
    <x v="6"/>
    <n v="1"/>
    <x v="1"/>
    <x v="0"/>
  </r>
  <r>
    <n v="72"/>
    <n v="3885404319"/>
    <x v="0"/>
    <x v="0"/>
    <s v="No answer provided"/>
    <s v="Very likely"/>
    <n v="4"/>
    <x v="0"/>
    <n v="2"/>
    <x v="0"/>
    <x v="4"/>
    <n v="3"/>
    <x v="3"/>
    <x v="0"/>
  </r>
  <r>
    <n v="73"/>
    <n v="3885304775"/>
    <x v="0"/>
    <x v="0"/>
    <s v="No answer provided"/>
    <s v="Very likely"/>
    <n v="4"/>
    <x v="0"/>
    <n v="2"/>
    <x v="0"/>
    <x v="0"/>
    <n v="4"/>
    <x v="2"/>
    <x v="0"/>
  </r>
  <r>
    <n v="74"/>
    <n v="3885296722"/>
    <x v="0"/>
    <x v="1"/>
    <s v="The Weather Channel app"/>
    <s v="Very likely"/>
    <n v="4"/>
    <x v="0"/>
    <n v="2"/>
    <x v="0"/>
    <x v="7"/>
    <n v="2"/>
    <x v="2"/>
    <x v="4"/>
  </r>
  <r>
    <n v="75"/>
    <n v="3885275206"/>
    <x v="0"/>
    <x v="3"/>
    <s v="No answer provided"/>
    <s v="No answer provided"/>
    <s v="na"/>
    <x v="2"/>
    <s v="na"/>
    <x v="1"/>
    <x v="5"/>
    <s v="na"/>
    <x v="1"/>
    <x v="0"/>
  </r>
  <r>
    <n v="76"/>
    <n v="3885247252"/>
    <x v="1"/>
    <x v="5"/>
    <s v="No answer provided"/>
    <s v="Somewhat likely"/>
    <n v="3"/>
    <x v="0"/>
    <n v="2"/>
    <x v="0"/>
    <x v="3"/>
    <n v="8"/>
    <x v="6"/>
    <x v="0"/>
  </r>
  <r>
    <n v="77"/>
    <n v="3885195077"/>
    <x v="0"/>
    <x v="1"/>
    <s v="google &quot;weather&quot;"/>
    <s v="Very likely"/>
    <n v="4"/>
    <x v="1"/>
    <n v="1"/>
    <x v="0"/>
    <x v="6"/>
    <n v="1"/>
    <x v="0"/>
    <x v="7"/>
  </r>
  <r>
    <n v="78"/>
    <n v="3885174420"/>
    <x v="0"/>
    <x v="4"/>
    <s v="No answer provided"/>
    <s v="Somewhat likely"/>
    <n v="3"/>
    <x v="4"/>
    <n v="4"/>
    <x v="0"/>
    <x v="10"/>
    <n v="9"/>
    <x v="6"/>
    <x v="0"/>
  </r>
  <r>
    <n v="79"/>
    <n v="3885164782"/>
    <x v="0"/>
    <x v="0"/>
    <s v="No answer provided"/>
    <s v="Very likely"/>
    <n v="4"/>
    <x v="0"/>
    <n v="2"/>
    <x v="0"/>
    <x v="11"/>
    <n v="7"/>
    <x v="2"/>
    <x v="0"/>
  </r>
  <r>
    <n v="80"/>
    <n v="3885139533"/>
    <x v="0"/>
    <x v="0"/>
    <s v="No answer provided"/>
    <s v="Very likely"/>
    <n v="4"/>
    <x v="0"/>
    <n v="2"/>
    <x v="0"/>
    <x v="9"/>
    <n v="10"/>
    <x v="8"/>
    <x v="0"/>
  </r>
  <r>
    <n v="81"/>
    <n v="3885123066"/>
    <x v="0"/>
    <x v="2"/>
    <s v="No answer provided"/>
    <s v="Very unlikely"/>
    <n v="1"/>
    <x v="1"/>
    <n v="1"/>
    <x v="0"/>
    <x v="1"/>
    <n v="11"/>
    <x v="8"/>
    <x v="0"/>
  </r>
  <r>
    <n v="82"/>
    <n v="3885040099"/>
    <x v="0"/>
    <x v="1"/>
    <s v="Weather Underground"/>
    <s v="Somewhat likely"/>
    <n v="3"/>
    <x v="0"/>
    <n v="2"/>
    <x v="0"/>
    <x v="2"/>
    <n v="6"/>
    <x v="5"/>
    <x v="8"/>
  </r>
  <r>
    <n v="83"/>
    <n v="3885026185"/>
    <x v="1"/>
    <x v="0"/>
    <s v="No answer provided"/>
    <s v="Somewhat likely"/>
    <n v="3"/>
    <x v="0"/>
    <n v="2"/>
    <x v="0"/>
    <x v="8"/>
    <n v="5"/>
    <x v="4"/>
    <x v="0"/>
  </r>
  <r>
    <n v="84"/>
    <n v="3884998535"/>
    <x v="0"/>
    <x v="1"/>
    <s v="Weather Timeline (android)"/>
    <s v="Very unlikely"/>
    <n v="1"/>
    <x v="0"/>
    <n v="2"/>
    <x v="0"/>
    <x v="11"/>
    <n v="7"/>
    <x v="4"/>
    <x v="3"/>
  </r>
  <r>
    <n v="85"/>
    <n v="3884960044"/>
    <x v="0"/>
    <x v="0"/>
    <s v="No answer provided"/>
    <s v="Somewhat likely"/>
    <n v="3"/>
    <x v="1"/>
    <n v="1"/>
    <x v="0"/>
    <x v="2"/>
    <n v="6"/>
    <x v="0"/>
    <x v="0"/>
  </r>
  <r>
    <n v="86"/>
    <n v="3884902653"/>
    <x v="1"/>
    <x v="0"/>
    <s v="No answer provided"/>
    <s v="Very likely"/>
    <n v="4"/>
    <x v="1"/>
    <n v="1"/>
    <x v="0"/>
    <x v="4"/>
    <n v="3"/>
    <x v="7"/>
    <x v="0"/>
  </r>
  <r>
    <n v="87"/>
    <n v="3884859930"/>
    <x v="0"/>
    <x v="5"/>
    <s v="No answer provided"/>
    <s v="Somewhat unlikely"/>
    <n v="2"/>
    <x v="0"/>
    <n v="2"/>
    <x v="0"/>
    <x v="7"/>
    <n v="2"/>
    <x v="3"/>
    <x v="0"/>
  </r>
  <r>
    <n v="88"/>
    <n v="3884813859"/>
    <x v="1"/>
    <x v="4"/>
    <s v="No answer provided"/>
    <s v="Very unlikely"/>
    <n v="1"/>
    <x v="1"/>
    <n v="1"/>
    <x v="0"/>
    <x v="6"/>
    <n v="1"/>
    <x v="4"/>
    <x v="0"/>
  </r>
  <r>
    <n v="89"/>
    <n v="3884790873"/>
    <x v="0"/>
    <x v="0"/>
    <s v="No answer provided"/>
    <s v="Very likely"/>
    <n v="4"/>
    <x v="1"/>
    <n v="1"/>
    <x v="0"/>
    <x v="6"/>
    <n v="1"/>
    <x v="5"/>
    <x v="0"/>
  </r>
  <r>
    <n v="90"/>
    <n v="3884694722"/>
    <x v="0"/>
    <x v="2"/>
    <s v="No answer provided"/>
    <s v="Very likely"/>
    <n v="4"/>
    <x v="1"/>
    <n v="1"/>
    <x v="0"/>
    <x v="2"/>
    <n v="6"/>
    <x v="8"/>
    <x v="0"/>
  </r>
  <r>
    <n v="91"/>
    <n v="3884500697"/>
    <x v="0"/>
    <x v="2"/>
    <s v="No answer provided"/>
    <s v="Very unlikely"/>
    <n v="1"/>
    <x v="1"/>
    <n v="1"/>
    <x v="0"/>
    <x v="4"/>
    <n v="3"/>
    <x v="0"/>
    <x v="0"/>
  </r>
  <r>
    <n v="92"/>
    <n v="3883994422"/>
    <x v="0"/>
    <x v="7"/>
    <s v="No answer provided"/>
    <s v="Very likely"/>
    <n v="4"/>
    <x v="1"/>
    <n v="1"/>
    <x v="0"/>
    <x v="6"/>
    <n v="1"/>
    <x v="9"/>
    <x v="0"/>
  </r>
  <r>
    <n v="93"/>
    <n v="3883947693"/>
    <x v="1"/>
    <x v="4"/>
    <s v="No answer provided"/>
    <s v="Somewhat likely"/>
    <n v="3"/>
    <x v="1"/>
    <n v="1"/>
    <x v="0"/>
    <x v="1"/>
    <n v="11"/>
    <x v="4"/>
    <x v="0"/>
  </r>
  <r>
    <n v="94"/>
    <n v="3883852529"/>
    <x v="1"/>
    <x v="7"/>
    <s v="No answer provided"/>
    <s v="Somewhat unlikely"/>
    <n v="2"/>
    <x v="1"/>
    <n v="1"/>
    <x v="0"/>
    <x v="8"/>
    <n v="5"/>
    <x v="4"/>
    <x v="0"/>
  </r>
  <r>
    <n v="95"/>
    <n v="3883822504"/>
    <x v="0"/>
    <x v="1"/>
    <s v="Weatherbug"/>
    <s v="Somewhat likely"/>
    <n v="3"/>
    <x v="1"/>
    <n v="1"/>
    <x v="0"/>
    <x v="6"/>
    <n v="1"/>
    <x v="3"/>
    <x v="5"/>
  </r>
  <r>
    <n v="96"/>
    <n v="3883792972"/>
    <x v="0"/>
    <x v="2"/>
    <s v="No answer provided"/>
    <s v="Very unlikely"/>
    <n v="1"/>
    <x v="0"/>
    <n v="2"/>
    <x v="0"/>
    <x v="1"/>
    <n v="11"/>
    <x v="3"/>
    <x v="0"/>
  </r>
  <r>
    <n v="97"/>
    <n v="3883744850"/>
    <x v="0"/>
    <x v="0"/>
    <s v="No answer provided"/>
    <s v="Somewhat likely"/>
    <n v="3"/>
    <x v="1"/>
    <n v="1"/>
    <x v="0"/>
    <x v="0"/>
    <n v="4"/>
    <x v="3"/>
    <x v="0"/>
  </r>
  <r>
    <n v="98"/>
    <n v="3883706735"/>
    <x v="1"/>
    <x v="0"/>
    <s v="No answer provided"/>
    <s v="Somewhat unlikely"/>
    <n v="2"/>
    <x v="1"/>
    <n v="1"/>
    <x v="0"/>
    <x v="1"/>
    <n v="11"/>
    <x v="4"/>
    <x v="0"/>
  </r>
  <r>
    <n v="99"/>
    <n v="3883706220"/>
    <x v="0"/>
    <x v="4"/>
    <s v="No answer provided"/>
    <s v="Somewhat likely"/>
    <n v="3"/>
    <x v="1"/>
    <n v="1"/>
    <x v="0"/>
    <x v="1"/>
    <n v="11"/>
    <x v="8"/>
    <x v="0"/>
  </r>
  <r>
    <n v="100"/>
    <n v="3883591931"/>
    <x v="0"/>
    <x v="1"/>
    <s v="1 weather"/>
    <s v="Very likely"/>
    <n v="4"/>
    <x v="0"/>
    <n v="2"/>
    <x v="0"/>
    <x v="3"/>
    <n v="8"/>
    <x v="0"/>
    <x v="3"/>
  </r>
  <r>
    <n v="101"/>
    <n v="3883449927"/>
    <x v="1"/>
    <x v="5"/>
    <s v="No answer provided"/>
    <s v="Very unlikely"/>
    <n v="1"/>
    <x v="1"/>
    <n v="1"/>
    <x v="0"/>
    <x v="6"/>
    <n v="1"/>
    <x v="4"/>
    <x v="0"/>
  </r>
  <r>
    <n v="102"/>
    <n v="3883423513"/>
    <x v="1"/>
    <x v="4"/>
    <s v="No answer provided"/>
    <s v="Somewhat likely"/>
    <n v="3"/>
    <x v="1"/>
    <n v="1"/>
    <x v="0"/>
    <x v="7"/>
    <n v="2"/>
    <x v="7"/>
    <x v="0"/>
  </r>
  <r>
    <n v="103"/>
    <n v="3883400954"/>
    <x v="0"/>
    <x v="0"/>
    <s v="No answer provided"/>
    <s v="Very likely"/>
    <n v="4"/>
    <x v="0"/>
    <n v="2"/>
    <x v="0"/>
    <x v="9"/>
    <n v="10"/>
    <x v="0"/>
    <x v="0"/>
  </r>
  <r>
    <n v="104"/>
    <n v="3883396110"/>
    <x v="1"/>
    <x v="8"/>
    <s v="No answer provided"/>
    <s v="Somewhat likely"/>
    <n v="3"/>
    <x v="1"/>
    <n v="1"/>
    <x v="0"/>
    <x v="0"/>
    <n v="4"/>
    <x v="1"/>
    <x v="0"/>
  </r>
  <r>
    <n v="105"/>
    <n v="3883373140"/>
    <x v="0"/>
    <x v="5"/>
    <s v="No answer provided"/>
    <s v="Somewhat likely"/>
    <n v="3"/>
    <x v="0"/>
    <n v="2"/>
    <x v="0"/>
    <x v="7"/>
    <n v="2"/>
    <x v="8"/>
    <x v="0"/>
  </r>
  <r>
    <n v="106"/>
    <n v="3883347727"/>
    <x v="0"/>
    <x v="0"/>
    <s v="No answer provided"/>
    <s v="Somewhat unlikely"/>
    <n v="2"/>
    <x v="0"/>
    <n v="2"/>
    <x v="0"/>
    <x v="2"/>
    <n v="6"/>
    <x v="8"/>
    <x v="0"/>
  </r>
  <r>
    <n v="107"/>
    <n v="3883237358"/>
    <x v="1"/>
    <x v="2"/>
    <s v="No answer provided"/>
    <s v="Very unlikely"/>
    <n v="1"/>
    <x v="1"/>
    <n v="1"/>
    <x v="0"/>
    <x v="0"/>
    <n v="4"/>
    <x v="2"/>
    <x v="0"/>
  </r>
  <r>
    <n v="108"/>
    <n v="3883013307"/>
    <x v="0"/>
    <x v="0"/>
    <s v="No answer provided"/>
    <s v="Somewhat likely"/>
    <n v="3"/>
    <x v="1"/>
    <n v="1"/>
    <x v="0"/>
    <x v="7"/>
    <n v="2"/>
    <x v="0"/>
    <x v="0"/>
  </r>
  <r>
    <n v="109"/>
    <n v="3882981067"/>
    <x v="1"/>
    <x v="0"/>
    <s v="No answer provided"/>
    <s v="Somewhat likely"/>
    <n v="3"/>
    <x v="0"/>
    <n v="2"/>
    <x v="0"/>
    <x v="0"/>
    <n v="4"/>
    <x v="4"/>
    <x v="0"/>
  </r>
  <r>
    <n v="110"/>
    <n v="3882953969"/>
    <x v="0"/>
    <x v="0"/>
    <s v="No answer provided"/>
    <s v="Very unlikely"/>
    <n v="1"/>
    <x v="0"/>
    <n v="2"/>
    <x v="0"/>
    <x v="8"/>
    <n v="5"/>
    <x v="7"/>
    <x v="0"/>
  </r>
  <r>
    <n v="111"/>
    <n v="3882828486"/>
    <x v="0"/>
    <x v="4"/>
    <s v="No answer provided"/>
    <s v="Very unlikely"/>
    <n v="1"/>
    <x v="0"/>
    <n v="2"/>
    <x v="0"/>
    <x v="0"/>
    <n v="4"/>
    <x v="3"/>
    <x v="0"/>
  </r>
  <r>
    <n v="112"/>
    <n v="3882734383"/>
    <x v="0"/>
    <x v="1"/>
    <s v="weather channel app"/>
    <s v="Very likely"/>
    <n v="4"/>
    <x v="0"/>
    <n v="2"/>
    <x v="0"/>
    <x v="0"/>
    <n v="4"/>
    <x v="6"/>
    <x v="4"/>
  </r>
  <r>
    <n v="113"/>
    <n v="3882036173"/>
    <x v="0"/>
    <x v="4"/>
    <s v="No answer provided"/>
    <s v="Very likely"/>
    <n v="4"/>
    <x v="0"/>
    <n v="2"/>
    <x v="0"/>
    <x v="2"/>
    <n v="6"/>
    <x v="4"/>
    <x v="0"/>
  </r>
  <r>
    <n v="114"/>
    <n v="3882027944"/>
    <x v="0"/>
    <x v="1"/>
    <s v="Weather Underground, also local tv news half the time."/>
    <s v="Somewhat likely"/>
    <n v="3"/>
    <x v="0"/>
    <n v="2"/>
    <x v="0"/>
    <x v="7"/>
    <n v="2"/>
    <x v="5"/>
    <x v="8"/>
  </r>
  <r>
    <n v="115"/>
    <n v="3882024847"/>
    <x v="0"/>
    <x v="4"/>
    <s v="No answer provided"/>
    <s v="Very likely"/>
    <n v="4"/>
    <x v="3"/>
    <n v="3"/>
    <x v="0"/>
    <x v="11"/>
    <n v="7"/>
    <x v="7"/>
    <x v="0"/>
  </r>
  <r>
    <n v="116"/>
    <n v="3881999864"/>
    <x v="0"/>
    <x v="1"/>
    <s v="weatherbug app"/>
    <s v="Very likely"/>
    <n v="4"/>
    <x v="3"/>
    <n v="3"/>
    <x v="0"/>
    <x v="8"/>
    <n v="5"/>
    <x v="0"/>
    <x v="5"/>
  </r>
  <r>
    <n v="117"/>
    <n v="3881965206"/>
    <x v="1"/>
    <x v="4"/>
    <s v="No answer provided"/>
    <s v="Somewhat likely"/>
    <n v="3"/>
    <x v="1"/>
    <n v="1"/>
    <x v="0"/>
    <x v="8"/>
    <n v="5"/>
    <x v="0"/>
    <x v="0"/>
  </r>
  <r>
    <n v="118"/>
    <n v="3881590664"/>
    <x v="0"/>
    <x v="1"/>
    <s v="weather bug"/>
    <s v="Very unlikely"/>
    <n v="1"/>
    <x v="0"/>
    <n v="2"/>
    <x v="0"/>
    <x v="8"/>
    <n v="5"/>
    <x v="6"/>
    <x v="5"/>
  </r>
  <r>
    <n v="119"/>
    <n v="3881586024"/>
    <x v="0"/>
    <x v="4"/>
    <s v="No answer provided"/>
    <s v="Very unlikely"/>
    <n v="1"/>
    <x v="3"/>
    <n v="3"/>
    <x v="0"/>
    <x v="3"/>
    <n v="8"/>
    <x v="0"/>
    <x v="0"/>
  </r>
  <r>
    <n v="120"/>
    <n v="3881268852"/>
    <x v="0"/>
    <x v="4"/>
    <s v="No answer provided"/>
    <s v="Somewhat likely"/>
    <n v="3"/>
    <x v="1"/>
    <n v="1"/>
    <x v="0"/>
    <x v="1"/>
    <n v="11"/>
    <x v="1"/>
    <x v="0"/>
  </r>
  <r>
    <n v="121"/>
    <n v="3881207655"/>
    <x v="0"/>
    <x v="0"/>
    <s v="No answer provided"/>
    <s v="Somewhat likely"/>
    <n v="3"/>
    <x v="3"/>
    <n v="3"/>
    <x v="0"/>
    <x v="4"/>
    <n v="3"/>
    <x v="4"/>
    <x v="0"/>
  </r>
  <r>
    <n v="122"/>
    <n v="3881152975"/>
    <x v="1"/>
    <x v="1"/>
    <s v="The Weather Channel app"/>
    <s v="Somewhat likely"/>
    <n v="3"/>
    <x v="3"/>
    <n v="3"/>
    <x v="0"/>
    <x v="9"/>
    <n v="10"/>
    <x v="4"/>
    <x v="4"/>
  </r>
  <r>
    <n v="123"/>
    <n v="3881043805"/>
    <x v="0"/>
    <x v="2"/>
    <s v="No answer provided"/>
    <s v="Somewhat likely"/>
    <n v="3"/>
    <x v="3"/>
    <n v="3"/>
    <x v="0"/>
    <x v="4"/>
    <n v="3"/>
    <x v="0"/>
    <x v="0"/>
  </r>
  <r>
    <n v="124"/>
    <n v="3880998411"/>
    <x v="0"/>
    <x v="0"/>
    <s v="No answer provided"/>
    <s v="Very likely"/>
    <n v="4"/>
    <x v="3"/>
    <n v="3"/>
    <x v="0"/>
    <x v="0"/>
    <n v="4"/>
    <x v="2"/>
    <x v="0"/>
  </r>
  <r>
    <n v="125"/>
    <n v="3880901650"/>
    <x v="0"/>
    <x v="4"/>
    <s v="No answer provided"/>
    <s v="Very unlikely"/>
    <n v="1"/>
    <x v="3"/>
    <n v="3"/>
    <x v="0"/>
    <x v="8"/>
    <n v="5"/>
    <x v="0"/>
    <x v="0"/>
  </r>
  <r>
    <n v="126"/>
    <n v="3880901309"/>
    <x v="0"/>
    <x v="2"/>
    <s v="No answer provided"/>
    <s v="Very unlikely"/>
    <n v="1"/>
    <x v="3"/>
    <n v="3"/>
    <x v="0"/>
    <x v="7"/>
    <n v="2"/>
    <x v="7"/>
    <x v="0"/>
  </r>
  <r>
    <n v="127"/>
    <n v="3880839674"/>
    <x v="0"/>
    <x v="4"/>
    <s v="No answer provided"/>
    <s v="Somewhat likely"/>
    <n v="3"/>
    <x v="3"/>
    <n v="3"/>
    <x v="0"/>
    <x v="9"/>
    <n v="10"/>
    <x v="4"/>
    <x v="0"/>
  </r>
  <r>
    <n v="128"/>
    <n v="3880831944"/>
    <x v="0"/>
    <x v="0"/>
    <s v="No answer provided"/>
    <s v="Very unlikely"/>
    <n v="1"/>
    <x v="3"/>
    <n v="3"/>
    <x v="0"/>
    <x v="4"/>
    <n v="3"/>
    <x v="6"/>
    <x v="0"/>
  </r>
  <r>
    <n v="129"/>
    <n v="3880760866"/>
    <x v="0"/>
    <x v="6"/>
    <s v="No answer provided"/>
    <s v="Very likely"/>
    <n v="4"/>
    <x v="3"/>
    <n v="3"/>
    <x v="0"/>
    <x v="6"/>
    <n v="1"/>
    <x v="0"/>
    <x v="0"/>
  </r>
  <r>
    <n v="130"/>
    <n v="3880684514"/>
    <x v="0"/>
    <x v="2"/>
    <s v="No answer provided"/>
    <s v="Very likely"/>
    <n v="4"/>
    <x v="3"/>
    <n v="3"/>
    <x v="0"/>
    <x v="4"/>
    <n v="3"/>
    <x v="2"/>
    <x v="0"/>
  </r>
  <r>
    <n v="131"/>
    <n v="3880658899"/>
    <x v="0"/>
    <x v="1"/>
    <s v="FancyClock app on my phone and accuweather.com"/>
    <s v="Very likely"/>
    <n v="4"/>
    <x v="3"/>
    <n v="3"/>
    <x v="0"/>
    <x v="11"/>
    <n v="7"/>
    <x v="7"/>
    <x v="9"/>
  </r>
  <r>
    <n v="132"/>
    <n v="3880648847"/>
    <x v="0"/>
    <x v="5"/>
    <s v="No answer provided"/>
    <s v="Very unlikely"/>
    <n v="1"/>
    <x v="3"/>
    <n v="3"/>
    <x v="0"/>
    <x v="6"/>
    <n v="1"/>
    <x v="6"/>
    <x v="0"/>
  </r>
  <r>
    <n v="133"/>
    <n v="3880644828"/>
    <x v="0"/>
    <x v="7"/>
    <s v="No answer provided"/>
    <s v="Somewhat likely"/>
    <n v="3"/>
    <x v="1"/>
    <n v="1"/>
    <x v="0"/>
    <x v="1"/>
    <n v="11"/>
    <x v="4"/>
    <x v="0"/>
  </r>
  <r>
    <n v="134"/>
    <n v="3880589507"/>
    <x v="0"/>
    <x v="1"/>
    <s v="GOES West Satalite"/>
    <s v="Very unlikely"/>
    <n v="1"/>
    <x v="3"/>
    <n v="3"/>
    <x v="0"/>
    <x v="8"/>
    <n v="5"/>
    <x v="4"/>
    <x v="10"/>
  </r>
  <r>
    <n v="135"/>
    <n v="3880580324"/>
    <x v="0"/>
    <x v="1"/>
    <s v="Intellicast / Storm"/>
    <s v="Very likely"/>
    <n v="4"/>
    <x v="3"/>
    <n v="3"/>
    <x v="0"/>
    <x v="3"/>
    <n v="8"/>
    <x v="0"/>
    <x v="11"/>
  </r>
  <r>
    <n v="136"/>
    <n v="3880574320"/>
    <x v="0"/>
    <x v="5"/>
    <s v="No answer provided"/>
    <s v="Somewhat likely"/>
    <n v="3"/>
    <x v="3"/>
    <n v="3"/>
    <x v="0"/>
    <x v="8"/>
    <n v="5"/>
    <x v="0"/>
    <x v="0"/>
  </r>
  <r>
    <n v="137"/>
    <n v="3880465916"/>
    <x v="1"/>
    <x v="4"/>
    <s v="No answer provided"/>
    <s v="Somewhat unlikely"/>
    <n v="2"/>
    <x v="0"/>
    <n v="2"/>
    <x v="0"/>
    <x v="6"/>
    <n v="1"/>
    <x v="5"/>
    <x v="0"/>
  </r>
  <r>
    <n v="138"/>
    <n v="3880464921"/>
    <x v="1"/>
    <x v="2"/>
    <s v="No answer provided"/>
    <s v="Somewhat likely"/>
    <n v="3"/>
    <x v="0"/>
    <n v="2"/>
    <x v="0"/>
    <x v="8"/>
    <n v="5"/>
    <x v="0"/>
    <x v="0"/>
  </r>
  <r>
    <n v="139"/>
    <n v="3880459984"/>
    <x v="0"/>
    <x v="0"/>
    <s v="No answer provided"/>
    <s v="Somewhat likely"/>
    <n v="3"/>
    <x v="3"/>
    <n v="3"/>
    <x v="0"/>
    <x v="0"/>
    <n v="4"/>
    <x v="3"/>
    <x v="0"/>
  </r>
  <r>
    <n v="140"/>
    <n v="3880448211"/>
    <x v="0"/>
    <x v="0"/>
    <s v="No answer provided"/>
    <s v="Very likely"/>
    <n v="4"/>
    <x v="3"/>
    <n v="3"/>
    <x v="0"/>
    <x v="10"/>
    <n v="9"/>
    <x v="2"/>
    <x v="0"/>
  </r>
  <r>
    <n v="141"/>
    <n v="3880441785"/>
    <x v="0"/>
    <x v="1"/>
    <s v="ipod weather "/>
    <s v="Very likely"/>
    <n v="4"/>
    <x v="3"/>
    <n v="3"/>
    <x v="0"/>
    <x v="0"/>
    <n v="4"/>
    <x v="0"/>
    <x v="1"/>
  </r>
  <r>
    <n v="142"/>
    <n v="3880438117"/>
    <x v="0"/>
    <x v="1"/>
    <s v="Weatherbug"/>
    <s v="Somewhat unlikely"/>
    <n v="2"/>
    <x v="3"/>
    <n v="3"/>
    <x v="0"/>
    <x v="2"/>
    <n v="6"/>
    <x v="6"/>
    <x v="5"/>
  </r>
  <r>
    <n v="143"/>
    <n v="3880436782"/>
    <x v="0"/>
    <x v="6"/>
    <s v="No answer provided"/>
    <s v="Very unlikely"/>
    <n v="1"/>
    <x v="3"/>
    <n v="3"/>
    <x v="0"/>
    <x v="9"/>
    <n v="10"/>
    <x v="0"/>
    <x v="0"/>
  </r>
  <r>
    <n v="144"/>
    <n v="3880427365"/>
    <x v="0"/>
    <x v="1"/>
    <s v="weatherbug.com"/>
    <s v="Very unlikely"/>
    <n v="1"/>
    <x v="3"/>
    <n v="3"/>
    <x v="0"/>
    <x v="9"/>
    <n v="10"/>
    <x v="8"/>
    <x v="5"/>
  </r>
  <r>
    <n v="145"/>
    <n v="3880377127"/>
    <x v="1"/>
    <x v="4"/>
    <s v="No answer provided"/>
    <s v="Somewhat likely"/>
    <n v="3"/>
    <x v="3"/>
    <n v="3"/>
    <x v="0"/>
    <x v="11"/>
    <n v="7"/>
    <x v="4"/>
    <x v="0"/>
  </r>
  <r>
    <n v="146"/>
    <n v="3880323654"/>
    <x v="0"/>
    <x v="5"/>
    <s v="No answer provided"/>
    <s v="Very unlikely"/>
    <n v="1"/>
    <x v="3"/>
    <n v="3"/>
    <x v="0"/>
    <x v="11"/>
    <n v="7"/>
    <x v="3"/>
    <x v="0"/>
  </r>
  <r>
    <n v="147"/>
    <n v="3880319089"/>
    <x v="1"/>
    <x v="1"/>
    <s v="iphone weather app"/>
    <s v="Somewhat likely"/>
    <n v="3"/>
    <x v="1"/>
    <n v="1"/>
    <x v="0"/>
    <x v="0"/>
    <n v="4"/>
    <x v="0"/>
    <x v="1"/>
  </r>
  <r>
    <n v="148"/>
    <n v="3880303554"/>
    <x v="0"/>
    <x v="1"/>
    <s v="weather bug"/>
    <s v="Very likely"/>
    <n v="4"/>
    <x v="3"/>
    <n v="3"/>
    <x v="0"/>
    <x v="3"/>
    <n v="8"/>
    <x v="6"/>
    <x v="5"/>
  </r>
  <r>
    <n v="149"/>
    <n v="3880299725"/>
    <x v="0"/>
    <x v="1"/>
    <s v="AccuWeather"/>
    <s v="Somewhat unlikely"/>
    <n v="2"/>
    <x v="3"/>
    <n v="3"/>
    <x v="0"/>
    <x v="0"/>
    <n v="4"/>
    <x v="6"/>
    <x v="2"/>
  </r>
  <r>
    <n v="150"/>
    <n v="3880256330"/>
    <x v="0"/>
    <x v="0"/>
    <s v="No answer provided"/>
    <s v="Somewhat likely"/>
    <n v="3"/>
    <x v="3"/>
    <n v="3"/>
    <x v="0"/>
    <x v="2"/>
    <n v="6"/>
    <x v="4"/>
    <x v="0"/>
  </r>
  <r>
    <n v="151"/>
    <n v="3880230736"/>
    <x v="0"/>
    <x v="2"/>
    <s v="No answer provided"/>
    <s v="Very unlikely"/>
    <n v="1"/>
    <x v="3"/>
    <n v="3"/>
    <x v="0"/>
    <x v="3"/>
    <n v="8"/>
    <x v="0"/>
    <x v="0"/>
  </r>
  <r>
    <n v="152"/>
    <n v="3880219305"/>
    <x v="1"/>
    <x v="4"/>
    <s v="No answer provided"/>
    <s v="Somewhat likely"/>
    <n v="3"/>
    <x v="3"/>
    <n v="3"/>
    <x v="0"/>
    <x v="2"/>
    <n v="6"/>
    <x v="4"/>
    <x v="0"/>
  </r>
  <r>
    <n v="153"/>
    <n v="3880210450"/>
    <x v="0"/>
    <x v="2"/>
    <s v="No answer provided"/>
    <s v="Very likely"/>
    <n v="4"/>
    <x v="3"/>
    <n v="3"/>
    <x v="0"/>
    <x v="2"/>
    <n v="6"/>
    <x v="4"/>
    <x v="0"/>
  </r>
  <r>
    <n v="154"/>
    <n v="3880208319"/>
    <x v="0"/>
    <x v="4"/>
    <s v="No answer provided"/>
    <s v="Somewhat likely"/>
    <n v="3"/>
    <x v="0"/>
    <n v="2"/>
    <x v="0"/>
    <x v="2"/>
    <n v="6"/>
    <x v="3"/>
    <x v="0"/>
  </r>
  <r>
    <n v="155"/>
    <n v="3880187634"/>
    <x v="0"/>
    <x v="4"/>
    <s v="No answer provided"/>
    <s v="Very unlikely"/>
    <n v="1"/>
    <x v="3"/>
    <n v="3"/>
    <x v="0"/>
    <x v="7"/>
    <n v="2"/>
    <x v="4"/>
    <x v="0"/>
  </r>
  <r>
    <n v="156"/>
    <n v="3880162442"/>
    <x v="0"/>
    <x v="0"/>
    <s v="No answer provided"/>
    <s v="Somewhat likely"/>
    <n v="3"/>
    <x v="1"/>
    <n v="1"/>
    <x v="0"/>
    <x v="1"/>
    <n v="11"/>
    <x v="2"/>
    <x v="0"/>
  </r>
  <r>
    <n v="157"/>
    <n v="3880131987"/>
    <x v="0"/>
    <x v="0"/>
    <s v="No answer provided"/>
    <s v="Somewhat likely"/>
    <n v="3"/>
    <x v="3"/>
    <n v="3"/>
    <x v="0"/>
    <x v="3"/>
    <n v="8"/>
    <x v="4"/>
    <x v="0"/>
  </r>
  <r>
    <n v="158"/>
    <n v="3880129691"/>
    <x v="0"/>
    <x v="0"/>
    <s v="No answer provided"/>
    <s v="Very likely"/>
    <n v="4"/>
    <x v="3"/>
    <n v="3"/>
    <x v="0"/>
    <x v="11"/>
    <n v="7"/>
    <x v="0"/>
    <x v="0"/>
  </r>
  <r>
    <n v="159"/>
    <n v="3880099657"/>
    <x v="0"/>
    <x v="5"/>
    <s v="No answer provided"/>
    <s v="Very unlikely"/>
    <n v="1"/>
    <x v="3"/>
    <n v="3"/>
    <x v="0"/>
    <x v="1"/>
    <n v="11"/>
    <x v="7"/>
    <x v="0"/>
  </r>
  <r>
    <n v="160"/>
    <n v="3880086571"/>
    <x v="0"/>
    <x v="0"/>
    <s v="No answer provided"/>
    <s v="Very likely"/>
    <n v="4"/>
    <x v="3"/>
    <n v="3"/>
    <x v="0"/>
    <x v="3"/>
    <n v="8"/>
    <x v="4"/>
    <x v="0"/>
  </r>
  <r>
    <n v="161"/>
    <n v="3880033304"/>
    <x v="0"/>
    <x v="5"/>
    <s v="No answer provided"/>
    <s v="Very likely"/>
    <n v="4"/>
    <x v="1"/>
    <n v="1"/>
    <x v="0"/>
    <x v="6"/>
    <n v="1"/>
    <x v="2"/>
    <x v="0"/>
  </r>
  <r>
    <n v="162"/>
    <n v="3879970050"/>
    <x v="0"/>
    <x v="0"/>
    <s v="No answer provided"/>
    <s v="Very likely"/>
    <n v="4"/>
    <x v="1"/>
    <n v="1"/>
    <x v="2"/>
    <x v="1"/>
    <n v="11"/>
    <x v="0"/>
    <x v="0"/>
  </r>
  <r>
    <n v="163"/>
    <n v="3879946254"/>
    <x v="0"/>
    <x v="2"/>
    <s v="No answer provided"/>
    <s v="Very likely"/>
    <n v="4"/>
    <x v="3"/>
    <n v="3"/>
    <x v="0"/>
    <x v="0"/>
    <n v="4"/>
    <x v="6"/>
    <x v="0"/>
  </r>
  <r>
    <n v="164"/>
    <n v="3879934990"/>
    <x v="1"/>
    <x v="5"/>
    <s v="No answer provided"/>
    <s v="Very unlikely"/>
    <n v="1"/>
    <x v="3"/>
    <n v="3"/>
    <x v="0"/>
    <x v="2"/>
    <n v="6"/>
    <x v="6"/>
    <x v="0"/>
  </r>
  <r>
    <n v="165"/>
    <n v="3879902865"/>
    <x v="0"/>
    <x v="7"/>
    <s v="No answer provided"/>
    <s v="Very unlikely"/>
    <n v="1"/>
    <x v="3"/>
    <n v="3"/>
    <x v="0"/>
    <x v="8"/>
    <n v="5"/>
    <x v="2"/>
    <x v="0"/>
  </r>
  <r>
    <n v="166"/>
    <n v="3879887212"/>
    <x v="0"/>
    <x v="0"/>
    <s v="No answer provided"/>
    <s v="Very likely"/>
    <n v="4"/>
    <x v="3"/>
    <n v="3"/>
    <x v="0"/>
    <x v="10"/>
    <n v="9"/>
    <x v="4"/>
    <x v="0"/>
  </r>
  <r>
    <n v="167"/>
    <n v="3879876964"/>
    <x v="1"/>
    <x v="7"/>
    <s v="No answer provided"/>
    <s v="Somewhat likely"/>
    <n v="3"/>
    <x v="1"/>
    <n v="1"/>
    <x v="0"/>
    <x v="6"/>
    <n v="1"/>
    <x v="0"/>
    <x v="0"/>
  </r>
  <r>
    <n v="168"/>
    <n v="3879874372"/>
    <x v="0"/>
    <x v="5"/>
    <s v="No answer provided"/>
    <s v="Very likely"/>
    <n v="4"/>
    <x v="3"/>
    <n v="3"/>
    <x v="0"/>
    <x v="9"/>
    <n v="10"/>
    <x v="3"/>
    <x v="0"/>
  </r>
  <r>
    <n v="169"/>
    <n v="3879823141"/>
    <x v="0"/>
    <x v="2"/>
    <s v="No answer provided"/>
    <s v="Very unlikely"/>
    <n v="1"/>
    <x v="3"/>
    <n v="3"/>
    <x v="0"/>
    <x v="9"/>
    <n v="10"/>
    <x v="4"/>
    <x v="0"/>
  </r>
  <r>
    <n v="170"/>
    <n v="3879815451"/>
    <x v="1"/>
    <x v="6"/>
    <s v="No answer provided"/>
    <s v="Somewhat likely"/>
    <n v="3"/>
    <x v="3"/>
    <n v="3"/>
    <x v="0"/>
    <x v="8"/>
    <n v="5"/>
    <x v="2"/>
    <x v="0"/>
  </r>
  <r>
    <n v="171"/>
    <n v="3879622928"/>
    <x v="0"/>
    <x v="2"/>
    <s v="No answer provided"/>
    <s v="Very unlikely"/>
    <n v="1"/>
    <x v="1"/>
    <n v="1"/>
    <x v="0"/>
    <x v="2"/>
    <n v="6"/>
    <x v="5"/>
    <x v="0"/>
  </r>
  <r>
    <n v="172"/>
    <n v="3879622165"/>
    <x v="0"/>
    <x v="2"/>
    <s v="No answer provided"/>
    <s v="Somewhat likely"/>
    <n v="3"/>
    <x v="3"/>
    <n v="3"/>
    <x v="0"/>
    <x v="7"/>
    <n v="2"/>
    <x v="2"/>
    <x v="0"/>
  </r>
  <r>
    <n v="173"/>
    <n v="3879618163"/>
    <x v="0"/>
    <x v="1"/>
    <s v="weather channel app"/>
    <s v="Very likely"/>
    <n v="4"/>
    <x v="3"/>
    <n v="3"/>
    <x v="0"/>
    <x v="4"/>
    <n v="3"/>
    <x v="6"/>
    <x v="4"/>
  </r>
  <r>
    <n v="174"/>
    <n v="3879505742"/>
    <x v="1"/>
    <x v="0"/>
    <s v="No answer provided"/>
    <s v="Somewhat likely"/>
    <n v="3"/>
    <x v="3"/>
    <n v="3"/>
    <x v="0"/>
    <x v="2"/>
    <n v="6"/>
    <x v="0"/>
    <x v="0"/>
  </r>
  <r>
    <n v="175"/>
    <n v="3879492127"/>
    <x v="0"/>
    <x v="4"/>
    <s v="No answer provided"/>
    <s v="Somewhat likely"/>
    <n v="3"/>
    <x v="1"/>
    <n v="1"/>
    <x v="0"/>
    <x v="0"/>
    <n v="4"/>
    <x v="9"/>
    <x v="0"/>
  </r>
  <r>
    <n v="176"/>
    <n v="3879466790"/>
    <x v="1"/>
    <x v="8"/>
    <s v="No answer provided"/>
    <s v="Very likely"/>
    <n v="4"/>
    <x v="1"/>
    <n v="1"/>
    <x v="0"/>
    <x v="1"/>
    <n v="11"/>
    <x v="1"/>
    <x v="0"/>
  </r>
  <r>
    <n v="177"/>
    <n v="3879405493"/>
    <x v="1"/>
    <x v="0"/>
    <s v="No answer provided"/>
    <s v="Somewhat likely"/>
    <n v="3"/>
    <x v="3"/>
    <n v="3"/>
    <x v="0"/>
    <x v="11"/>
    <n v="7"/>
    <x v="4"/>
    <x v="0"/>
  </r>
  <r>
    <n v="178"/>
    <n v="3879399705"/>
    <x v="1"/>
    <x v="2"/>
    <s v="No answer provided"/>
    <s v="Somewhat likely"/>
    <n v="3"/>
    <x v="0"/>
    <n v="2"/>
    <x v="0"/>
    <x v="0"/>
    <n v="4"/>
    <x v="7"/>
    <x v="0"/>
  </r>
  <r>
    <n v="179"/>
    <n v="3879387300"/>
    <x v="0"/>
    <x v="0"/>
    <s v="No answer provided"/>
    <s v="Very unlikely"/>
    <n v="1"/>
    <x v="3"/>
    <n v="3"/>
    <x v="0"/>
    <x v="9"/>
    <n v="10"/>
    <x v="8"/>
    <x v="0"/>
  </r>
  <r>
    <n v="180"/>
    <n v="3879361333"/>
    <x v="0"/>
    <x v="1"/>
    <s v="www.wunderground.com"/>
    <s v="Very likely"/>
    <n v="4"/>
    <x v="3"/>
    <n v="3"/>
    <x v="0"/>
    <x v="4"/>
    <n v="3"/>
    <x v="3"/>
    <x v="8"/>
  </r>
  <r>
    <n v="181"/>
    <n v="3879332676"/>
    <x v="0"/>
    <x v="1"/>
    <s v="The Weather Channel"/>
    <s v="Very likely"/>
    <n v="4"/>
    <x v="3"/>
    <n v="3"/>
    <x v="0"/>
    <x v="8"/>
    <n v="5"/>
    <x v="6"/>
    <x v="4"/>
  </r>
  <r>
    <n v="182"/>
    <n v="3879327814"/>
    <x v="0"/>
    <x v="1"/>
    <s v="noaa.gov"/>
    <s v="Somewhat likely"/>
    <n v="3"/>
    <x v="3"/>
    <n v="3"/>
    <x v="0"/>
    <x v="1"/>
    <n v="11"/>
    <x v="8"/>
    <x v="12"/>
  </r>
  <r>
    <n v="183"/>
    <n v="3879326602"/>
    <x v="0"/>
    <x v="0"/>
    <s v="No answer provided"/>
    <s v="Very likely"/>
    <n v="4"/>
    <x v="3"/>
    <n v="3"/>
    <x v="0"/>
    <x v="2"/>
    <n v="6"/>
    <x v="6"/>
    <x v="0"/>
  </r>
  <r>
    <n v="184"/>
    <n v="3879325675"/>
    <x v="1"/>
    <x v="6"/>
    <s v="No answer provided"/>
    <s v="Very unlikely"/>
    <n v="1"/>
    <x v="1"/>
    <n v="1"/>
    <x v="0"/>
    <x v="1"/>
    <n v="11"/>
    <x v="1"/>
    <x v="0"/>
  </r>
  <r>
    <n v="185"/>
    <n v="3879323844"/>
    <x v="0"/>
    <x v="2"/>
    <s v="No answer provided"/>
    <s v="Somewhat likely"/>
    <n v="3"/>
    <x v="3"/>
    <n v="3"/>
    <x v="0"/>
    <x v="4"/>
    <n v="3"/>
    <x v="4"/>
    <x v="0"/>
  </r>
  <r>
    <n v="186"/>
    <n v="3879315853"/>
    <x v="0"/>
    <x v="2"/>
    <s v="No answer provided"/>
    <s v="Somewhat likely"/>
    <n v="3"/>
    <x v="3"/>
    <n v="3"/>
    <x v="0"/>
    <x v="8"/>
    <n v="5"/>
    <x v="5"/>
    <x v="0"/>
  </r>
  <r>
    <n v="187"/>
    <n v="3879274139"/>
    <x v="0"/>
    <x v="5"/>
    <s v="No answer provided"/>
    <s v="Somewhat likely"/>
    <n v="3"/>
    <x v="4"/>
    <n v="4"/>
    <x v="2"/>
    <x v="2"/>
    <n v="6"/>
    <x v="6"/>
    <x v="0"/>
  </r>
  <r>
    <n v="188"/>
    <n v="3879266798"/>
    <x v="0"/>
    <x v="2"/>
    <s v="No answer provided"/>
    <s v="Very likely"/>
    <n v="4"/>
    <x v="4"/>
    <n v="4"/>
    <x v="2"/>
    <x v="8"/>
    <n v="5"/>
    <x v="6"/>
    <x v="0"/>
  </r>
  <r>
    <n v="189"/>
    <n v="3879261981"/>
    <x v="0"/>
    <x v="2"/>
    <s v="No answer provided"/>
    <s v="Very likely"/>
    <n v="4"/>
    <x v="4"/>
    <n v="4"/>
    <x v="2"/>
    <x v="1"/>
    <n v="11"/>
    <x v="0"/>
    <x v="0"/>
  </r>
  <r>
    <n v="190"/>
    <n v="3879258283"/>
    <x v="0"/>
    <x v="4"/>
    <s v="No answer provided"/>
    <s v="Very likely"/>
    <n v="4"/>
    <x v="4"/>
    <n v="4"/>
    <x v="2"/>
    <x v="0"/>
    <n v="4"/>
    <x v="8"/>
    <x v="0"/>
  </r>
  <r>
    <n v="191"/>
    <n v="3879248890"/>
    <x v="0"/>
    <x v="1"/>
    <s v="1weather"/>
    <s v="Very likely"/>
    <n v="4"/>
    <x v="4"/>
    <n v="4"/>
    <x v="2"/>
    <x v="0"/>
    <n v="4"/>
    <x v="5"/>
    <x v="3"/>
  </r>
  <r>
    <n v="192"/>
    <n v="3879245036"/>
    <x v="0"/>
    <x v="1"/>
    <s v="yahoo"/>
    <s v="Very likely"/>
    <n v="4"/>
    <x v="4"/>
    <n v="4"/>
    <x v="2"/>
    <x v="2"/>
    <n v="6"/>
    <x v="4"/>
    <x v="6"/>
  </r>
  <r>
    <n v="193"/>
    <n v="3879210502"/>
    <x v="0"/>
    <x v="4"/>
    <s v="No answer provided"/>
    <s v="Somewhat likely"/>
    <n v="3"/>
    <x v="3"/>
    <n v="3"/>
    <x v="0"/>
    <x v="0"/>
    <n v="4"/>
    <x v="3"/>
    <x v="0"/>
  </r>
  <r>
    <n v="194"/>
    <n v="3879207640"/>
    <x v="0"/>
    <x v="2"/>
    <s v="No answer provided"/>
    <s v="Somewhat likely"/>
    <n v="3"/>
    <x v="3"/>
    <n v="3"/>
    <x v="0"/>
    <x v="4"/>
    <n v="3"/>
    <x v="0"/>
    <x v="0"/>
  </r>
  <r>
    <n v="195"/>
    <n v="3879205854"/>
    <x v="0"/>
    <x v="0"/>
    <s v="No answer provided"/>
    <s v="Very unlikely"/>
    <n v="1"/>
    <x v="1"/>
    <n v="1"/>
    <x v="0"/>
    <x v="2"/>
    <n v="6"/>
    <x v="8"/>
    <x v="0"/>
  </r>
  <r>
    <n v="196"/>
    <n v="3879196296"/>
    <x v="0"/>
    <x v="5"/>
    <s v="No answer provided"/>
    <s v="Very likely"/>
    <n v="4"/>
    <x v="4"/>
    <n v="4"/>
    <x v="2"/>
    <x v="0"/>
    <n v="4"/>
    <x v="0"/>
    <x v="0"/>
  </r>
  <r>
    <n v="197"/>
    <n v="3879194705"/>
    <x v="0"/>
    <x v="0"/>
    <s v="No answer provided"/>
    <s v="Very likely"/>
    <n v="4"/>
    <x v="3"/>
    <n v="3"/>
    <x v="0"/>
    <x v="7"/>
    <n v="2"/>
    <x v="7"/>
    <x v="0"/>
  </r>
  <r>
    <n v="198"/>
    <n v="3879189511"/>
    <x v="0"/>
    <x v="0"/>
    <s v="No answer provided"/>
    <s v="Very likely"/>
    <n v="4"/>
    <x v="0"/>
    <n v="2"/>
    <x v="0"/>
    <x v="2"/>
    <n v="6"/>
    <x v="0"/>
    <x v="0"/>
  </r>
  <r>
    <n v="199"/>
    <n v="3879186514"/>
    <x v="0"/>
    <x v="5"/>
    <s v="No answer provided"/>
    <s v="Very likely"/>
    <n v="4"/>
    <x v="4"/>
    <n v="4"/>
    <x v="2"/>
    <x v="1"/>
    <n v="11"/>
    <x v="3"/>
    <x v="0"/>
  </r>
  <r>
    <n v="200"/>
    <n v="3879159385"/>
    <x v="0"/>
    <x v="0"/>
    <s v="No answer provided"/>
    <s v="Very likely"/>
    <n v="4"/>
    <x v="4"/>
    <n v="4"/>
    <x v="2"/>
    <x v="0"/>
    <n v="4"/>
    <x v="7"/>
    <x v="0"/>
  </r>
  <r>
    <n v="201"/>
    <n v="3879157578"/>
    <x v="1"/>
    <x v="5"/>
    <s v="No answer provided"/>
    <s v="Somewhat likely"/>
    <n v="3"/>
    <x v="0"/>
    <n v="2"/>
    <x v="0"/>
    <x v="4"/>
    <n v="3"/>
    <x v="6"/>
    <x v="0"/>
  </r>
  <r>
    <n v="202"/>
    <n v="3879152338"/>
    <x v="1"/>
    <x v="0"/>
    <s v="No answer provided"/>
    <s v="Somewhat likely"/>
    <n v="3"/>
    <x v="0"/>
    <n v="2"/>
    <x v="0"/>
    <x v="11"/>
    <n v="7"/>
    <x v="0"/>
    <x v="0"/>
  </r>
  <r>
    <n v="203"/>
    <n v="3879139489"/>
    <x v="0"/>
    <x v="8"/>
    <s v="No answer provided"/>
    <s v="Very unlikely"/>
    <n v="1"/>
    <x v="4"/>
    <n v="4"/>
    <x v="2"/>
    <x v="8"/>
    <n v="5"/>
    <x v="3"/>
    <x v="0"/>
  </r>
  <r>
    <n v="204"/>
    <n v="3879106766"/>
    <x v="0"/>
    <x v="0"/>
    <s v="No answer provided"/>
    <s v="Very likely"/>
    <n v="4"/>
    <x v="4"/>
    <n v="4"/>
    <x v="0"/>
    <x v="6"/>
    <n v="1"/>
    <x v="2"/>
    <x v="0"/>
  </r>
  <r>
    <n v="205"/>
    <n v="3879102520"/>
    <x v="0"/>
    <x v="5"/>
    <s v="No answer provided"/>
    <s v="Very likely"/>
    <n v="4"/>
    <x v="3"/>
    <n v="3"/>
    <x v="0"/>
    <x v="0"/>
    <n v="4"/>
    <x v="6"/>
    <x v="0"/>
  </r>
  <r>
    <n v="206"/>
    <n v="3879102450"/>
    <x v="0"/>
    <x v="2"/>
    <s v="No answer provided"/>
    <s v="Somewhat likely"/>
    <n v="3"/>
    <x v="4"/>
    <n v="4"/>
    <x v="2"/>
    <x v="8"/>
    <n v="5"/>
    <x v="9"/>
    <x v="0"/>
  </r>
  <r>
    <n v="207"/>
    <n v="3879094933"/>
    <x v="0"/>
    <x v="4"/>
    <s v="No answer provided"/>
    <s v="Very likely"/>
    <n v="4"/>
    <x v="3"/>
    <n v="3"/>
    <x v="0"/>
    <x v="0"/>
    <n v="4"/>
    <x v="6"/>
    <x v="0"/>
  </r>
  <r>
    <n v="208"/>
    <n v="3879090979"/>
    <x v="0"/>
    <x v="0"/>
    <s v="No answer provided"/>
    <s v="Somewhat likely"/>
    <n v="3"/>
    <x v="4"/>
    <n v="4"/>
    <x v="0"/>
    <x v="9"/>
    <n v="10"/>
    <x v="8"/>
    <x v="0"/>
  </r>
  <r>
    <n v="209"/>
    <n v="3879055766"/>
    <x v="0"/>
    <x v="1"/>
    <s v="Weather Bug App"/>
    <s v="Very unlikely"/>
    <n v="1"/>
    <x v="3"/>
    <n v="3"/>
    <x v="0"/>
    <x v="11"/>
    <n v="7"/>
    <x v="2"/>
    <x v="5"/>
  </r>
  <r>
    <n v="210"/>
    <n v="3879048742"/>
    <x v="0"/>
    <x v="0"/>
    <s v="No answer provided"/>
    <s v="Somewhat likely"/>
    <n v="3"/>
    <x v="3"/>
    <n v="3"/>
    <x v="0"/>
    <x v="1"/>
    <n v="11"/>
    <x v="0"/>
    <x v="0"/>
  </r>
  <r>
    <n v="211"/>
    <n v="3879043041"/>
    <x v="0"/>
    <x v="5"/>
    <s v="No answer provided"/>
    <s v="Somewhat unlikely"/>
    <n v="2"/>
    <x v="4"/>
    <n v="4"/>
    <x v="2"/>
    <x v="8"/>
    <n v="5"/>
    <x v="6"/>
    <x v="0"/>
  </r>
  <r>
    <n v="212"/>
    <n v="3879024100"/>
    <x v="0"/>
    <x v="7"/>
    <s v="No answer provided"/>
    <s v="Very likely"/>
    <n v="4"/>
    <x v="4"/>
    <n v="4"/>
    <x v="0"/>
    <x v="2"/>
    <n v="6"/>
    <x v="5"/>
    <x v="0"/>
  </r>
  <r>
    <n v="213"/>
    <n v="3879022427"/>
    <x v="0"/>
    <x v="1"/>
    <s v="Yo Window"/>
    <s v="Very unlikely"/>
    <n v="1"/>
    <x v="4"/>
    <n v="4"/>
    <x v="2"/>
    <x v="4"/>
    <n v="3"/>
    <x v="6"/>
    <x v="3"/>
  </r>
  <r>
    <n v="214"/>
    <n v="3879018623"/>
    <x v="0"/>
    <x v="2"/>
    <s v="No answer provided"/>
    <s v="Somewhat likely"/>
    <n v="3"/>
    <x v="4"/>
    <n v="4"/>
    <x v="2"/>
    <x v="2"/>
    <n v="6"/>
    <x v="2"/>
    <x v="0"/>
  </r>
  <r>
    <n v="215"/>
    <n v="3879014394"/>
    <x v="0"/>
    <x v="1"/>
    <s v="Weather bug"/>
    <s v="Somewhat unlikely"/>
    <n v="2"/>
    <x v="4"/>
    <n v="4"/>
    <x v="0"/>
    <x v="0"/>
    <n v="4"/>
    <x v="2"/>
    <x v="5"/>
  </r>
  <r>
    <n v="216"/>
    <n v="3878997264"/>
    <x v="0"/>
    <x v="1"/>
    <s v="Dark Sky"/>
    <s v="Very likely"/>
    <n v="4"/>
    <x v="4"/>
    <n v="4"/>
    <x v="0"/>
    <x v="9"/>
    <n v="10"/>
    <x v="2"/>
    <x v="13"/>
  </r>
  <r>
    <n v="217"/>
    <n v="3878995654"/>
    <x v="0"/>
    <x v="4"/>
    <s v="No answer provided"/>
    <s v="Very unlikely"/>
    <n v="1"/>
    <x v="3"/>
    <n v="3"/>
    <x v="0"/>
    <x v="10"/>
    <n v="9"/>
    <x v="2"/>
    <x v="0"/>
  </r>
  <r>
    <n v="218"/>
    <n v="3878993313"/>
    <x v="0"/>
    <x v="5"/>
    <s v="No answer provided"/>
    <s v="Very unlikely"/>
    <n v="1"/>
    <x v="4"/>
    <n v="4"/>
    <x v="2"/>
    <x v="2"/>
    <n v="6"/>
    <x v="3"/>
    <x v="0"/>
  </r>
  <r>
    <n v="219"/>
    <n v="3878975679"/>
    <x v="0"/>
    <x v="5"/>
    <s v="No answer provided"/>
    <s v="Somewhat unlikely"/>
    <n v="2"/>
    <x v="4"/>
    <n v="4"/>
    <x v="2"/>
    <x v="7"/>
    <n v="2"/>
    <x v="0"/>
    <x v="0"/>
  </r>
  <r>
    <n v="220"/>
    <n v="3878973380"/>
    <x v="0"/>
    <x v="2"/>
    <s v="No answer provided"/>
    <s v="Very likely"/>
    <n v="4"/>
    <x v="3"/>
    <n v="3"/>
    <x v="0"/>
    <x v="8"/>
    <n v="5"/>
    <x v="9"/>
    <x v="0"/>
  </r>
  <r>
    <n v="221"/>
    <n v="3878972273"/>
    <x v="0"/>
    <x v="0"/>
    <s v="No answer provided"/>
    <s v="Very unlikely"/>
    <n v="1"/>
    <x v="3"/>
    <n v="3"/>
    <x v="0"/>
    <x v="2"/>
    <n v="6"/>
    <x v="2"/>
    <x v="0"/>
  </r>
  <r>
    <n v="222"/>
    <n v="3878971737"/>
    <x v="0"/>
    <x v="2"/>
    <s v="No answer provided"/>
    <s v="Very likely"/>
    <n v="4"/>
    <x v="4"/>
    <n v="4"/>
    <x v="2"/>
    <x v="0"/>
    <n v="4"/>
    <x v="8"/>
    <x v="0"/>
  </r>
  <r>
    <n v="223"/>
    <n v="3878964663"/>
    <x v="0"/>
    <x v="7"/>
    <s v="No answer provided"/>
    <s v="Somewhat unlikely"/>
    <n v="2"/>
    <x v="4"/>
    <n v="4"/>
    <x v="2"/>
    <x v="8"/>
    <n v="5"/>
    <x v="2"/>
    <x v="0"/>
  </r>
  <r>
    <n v="224"/>
    <n v="3878957212"/>
    <x v="1"/>
    <x v="5"/>
    <s v="No answer provided"/>
    <s v="Very unlikely"/>
    <n v="1"/>
    <x v="3"/>
    <n v="3"/>
    <x v="0"/>
    <x v="8"/>
    <n v="5"/>
    <x v="0"/>
    <x v="0"/>
  </r>
  <r>
    <n v="225"/>
    <n v="3878949789"/>
    <x v="0"/>
    <x v="1"/>
    <s v="Weatherbug"/>
    <s v="Somewhat likely"/>
    <n v="3"/>
    <x v="4"/>
    <n v="4"/>
    <x v="0"/>
    <x v="11"/>
    <n v="7"/>
    <x v="2"/>
    <x v="5"/>
  </r>
  <r>
    <n v="226"/>
    <n v="3878945643"/>
    <x v="0"/>
    <x v="5"/>
    <s v="No answer provided"/>
    <s v="Somewhat likely"/>
    <n v="3"/>
    <x v="4"/>
    <n v="4"/>
    <x v="0"/>
    <x v="4"/>
    <n v="3"/>
    <x v="2"/>
    <x v="0"/>
  </r>
  <r>
    <n v="227"/>
    <n v="3878940858"/>
    <x v="0"/>
    <x v="5"/>
    <s v="No answer provided"/>
    <s v="Somewhat unlikely"/>
    <n v="2"/>
    <x v="4"/>
    <n v="4"/>
    <x v="0"/>
    <x v="6"/>
    <n v="1"/>
    <x v="1"/>
    <x v="0"/>
  </r>
  <r>
    <n v="228"/>
    <n v="3878922314"/>
    <x v="0"/>
    <x v="0"/>
    <s v="No answer provided"/>
    <s v="Somewhat unlikely"/>
    <n v="2"/>
    <x v="3"/>
    <n v="3"/>
    <x v="0"/>
    <x v="10"/>
    <n v="9"/>
    <x v="6"/>
    <x v="0"/>
  </r>
  <r>
    <n v="229"/>
    <n v="3878908574"/>
    <x v="0"/>
    <x v="2"/>
    <s v="No answer provided"/>
    <s v="Very likely"/>
    <n v="4"/>
    <x v="3"/>
    <n v="3"/>
    <x v="0"/>
    <x v="10"/>
    <n v="9"/>
    <x v="5"/>
    <x v="0"/>
  </r>
  <r>
    <n v="230"/>
    <n v="3878851367"/>
    <x v="0"/>
    <x v="4"/>
    <s v="No answer provided"/>
    <s v="Very likely"/>
    <n v="4"/>
    <x v="4"/>
    <n v="4"/>
    <x v="2"/>
    <x v="1"/>
    <n v="11"/>
    <x v="6"/>
    <x v="0"/>
  </r>
  <r>
    <n v="231"/>
    <n v="3878801345"/>
    <x v="0"/>
    <x v="5"/>
    <s v="No answer provided"/>
    <s v="Very likely"/>
    <n v="4"/>
    <x v="4"/>
    <n v="4"/>
    <x v="0"/>
    <x v="2"/>
    <n v="6"/>
    <x v="0"/>
    <x v="0"/>
  </r>
  <r>
    <n v="232"/>
    <n v="3878776250"/>
    <x v="0"/>
    <x v="5"/>
    <s v="No answer provided"/>
    <s v="Very unlikely"/>
    <n v="1"/>
    <x v="4"/>
    <n v="4"/>
    <x v="0"/>
    <x v="1"/>
    <n v="11"/>
    <x v="0"/>
    <x v="0"/>
  </r>
  <r>
    <n v="233"/>
    <n v="3878773688"/>
    <x v="0"/>
    <x v="0"/>
    <s v="No answer provided"/>
    <s v="Very likely"/>
    <n v="4"/>
    <x v="3"/>
    <n v="3"/>
    <x v="0"/>
    <x v="0"/>
    <n v="4"/>
    <x v="6"/>
    <x v="0"/>
  </r>
  <r>
    <n v="234"/>
    <n v="3878724412"/>
    <x v="0"/>
    <x v="4"/>
    <s v="No answer provided"/>
    <s v="Very unlikely"/>
    <n v="1"/>
    <x v="3"/>
    <n v="3"/>
    <x v="0"/>
    <x v="2"/>
    <n v="6"/>
    <x v="3"/>
    <x v="0"/>
  </r>
  <r>
    <n v="235"/>
    <n v="3878675581"/>
    <x v="0"/>
    <x v="0"/>
    <s v="No answer provided"/>
    <s v="Very likely"/>
    <n v="4"/>
    <x v="1"/>
    <n v="1"/>
    <x v="0"/>
    <x v="7"/>
    <n v="2"/>
    <x v="2"/>
    <x v="0"/>
  </r>
  <r>
    <n v="236"/>
    <n v="3878672825"/>
    <x v="0"/>
    <x v="1"/>
    <s v="Accuweather"/>
    <s v="Somewhat likely"/>
    <n v="3"/>
    <x v="0"/>
    <n v="2"/>
    <x v="2"/>
    <x v="2"/>
    <n v="6"/>
    <x v="4"/>
    <x v="2"/>
  </r>
  <r>
    <n v="237"/>
    <n v="3878664404"/>
    <x v="0"/>
    <x v="8"/>
    <s v="No answer provided"/>
    <s v="Very likely"/>
    <n v="4"/>
    <x v="4"/>
    <n v="4"/>
    <x v="0"/>
    <x v="0"/>
    <n v="4"/>
    <x v="4"/>
    <x v="0"/>
  </r>
  <r>
    <n v="238"/>
    <n v="3878664002"/>
    <x v="0"/>
    <x v="1"/>
    <s v="aol"/>
    <s v="Somewhat unlikely"/>
    <n v="2"/>
    <x v="4"/>
    <n v="4"/>
    <x v="0"/>
    <x v="4"/>
    <n v="3"/>
    <x v="6"/>
    <x v="14"/>
  </r>
  <r>
    <n v="239"/>
    <n v="3878617605"/>
    <x v="1"/>
    <x v="7"/>
    <s v="No answer provided"/>
    <s v="Very unlikely"/>
    <n v="1"/>
    <x v="3"/>
    <n v="3"/>
    <x v="0"/>
    <x v="1"/>
    <n v="11"/>
    <x v="4"/>
    <x v="0"/>
  </r>
  <r>
    <n v="240"/>
    <n v="3878604937"/>
    <x v="1"/>
    <x v="4"/>
    <s v="No answer provided"/>
    <s v="Somewhat likely"/>
    <n v="3"/>
    <x v="3"/>
    <n v="3"/>
    <x v="0"/>
    <x v="2"/>
    <n v="6"/>
    <x v="2"/>
    <x v="0"/>
  </r>
  <r>
    <n v="241"/>
    <n v="3878604458"/>
    <x v="0"/>
    <x v="5"/>
    <s v="No answer provided"/>
    <s v="Somewhat likely"/>
    <n v="3"/>
    <x v="0"/>
    <n v="2"/>
    <x v="2"/>
    <x v="6"/>
    <n v="1"/>
    <x v="9"/>
    <x v="0"/>
  </r>
  <r>
    <n v="242"/>
    <n v="3878594142"/>
    <x v="1"/>
    <x v="6"/>
    <s v="No answer provided"/>
    <s v="Very unlikely"/>
    <n v="1"/>
    <x v="0"/>
    <n v="2"/>
    <x v="2"/>
    <x v="7"/>
    <n v="2"/>
    <x v="1"/>
    <x v="0"/>
  </r>
  <r>
    <n v="243"/>
    <n v="3878581130"/>
    <x v="0"/>
    <x v="5"/>
    <s v="No answer provided"/>
    <s v="Somewhat likely"/>
    <n v="3"/>
    <x v="4"/>
    <n v="4"/>
    <x v="2"/>
    <x v="8"/>
    <n v="5"/>
    <x v="6"/>
    <x v="0"/>
  </r>
  <r>
    <n v="244"/>
    <n v="3878580386"/>
    <x v="0"/>
    <x v="0"/>
    <s v="No answer provided"/>
    <s v="Somewhat likely"/>
    <n v="3"/>
    <x v="0"/>
    <n v="2"/>
    <x v="2"/>
    <x v="7"/>
    <n v="2"/>
    <x v="4"/>
    <x v="0"/>
  </r>
  <r>
    <n v="245"/>
    <n v="3878574698"/>
    <x v="0"/>
    <x v="1"/>
    <s v="NOAA and The Weather Channel"/>
    <s v="Very unlikely"/>
    <n v="1"/>
    <x v="0"/>
    <n v="2"/>
    <x v="2"/>
    <x v="7"/>
    <n v="2"/>
    <x v="4"/>
    <x v="12"/>
  </r>
  <r>
    <n v="246"/>
    <n v="3878562127"/>
    <x v="1"/>
    <x v="5"/>
    <s v="No answer provided"/>
    <s v="Very unlikely"/>
    <n v="1"/>
    <x v="4"/>
    <n v="4"/>
    <x v="0"/>
    <x v="1"/>
    <n v="11"/>
    <x v="4"/>
    <x v="0"/>
  </r>
  <r>
    <n v="247"/>
    <n v="3878555115"/>
    <x v="0"/>
    <x v="1"/>
    <s v="weatherbug"/>
    <s v="Somewhat likely"/>
    <n v="3"/>
    <x v="0"/>
    <n v="2"/>
    <x v="2"/>
    <x v="1"/>
    <n v="11"/>
    <x v="4"/>
    <x v="5"/>
  </r>
  <r>
    <n v="248"/>
    <n v="3878547877"/>
    <x v="1"/>
    <x v="4"/>
    <s v="No answer provided"/>
    <s v="Somewhat unlikely"/>
    <n v="2"/>
    <x v="4"/>
    <n v="4"/>
    <x v="2"/>
    <x v="0"/>
    <n v="4"/>
    <x v="4"/>
    <x v="0"/>
  </r>
  <r>
    <n v="249"/>
    <n v="3878539231"/>
    <x v="1"/>
    <x v="4"/>
    <s v="No answer provided"/>
    <s v="Somewhat likely"/>
    <n v="3"/>
    <x v="3"/>
    <n v="3"/>
    <x v="0"/>
    <x v="2"/>
    <n v="6"/>
    <x v="0"/>
    <x v="0"/>
  </r>
  <r>
    <n v="250"/>
    <n v="3878537531"/>
    <x v="1"/>
    <x v="0"/>
    <s v="No answer provided"/>
    <s v="Very unlikely"/>
    <n v="1"/>
    <x v="4"/>
    <n v="4"/>
    <x v="0"/>
    <x v="1"/>
    <n v="11"/>
    <x v="4"/>
    <x v="0"/>
  </r>
  <r>
    <n v="251"/>
    <n v="3878536105"/>
    <x v="0"/>
    <x v="1"/>
    <s v="Weather Kitty"/>
    <s v="Somewhat likely"/>
    <n v="3"/>
    <x v="0"/>
    <n v="2"/>
    <x v="2"/>
    <x v="7"/>
    <n v="2"/>
    <x v="4"/>
    <x v="3"/>
  </r>
  <r>
    <n v="252"/>
    <n v="3878534855"/>
    <x v="0"/>
    <x v="6"/>
    <s v="No answer provided"/>
    <s v="Very unlikely"/>
    <n v="1"/>
    <x v="4"/>
    <n v="4"/>
    <x v="2"/>
    <x v="2"/>
    <n v="6"/>
    <x v="4"/>
    <x v="0"/>
  </r>
  <r>
    <n v="253"/>
    <n v="3878533095"/>
    <x v="0"/>
    <x v="0"/>
    <s v="No answer provided"/>
    <s v="Very likely"/>
    <n v="4"/>
    <x v="0"/>
    <n v="2"/>
    <x v="2"/>
    <x v="6"/>
    <n v="1"/>
    <x v="5"/>
    <x v="0"/>
  </r>
  <r>
    <n v="254"/>
    <n v="3878527607"/>
    <x v="1"/>
    <x v="0"/>
    <s v="No answer provided"/>
    <s v="Somewhat unlikely"/>
    <n v="2"/>
    <x v="4"/>
    <n v="4"/>
    <x v="2"/>
    <x v="0"/>
    <n v="4"/>
    <x v="4"/>
    <x v="0"/>
  </r>
  <r>
    <n v="255"/>
    <n v="3878526543"/>
    <x v="0"/>
    <x v="1"/>
    <s v="Internet, tv, radio, newspaper"/>
    <s v="Very likely"/>
    <n v="4"/>
    <x v="4"/>
    <n v="4"/>
    <x v="0"/>
    <x v="9"/>
    <n v="10"/>
    <x v="2"/>
    <x v="10"/>
  </r>
  <r>
    <n v="256"/>
    <n v="3878522121"/>
    <x v="0"/>
    <x v="2"/>
    <s v="No answer provided"/>
    <s v="Very unlikely"/>
    <n v="1"/>
    <x v="3"/>
    <n v="3"/>
    <x v="0"/>
    <x v="4"/>
    <n v="3"/>
    <x v="2"/>
    <x v="0"/>
  </r>
  <r>
    <n v="257"/>
    <n v="3878521585"/>
    <x v="1"/>
    <x v="1"/>
    <s v="App on Iphone"/>
    <s v="Somewhat unlikely"/>
    <n v="2"/>
    <x v="0"/>
    <n v="2"/>
    <x v="2"/>
    <x v="7"/>
    <n v="2"/>
    <x v="4"/>
    <x v="1"/>
  </r>
  <r>
    <n v="258"/>
    <n v="3878520921"/>
    <x v="0"/>
    <x v="0"/>
    <s v="No answer provided"/>
    <s v="Very likely"/>
    <n v="4"/>
    <x v="4"/>
    <n v="4"/>
    <x v="2"/>
    <x v="10"/>
    <n v="9"/>
    <x v="4"/>
    <x v="0"/>
  </r>
  <r>
    <n v="259"/>
    <n v="3878517202"/>
    <x v="0"/>
    <x v="4"/>
    <s v="No answer provided"/>
    <s v="Somewhat likely"/>
    <n v="3"/>
    <x v="4"/>
    <n v="4"/>
    <x v="2"/>
    <x v="0"/>
    <n v="4"/>
    <x v="6"/>
    <x v="0"/>
  </r>
  <r>
    <n v="260"/>
    <n v="3878516380"/>
    <x v="0"/>
    <x v="1"/>
    <s v="yr.no"/>
    <s v="Somewhat likely"/>
    <n v="3"/>
    <x v="0"/>
    <n v="2"/>
    <x v="2"/>
    <x v="1"/>
    <n v="11"/>
    <x v="1"/>
    <x v="15"/>
  </r>
  <r>
    <n v="261"/>
    <n v="3878513419"/>
    <x v="1"/>
    <x v="0"/>
    <s v="No answer provided"/>
    <s v="Very unlikely"/>
    <n v="1"/>
    <x v="4"/>
    <n v="4"/>
    <x v="0"/>
    <x v="1"/>
    <n v="11"/>
    <x v="4"/>
    <x v="0"/>
  </r>
  <r>
    <n v="262"/>
    <n v="3878510837"/>
    <x v="1"/>
    <x v="0"/>
    <s v="No answer provided"/>
    <s v="Very unlikely"/>
    <n v="1"/>
    <x v="0"/>
    <n v="2"/>
    <x v="2"/>
    <x v="4"/>
    <n v="3"/>
    <x v="4"/>
    <x v="0"/>
  </r>
  <r>
    <n v="263"/>
    <n v="3878488034"/>
    <x v="0"/>
    <x v="0"/>
    <s v="No answer provided"/>
    <s v="Very likely"/>
    <n v="4"/>
    <x v="4"/>
    <n v="4"/>
    <x v="0"/>
    <x v="2"/>
    <n v="6"/>
    <x v="4"/>
    <x v="0"/>
  </r>
  <r>
    <n v="264"/>
    <n v="3878487715"/>
    <x v="0"/>
    <x v="6"/>
    <s v="No answer provided"/>
    <s v="Somewhat likely"/>
    <n v="3"/>
    <x v="4"/>
    <n v="4"/>
    <x v="2"/>
    <x v="1"/>
    <n v="11"/>
    <x v="4"/>
    <x v="0"/>
  </r>
  <r>
    <n v="265"/>
    <n v="3878487142"/>
    <x v="1"/>
    <x v="4"/>
    <s v="No answer provided"/>
    <s v="Very unlikely"/>
    <n v="1"/>
    <x v="4"/>
    <n v="4"/>
    <x v="2"/>
    <x v="2"/>
    <n v="6"/>
    <x v="5"/>
    <x v="0"/>
  </r>
  <r>
    <n v="266"/>
    <n v="3878483534"/>
    <x v="1"/>
    <x v="4"/>
    <s v="No answer provided"/>
    <s v="Somewhat likely"/>
    <n v="3"/>
    <x v="4"/>
    <n v="4"/>
    <x v="0"/>
    <x v="1"/>
    <n v="11"/>
    <x v="4"/>
    <x v="0"/>
  </r>
  <r>
    <n v="267"/>
    <n v="3878479362"/>
    <x v="0"/>
    <x v="2"/>
    <s v="No answer provided"/>
    <s v="Very likely"/>
    <n v="4"/>
    <x v="0"/>
    <n v="2"/>
    <x v="2"/>
    <x v="0"/>
    <n v="4"/>
    <x v="4"/>
    <x v="0"/>
  </r>
  <r>
    <n v="268"/>
    <n v="3878466821"/>
    <x v="0"/>
    <x v="1"/>
    <s v="weather.com"/>
    <s v="Very likely"/>
    <n v="4"/>
    <x v="4"/>
    <n v="4"/>
    <x v="2"/>
    <x v="1"/>
    <n v="11"/>
    <x v="4"/>
    <x v="4"/>
  </r>
  <r>
    <n v="269"/>
    <n v="3878465693"/>
    <x v="0"/>
    <x v="0"/>
    <s v="No answer provided"/>
    <s v="Very likely"/>
    <n v="4"/>
    <x v="0"/>
    <n v="2"/>
    <x v="2"/>
    <x v="1"/>
    <n v="11"/>
    <x v="7"/>
    <x v="0"/>
  </r>
  <r>
    <n v="270"/>
    <n v="3878464503"/>
    <x v="0"/>
    <x v="6"/>
    <s v="No answer provided"/>
    <s v="Very unlikely"/>
    <n v="1"/>
    <x v="4"/>
    <n v="4"/>
    <x v="2"/>
    <x v="3"/>
    <n v="8"/>
    <x v="4"/>
    <x v="0"/>
  </r>
  <r>
    <n v="271"/>
    <n v="3878462883"/>
    <x v="1"/>
    <x v="5"/>
    <s v="No answer provided"/>
    <s v="Somewhat likely"/>
    <n v="3"/>
    <x v="0"/>
    <n v="2"/>
    <x v="0"/>
    <x v="1"/>
    <n v="11"/>
    <x v="4"/>
    <x v="0"/>
  </r>
  <r>
    <n v="272"/>
    <n v="3878450038"/>
    <x v="0"/>
    <x v="5"/>
    <s v="No answer provided"/>
    <s v="Very unlikely"/>
    <n v="1"/>
    <x v="4"/>
    <n v="4"/>
    <x v="0"/>
    <x v="1"/>
    <n v="11"/>
    <x v="3"/>
    <x v="0"/>
  </r>
  <r>
    <n v="273"/>
    <n v="3878449625"/>
    <x v="1"/>
    <x v="5"/>
    <s v="No answer provided"/>
    <s v="Very unlikely"/>
    <n v="1"/>
    <x v="0"/>
    <n v="2"/>
    <x v="2"/>
    <x v="7"/>
    <n v="2"/>
    <x v="4"/>
    <x v="0"/>
  </r>
  <r>
    <n v="274"/>
    <n v="3878445660"/>
    <x v="0"/>
    <x v="5"/>
    <s v="No answer provided"/>
    <s v="Very likely"/>
    <n v="4"/>
    <x v="3"/>
    <n v="3"/>
    <x v="0"/>
    <x v="4"/>
    <n v="3"/>
    <x v="4"/>
    <x v="0"/>
  </r>
  <r>
    <n v="275"/>
    <n v="3878443579"/>
    <x v="0"/>
    <x v="4"/>
    <s v="No answer provided"/>
    <s v="Somewhat likely"/>
    <n v="3"/>
    <x v="3"/>
    <n v="3"/>
    <x v="0"/>
    <x v="2"/>
    <n v="6"/>
    <x v="4"/>
    <x v="0"/>
  </r>
  <r>
    <n v="276"/>
    <n v="3878436241"/>
    <x v="1"/>
    <x v="4"/>
    <s v="No answer provided"/>
    <s v="Somewhat unlikely"/>
    <n v="2"/>
    <x v="4"/>
    <n v="4"/>
    <x v="2"/>
    <x v="11"/>
    <n v="7"/>
    <x v="4"/>
    <x v="0"/>
  </r>
  <r>
    <n v="277"/>
    <n v="3878436018"/>
    <x v="0"/>
    <x v="4"/>
    <s v="No answer provided"/>
    <s v="Very likely"/>
    <n v="4"/>
    <x v="1"/>
    <n v="1"/>
    <x v="0"/>
    <x v="4"/>
    <n v="3"/>
    <x v="4"/>
    <x v="0"/>
  </r>
  <r>
    <n v="278"/>
    <n v="3878432043"/>
    <x v="0"/>
    <x v="0"/>
    <s v="No answer provided"/>
    <s v="Somewhat likely"/>
    <n v="3"/>
    <x v="0"/>
    <n v="2"/>
    <x v="2"/>
    <x v="7"/>
    <n v="2"/>
    <x v="0"/>
    <x v="0"/>
  </r>
  <r>
    <n v="279"/>
    <n v="3878431247"/>
    <x v="0"/>
    <x v="2"/>
    <s v="No answer provided"/>
    <s v="Very likely"/>
    <n v="4"/>
    <x v="4"/>
    <n v="4"/>
    <x v="2"/>
    <x v="4"/>
    <n v="3"/>
    <x v="4"/>
    <x v="0"/>
  </r>
  <r>
    <n v="280"/>
    <n v="3878426886"/>
    <x v="0"/>
    <x v="2"/>
    <s v="No answer provided"/>
    <s v="Somewhat unlikely"/>
    <n v="2"/>
    <x v="0"/>
    <n v="2"/>
    <x v="2"/>
    <x v="2"/>
    <n v="6"/>
    <x v="3"/>
    <x v="0"/>
  </r>
  <r>
    <n v="281"/>
    <n v="3878426515"/>
    <x v="0"/>
    <x v="5"/>
    <s v="No answer provided"/>
    <s v="Very unlikely"/>
    <n v="1"/>
    <x v="4"/>
    <n v="4"/>
    <x v="0"/>
    <x v="0"/>
    <n v="4"/>
    <x v="8"/>
    <x v="0"/>
  </r>
  <r>
    <n v="282"/>
    <n v="3878425988"/>
    <x v="1"/>
    <x v="4"/>
    <s v="No answer provided"/>
    <s v="Somewhat unlikely"/>
    <n v="2"/>
    <x v="4"/>
    <n v="4"/>
    <x v="2"/>
    <x v="1"/>
    <n v="11"/>
    <x v="4"/>
    <x v="0"/>
  </r>
  <r>
    <n v="283"/>
    <n v="3878424879"/>
    <x v="0"/>
    <x v="5"/>
    <s v="No answer provided"/>
    <s v="Very unlikely"/>
    <n v="1"/>
    <x v="4"/>
    <n v="4"/>
    <x v="0"/>
    <x v="7"/>
    <n v="2"/>
    <x v="7"/>
    <x v="0"/>
  </r>
  <r>
    <n v="284"/>
    <n v="3878417014"/>
    <x v="0"/>
    <x v="4"/>
    <s v="No answer provided"/>
    <s v="Very likely"/>
    <n v="4"/>
    <x v="4"/>
    <n v="4"/>
    <x v="2"/>
    <x v="8"/>
    <n v="5"/>
    <x v="6"/>
    <x v="0"/>
  </r>
  <r>
    <n v="285"/>
    <n v="3878413474"/>
    <x v="0"/>
    <x v="4"/>
    <s v="No answer provided"/>
    <s v="Very likely"/>
    <n v="4"/>
    <x v="0"/>
    <n v="2"/>
    <x v="2"/>
    <x v="1"/>
    <n v="11"/>
    <x v="0"/>
    <x v="0"/>
  </r>
  <r>
    <n v="286"/>
    <n v="3878409427"/>
    <x v="1"/>
    <x v="0"/>
    <s v="No answer provided"/>
    <s v="Very likely"/>
    <n v="4"/>
    <x v="0"/>
    <n v="2"/>
    <x v="2"/>
    <x v="4"/>
    <n v="3"/>
    <x v="0"/>
    <x v="0"/>
  </r>
  <r>
    <n v="287"/>
    <n v="3878405540"/>
    <x v="1"/>
    <x v="4"/>
    <s v="No answer provided"/>
    <s v="Somewhat unlikely"/>
    <n v="2"/>
    <x v="4"/>
    <n v="4"/>
    <x v="0"/>
    <x v="0"/>
    <n v="4"/>
    <x v="0"/>
    <x v="0"/>
  </r>
  <r>
    <n v="288"/>
    <n v="3878404884"/>
    <x v="0"/>
    <x v="2"/>
    <s v="No answer provided"/>
    <s v="Very likely"/>
    <n v="4"/>
    <x v="4"/>
    <n v="4"/>
    <x v="0"/>
    <x v="7"/>
    <n v="2"/>
    <x v="2"/>
    <x v="0"/>
  </r>
  <r>
    <n v="289"/>
    <n v="3878404363"/>
    <x v="1"/>
    <x v="0"/>
    <s v="No answer provided"/>
    <s v="Very likely"/>
    <n v="4"/>
    <x v="4"/>
    <n v="4"/>
    <x v="2"/>
    <x v="10"/>
    <n v="9"/>
    <x v="0"/>
    <x v="0"/>
  </r>
  <r>
    <n v="290"/>
    <n v="3878404022"/>
    <x v="0"/>
    <x v="0"/>
    <s v="No answer provided"/>
    <s v="Very likely"/>
    <n v="4"/>
    <x v="0"/>
    <n v="2"/>
    <x v="2"/>
    <x v="3"/>
    <n v="8"/>
    <x v="2"/>
    <x v="0"/>
  </r>
  <r>
    <n v="291"/>
    <n v="3878401700"/>
    <x v="0"/>
    <x v="5"/>
    <s v="No answer provided"/>
    <s v="Somewhat likely"/>
    <n v="3"/>
    <x v="4"/>
    <n v="4"/>
    <x v="2"/>
    <x v="4"/>
    <n v="3"/>
    <x v="5"/>
    <x v="0"/>
  </r>
  <r>
    <n v="292"/>
    <n v="3878398785"/>
    <x v="0"/>
    <x v="0"/>
    <s v="No answer provided"/>
    <s v="Somewhat likely"/>
    <n v="3"/>
    <x v="0"/>
    <n v="2"/>
    <x v="2"/>
    <x v="2"/>
    <n v="6"/>
    <x v="0"/>
    <x v="0"/>
  </r>
  <r>
    <n v="293"/>
    <n v="3878396691"/>
    <x v="0"/>
    <x v="5"/>
    <s v="No answer provided"/>
    <s v="Very unlikely"/>
    <n v="1"/>
    <x v="0"/>
    <n v="2"/>
    <x v="0"/>
    <x v="8"/>
    <n v="5"/>
    <x v="5"/>
    <x v="0"/>
  </r>
  <r>
    <n v="294"/>
    <n v="3878392986"/>
    <x v="1"/>
    <x v="6"/>
    <s v="No answer provided"/>
    <s v="Very likely"/>
    <n v="4"/>
    <x v="4"/>
    <n v="4"/>
    <x v="2"/>
    <x v="7"/>
    <n v="2"/>
    <x v="2"/>
    <x v="0"/>
  </r>
  <r>
    <n v="295"/>
    <n v="3878388646"/>
    <x v="0"/>
    <x v="1"/>
    <s v="weatherunderground"/>
    <s v="Very likely"/>
    <n v="4"/>
    <x v="4"/>
    <n v="4"/>
    <x v="2"/>
    <x v="7"/>
    <n v="2"/>
    <x v="4"/>
    <x v="8"/>
  </r>
  <r>
    <n v="296"/>
    <n v="3878386420"/>
    <x v="1"/>
    <x v="2"/>
    <s v="No answer provided"/>
    <s v="Very unlikely"/>
    <n v="1"/>
    <x v="1"/>
    <n v="1"/>
    <x v="0"/>
    <x v="6"/>
    <n v="1"/>
    <x v="4"/>
    <x v="0"/>
  </r>
  <r>
    <n v="297"/>
    <n v="3878381396"/>
    <x v="0"/>
    <x v="1"/>
    <s v="wunderground.com"/>
    <s v="Very unlikely"/>
    <n v="1"/>
    <x v="4"/>
    <n v="4"/>
    <x v="0"/>
    <x v="0"/>
    <n v="4"/>
    <x v="4"/>
    <x v="8"/>
  </r>
  <r>
    <n v="298"/>
    <n v="3878370379"/>
    <x v="0"/>
    <x v="0"/>
    <s v="No answer provided"/>
    <s v="Somewhat likely"/>
    <n v="3"/>
    <x v="1"/>
    <n v="1"/>
    <x v="0"/>
    <x v="11"/>
    <n v="7"/>
    <x v="0"/>
    <x v="0"/>
  </r>
  <r>
    <n v="299"/>
    <n v="3878365414"/>
    <x v="0"/>
    <x v="5"/>
    <s v="No answer provided"/>
    <s v="Very unlikely"/>
    <n v="1"/>
    <x v="4"/>
    <n v="4"/>
    <x v="0"/>
    <x v="0"/>
    <n v="4"/>
    <x v="3"/>
    <x v="0"/>
  </r>
  <r>
    <n v="300"/>
    <n v="3878359420"/>
    <x v="1"/>
    <x v="4"/>
    <s v="No answer provided"/>
    <s v="Somewhat unlikely"/>
    <n v="2"/>
    <x v="3"/>
    <n v="3"/>
    <x v="0"/>
    <x v="0"/>
    <n v="4"/>
    <x v="0"/>
    <x v="0"/>
  </r>
  <r>
    <n v="301"/>
    <n v="3878352834"/>
    <x v="0"/>
    <x v="0"/>
    <s v="No answer provided"/>
    <s v="Very unlikely"/>
    <n v="1"/>
    <x v="3"/>
    <n v="3"/>
    <x v="0"/>
    <x v="8"/>
    <n v="5"/>
    <x v="4"/>
    <x v="0"/>
  </r>
  <r>
    <n v="302"/>
    <n v="3878349775"/>
    <x v="0"/>
    <x v="5"/>
    <s v="No answer provided"/>
    <s v="Very unlikely"/>
    <n v="1"/>
    <x v="4"/>
    <n v="4"/>
    <x v="0"/>
    <x v="8"/>
    <n v="5"/>
    <x v="4"/>
    <x v="0"/>
  </r>
  <r>
    <n v="303"/>
    <n v="3878349239"/>
    <x v="0"/>
    <x v="2"/>
    <s v="No answer provided"/>
    <s v="Very likely"/>
    <n v="4"/>
    <x v="4"/>
    <n v="4"/>
    <x v="0"/>
    <x v="1"/>
    <n v="11"/>
    <x v="0"/>
    <x v="0"/>
  </r>
  <r>
    <n v="304"/>
    <n v="3878348366"/>
    <x v="1"/>
    <x v="7"/>
    <s v="No answer provided"/>
    <s v="Very unlikely"/>
    <n v="1"/>
    <x v="4"/>
    <n v="4"/>
    <x v="2"/>
    <x v="1"/>
    <n v="11"/>
    <x v="2"/>
    <x v="0"/>
  </r>
  <r>
    <n v="305"/>
    <n v="3878348238"/>
    <x v="0"/>
    <x v="4"/>
    <s v="No answer provided"/>
    <s v="Very likely"/>
    <n v="4"/>
    <x v="3"/>
    <n v="3"/>
    <x v="0"/>
    <x v="2"/>
    <n v="6"/>
    <x v="0"/>
    <x v="0"/>
  </r>
  <r>
    <n v="306"/>
    <n v="3878345997"/>
    <x v="0"/>
    <x v="0"/>
    <s v="No answer provided"/>
    <s v="Very likely"/>
    <n v="4"/>
    <x v="4"/>
    <n v="4"/>
    <x v="0"/>
    <x v="2"/>
    <n v="6"/>
    <x v="0"/>
    <x v="0"/>
  </r>
  <r>
    <n v="307"/>
    <n v="3878345589"/>
    <x v="0"/>
    <x v="0"/>
    <s v="No answer provided"/>
    <s v="Very likely"/>
    <n v="4"/>
    <x v="4"/>
    <n v="4"/>
    <x v="0"/>
    <x v="0"/>
    <n v="4"/>
    <x v="2"/>
    <x v="0"/>
  </r>
  <r>
    <n v="308"/>
    <n v="3878340200"/>
    <x v="1"/>
    <x v="5"/>
    <s v="No answer provided"/>
    <s v="Very likely"/>
    <n v="4"/>
    <x v="3"/>
    <n v="3"/>
    <x v="0"/>
    <x v="2"/>
    <n v="6"/>
    <x v="6"/>
    <x v="0"/>
  </r>
  <r>
    <n v="309"/>
    <n v="3878340018"/>
    <x v="0"/>
    <x v="1"/>
    <s v="Weather channel app"/>
    <s v="Very likely"/>
    <n v="4"/>
    <x v="0"/>
    <n v="2"/>
    <x v="2"/>
    <x v="8"/>
    <n v="5"/>
    <x v="2"/>
    <x v="4"/>
  </r>
  <r>
    <n v="310"/>
    <n v="3878339582"/>
    <x v="1"/>
    <x v="2"/>
    <s v="No answer provided"/>
    <s v="Somewhat unlikely"/>
    <n v="2"/>
    <x v="4"/>
    <n v="4"/>
    <x v="0"/>
    <x v="11"/>
    <n v="7"/>
    <x v="7"/>
    <x v="0"/>
  </r>
  <r>
    <n v="311"/>
    <n v="3878339411"/>
    <x v="0"/>
    <x v="1"/>
    <s v="weather.com"/>
    <s v="Very likely"/>
    <n v="4"/>
    <x v="4"/>
    <n v="4"/>
    <x v="2"/>
    <x v="2"/>
    <n v="6"/>
    <x v="4"/>
    <x v="4"/>
  </r>
  <r>
    <n v="312"/>
    <n v="3878337550"/>
    <x v="0"/>
    <x v="1"/>
    <s v="intellicast"/>
    <s v="Very unlikely"/>
    <n v="1"/>
    <x v="4"/>
    <n v="4"/>
    <x v="0"/>
    <x v="2"/>
    <n v="6"/>
    <x v="6"/>
    <x v="11"/>
  </r>
  <r>
    <n v="313"/>
    <n v="3878336326"/>
    <x v="1"/>
    <x v="4"/>
    <s v="No answer provided"/>
    <s v="Very likely"/>
    <n v="4"/>
    <x v="0"/>
    <n v="2"/>
    <x v="2"/>
    <x v="1"/>
    <n v="11"/>
    <x v="4"/>
    <x v="0"/>
  </r>
  <r>
    <n v="314"/>
    <n v="3878335390"/>
    <x v="1"/>
    <x v="0"/>
    <s v="No answer provided"/>
    <s v="Somewhat likely"/>
    <n v="3"/>
    <x v="4"/>
    <n v="4"/>
    <x v="2"/>
    <x v="1"/>
    <n v="11"/>
    <x v="4"/>
    <x v="0"/>
  </r>
  <r>
    <n v="315"/>
    <n v="3878332804"/>
    <x v="0"/>
    <x v="0"/>
    <s v="No answer provided"/>
    <s v="Somewhat likely"/>
    <n v="3"/>
    <x v="0"/>
    <n v="2"/>
    <x v="2"/>
    <x v="4"/>
    <n v="3"/>
    <x v="6"/>
    <x v="0"/>
  </r>
  <r>
    <n v="316"/>
    <n v="3878331425"/>
    <x v="0"/>
    <x v="1"/>
    <s v="Weather Risk"/>
    <s v="Somewhat likely"/>
    <n v="3"/>
    <x v="3"/>
    <n v="3"/>
    <x v="0"/>
    <x v="0"/>
    <n v="4"/>
    <x v="0"/>
    <x v="15"/>
  </r>
  <r>
    <n v="317"/>
    <n v="3878324728"/>
    <x v="1"/>
    <x v="4"/>
    <s v="No answer provided"/>
    <s v="Very unlikely"/>
    <n v="1"/>
    <x v="1"/>
    <n v="1"/>
    <x v="0"/>
    <x v="10"/>
    <n v="9"/>
    <x v="3"/>
    <x v="0"/>
  </r>
  <r>
    <n v="318"/>
    <n v="3878324500"/>
    <x v="0"/>
    <x v="4"/>
    <s v="No answer provided"/>
    <s v="Somewhat likely"/>
    <n v="3"/>
    <x v="4"/>
    <n v="4"/>
    <x v="2"/>
    <x v="1"/>
    <n v="11"/>
    <x v="2"/>
    <x v="0"/>
  </r>
  <r>
    <n v="319"/>
    <n v="3878319761"/>
    <x v="0"/>
    <x v="1"/>
    <s v="local newspaper online  Weather Bug  NOAH"/>
    <s v="Somewhat likely"/>
    <n v="3"/>
    <x v="4"/>
    <n v="4"/>
    <x v="2"/>
    <x v="3"/>
    <n v="8"/>
    <x v="0"/>
    <x v="16"/>
  </r>
  <r>
    <n v="320"/>
    <n v="3878319271"/>
    <x v="0"/>
    <x v="4"/>
    <s v="No answer provided"/>
    <s v="Somewhat likely"/>
    <n v="3"/>
    <x v="4"/>
    <n v="4"/>
    <x v="2"/>
    <x v="4"/>
    <n v="3"/>
    <x v="6"/>
    <x v="0"/>
  </r>
  <r>
    <n v="321"/>
    <n v="3878317738"/>
    <x v="0"/>
    <x v="5"/>
    <s v="No answer provided"/>
    <s v="Very unlikely"/>
    <n v="1"/>
    <x v="4"/>
    <n v="4"/>
    <x v="0"/>
    <x v="0"/>
    <n v="4"/>
    <x v="4"/>
    <x v="0"/>
  </r>
  <r>
    <n v="322"/>
    <n v="3878317474"/>
    <x v="1"/>
    <x v="2"/>
    <s v="No answer provided"/>
    <s v="Somewhat likely"/>
    <n v="3"/>
    <x v="4"/>
    <n v="4"/>
    <x v="0"/>
    <x v="2"/>
    <n v="6"/>
    <x v="4"/>
    <x v="0"/>
  </r>
  <r>
    <n v="323"/>
    <n v="3878317326"/>
    <x v="0"/>
    <x v="5"/>
    <s v="No answer provided"/>
    <s v="Very unlikely"/>
    <n v="1"/>
    <x v="0"/>
    <n v="2"/>
    <x v="2"/>
    <x v="0"/>
    <n v="4"/>
    <x v="3"/>
    <x v="0"/>
  </r>
  <r>
    <n v="324"/>
    <n v="3878316445"/>
    <x v="1"/>
    <x v="2"/>
    <s v="No answer provided"/>
    <s v="Very unlikely"/>
    <n v="1"/>
    <x v="4"/>
    <n v="4"/>
    <x v="2"/>
    <x v="1"/>
    <n v="11"/>
    <x v="7"/>
    <x v="0"/>
  </r>
  <r>
    <n v="325"/>
    <n v="3878315845"/>
    <x v="0"/>
    <x v="5"/>
    <s v="No answer provided"/>
    <s v="Very likely"/>
    <n v="4"/>
    <x v="3"/>
    <n v="3"/>
    <x v="2"/>
    <x v="0"/>
    <n v="4"/>
    <x v="7"/>
    <x v="0"/>
  </r>
  <r>
    <n v="326"/>
    <n v="3878315601"/>
    <x v="0"/>
    <x v="1"/>
    <s v="AccuWeather or Weather Underground"/>
    <s v="Very likely"/>
    <n v="4"/>
    <x v="3"/>
    <n v="3"/>
    <x v="2"/>
    <x v="1"/>
    <n v="11"/>
    <x v="8"/>
    <x v="2"/>
  </r>
  <r>
    <n v="327"/>
    <n v="3878313074"/>
    <x v="0"/>
    <x v="7"/>
    <s v="No answer provided"/>
    <s v="Somewhat unlikely"/>
    <n v="2"/>
    <x v="4"/>
    <n v="4"/>
    <x v="2"/>
    <x v="1"/>
    <n v="11"/>
    <x v="0"/>
    <x v="0"/>
  </r>
  <r>
    <n v="328"/>
    <n v="3878312380"/>
    <x v="0"/>
    <x v="0"/>
    <s v="No answer provided"/>
    <s v="Somewhat likely"/>
    <n v="3"/>
    <x v="4"/>
    <n v="4"/>
    <x v="0"/>
    <x v="7"/>
    <n v="2"/>
    <x v="9"/>
    <x v="0"/>
  </r>
  <r>
    <n v="329"/>
    <n v="3878311826"/>
    <x v="1"/>
    <x v="4"/>
    <s v="No answer provided"/>
    <s v="Very unlikely"/>
    <n v="1"/>
    <x v="4"/>
    <n v="4"/>
    <x v="0"/>
    <x v="4"/>
    <n v="3"/>
    <x v="1"/>
    <x v="0"/>
  </r>
  <r>
    <n v="330"/>
    <n v="3878311562"/>
    <x v="0"/>
    <x v="0"/>
    <s v="No answer provided"/>
    <s v="Very likely"/>
    <n v="4"/>
    <x v="0"/>
    <n v="2"/>
    <x v="2"/>
    <x v="4"/>
    <n v="3"/>
    <x v="0"/>
    <x v="0"/>
  </r>
  <r>
    <n v="331"/>
    <n v="3878310702"/>
    <x v="0"/>
    <x v="7"/>
    <s v="No answer provided"/>
    <s v="Somewhat likely"/>
    <n v="3"/>
    <x v="4"/>
    <n v="4"/>
    <x v="2"/>
    <x v="0"/>
    <n v="4"/>
    <x v="0"/>
    <x v="0"/>
  </r>
  <r>
    <n v="332"/>
    <n v="3878310569"/>
    <x v="1"/>
    <x v="6"/>
    <s v="No answer provided"/>
    <s v="Very unlikely"/>
    <n v="1"/>
    <x v="4"/>
    <n v="4"/>
    <x v="2"/>
    <x v="9"/>
    <n v="10"/>
    <x v="4"/>
    <x v="0"/>
  </r>
  <r>
    <n v="333"/>
    <n v="3878309530"/>
    <x v="0"/>
    <x v="1"/>
    <s v="Weather Underground"/>
    <s v="Very likely"/>
    <n v="4"/>
    <x v="3"/>
    <n v="3"/>
    <x v="0"/>
    <x v="4"/>
    <n v="3"/>
    <x v="0"/>
    <x v="8"/>
  </r>
  <r>
    <n v="334"/>
    <n v="3878302658"/>
    <x v="1"/>
    <x v="7"/>
    <s v="No answer provided"/>
    <s v="Very likely"/>
    <n v="4"/>
    <x v="4"/>
    <n v="4"/>
    <x v="2"/>
    <x v="4"/>
    <n v="3"/>
    <x v="4"/>
    <x v="0"/>
  </r>
  <r>
    <n v="335"/>
    <n v="3878296951"/>
    <x v="1"/>
    <x v="2"/>
    <s v="No answer provided"/>
    <s v="Somewhat likely"/>
    <n v="3"/>
    <x v="4"/>
    <n v="4"/>
    <x v="2"/>
    <x v="8"/>
    <n v="5"/>
    <x v="0"/>
    <x v="0"/>
  </r>
  <r>
    <n v="336"/>
    <n v="3878296336"/>
    <x v="0"/>
    <x v="5"/>
    <s v="No answer provided"/>
    <s v="Somewhat unlikely"/>
    <n v="2"/>
    <x v="4"/>
    <n v="4"/>
    <x v="2"/>
    <x v="2"/>
    <n v="6"/>
    <x v="2"/>
    <x v="0"/>
  </r>
  <r>
    <n v="337"/>
    <n v="3878295740"/>
    <x v="0"/>
    <x v="0"/>
    <s v="No answer provided"/>
    <s v="Very likely"/>
    <n v="4"/>
    <x v="4"/>
    <n v="4"/>
    <x v="2"/>
    <x v="0"/>
    <n v="4"/>
    <x v="6"/>
    <x v="0"/>
  </r>
  <r>
    <n v="338"/>
    <n v="3878293399"/>
    <x v="0"/>
    <x v="2"/>
    <s v="No answer provided"/>
    <s v="Somewhat likely"/>
    <n v="3"/>
    <x v="0"/>
    <n v="2"/>
    <x v="2"/>
    <x v="9"/>
    <n v="10"/>
    <x v="6"/>
    <x v="0"/>
  </r>
  <r>
    <n v="339"/>
    <n v="3878293163"/>
    <x v="0"/>
    <x v="2"/>
    <s v="No answer provided"/>
    <s v="Very unlikely"/>
    <n v="1"/>
    <x v="4"/>
    <n v="4"/>
    <x v="0"/>
    <x v="0"/>
    <n v="4"/>
    <x v="0"/>
    <x v="0"/>
  </r>
  <r>
    <n v="340"/>
    <n v="3878291970"/>
    <x v="0"/>
    <x v="5"/>
    <s v="No answer provided"/>
    <s v="Somewhat likely"/>
    <n v="3"/>
    <x v="3"/>
    <n v="3"/>
    <x v="2"/>
    <x v="1"/>
    <n v="11"/>
    <x v="7"/>
    <x v="0"/>
  </r>
  <r>
    <n v="341"/>
    <n v="3878286381"/>
    <x v="0"/>
    <x v="6"/>
    <s v="No answer provided"/>
    <s v="Somewhat unlikely"/>
    <n v="2"/>
    <x v="4"/>
    <n v="4"/>
    <x v="2"/>
    <x v="11"/>
    <n v="7"/>
    <x v="8"/>
    <x v="0"/>
  </r>
  <r>
    <n v="342"/>
    <n v="3878284921"/>
    <x v="0"/>
    <x v="5"/>
    <s v="No answer provided"/>
    <s v="Very likely"/>
    <n v="4"/>
    <x v="0"/>
    <n v="2"/>
    <x v="2"/>
    <x v="9"/>
    <n v="10"/>
    <x v="8"/>
    <x v="0"/>
  </r>
  <r>
    <n v="343"/>
    <n v="3878284808"/>
    <x v="0"/>
    <x v="4"/>
    <s v="No answer provided"/>
    <s v="Very unlikely"/>
    <n v="1"/>
    <x v="3"/>
    <n v="3"/>
    <x v="0"/>
    <x v="1"/>
    <n v="11"/>
    <x v="4"/>
    <x v="0"/>
  </r>
  <r>
    <n v="344"/>
    <n v="3878280708"/>
    <x v="0"/>
    <x v="7"/>
    <s v="No answer provided"/>
    <s v="Somewhat likely"/>
    <n v="3"/>
    <x v="4"/>
    <n v="4"/>
    <x v="2"/>
    <x v="4"/>
    <n v="3"/>
    <x v="9"/>
    <x v="0"/>
  </r>
  <r>
    <n v="345"/>
    <n v="3878278676"/>
    <x v="0"/>
    <x v="2"/>
    <s v="No answer provided"/>
    <s v="Very likely"/>
    <n v="4"/>
    <x v="4"/>
    <n v="4"/>
    <x v="2"/>
    <x v="9"/>
    <n v="10"/>
    <x v="0"/>
    <x v="0"/>
  </r>
  <r>
    <n v="346"/>
    <n v="3878278488"/>
    <x v="0"/>
    <x v="5"/>
    <s v="No answer provided"/>
    <s v="Somewhat likely"/>
    <n v="3"/>
    <x v="4"/>
    <n v="4"/>
    <x v="0"/>
    <x v="9"/>
    <n v="10"/>
    <x v="2"/>
    <x v="0"/>
  </r>
  <r>
    <n v="347"/>
    <n v="3878278271"/>
    <x v="0"/>
    <x v="4"/>
    <s v="No answer provided"/>
    <s v="Very unlikely"/>
    <n v="1"/>
    <x v="3"/>
    <n v="3"/>
    <x v="0"/>
    <x v="1"/>
    <n v="11"/>
    <x v="9"/>
    <x v="0"/>
  </r>
  <r>
    <n v="348"/>
    <n v="3878277161"/>
    <x v="0"/>
    <x v="1"/>
    <s v="weather.com"/>
    <s v="Very likely"/>
    <n v="4"/>
    <x v="4"/>
    <n v="4"/>
    <x v="0"/>
    <x v="9"/>
    <n v="10"/>
    <x v="8"/>
    <x v="4"/>
  </r>
  <r>
    <n v="349"/>
    <n v="3878275261"/>
    <x v="0"/>
    <x v="7"/>
    <s v="No answer provided"/>
    <s v="Somewhat unlikely"/>
    <n v="2"/>
    <x v="3"/>
    <n v="3"/>
    <x v="2"/>
    <x v="8"/>
    <n v="5"/>
    <x v="2"/>
    <x v="0"/>
  </r>
  <r>
    <n v="350"/>
    <n v="3878274622"/>
    <x v="0"/>
    <x v="4"/>
    <s v="No answer provided"/>
    <s v="Somewhat unlikely"/>
    <n v="2"/>
    <x v="3"/>
    <n v="3"/>
    <x v="2"/>
    <x v="8"/>
    <n v="5"/>
    <x v="9"/>
    <x v="0"/>
  </r>
  <r>
    <n v="351"/>
    <n v="3878270558"/>
    <x v="0"/>
    <x v="5"/>
    <s v="No answer provided"/>
    <s v="Somewhat unlikely"/>
    <n v="2"/>
    <x v="4"/>
    <n v="4"/>
    <x v="2"/>
    <x v="4"/>
    <n v="3"/>
    <x v="3"/>
    <x v="0"/>
  </r>
  <r>
    <n v="352"/>
    <n v="3878270404"/>
    <x v="1"/>
    <x v="0"/>
    <s v="No answer provided"/>
    <s v="Very unlikely"/>
    <n v="1"/>
    <x v="0"/>
    <n v="2"/>
    <x v="2"/>
    <x v="2"/>
    <n v="6"/>
    <x v="6"/>
    <x v="0"/>
  </r>
  <r>
    <n v="353"/>
    <n v="3878269619"/>
    <x v="0"/>
    <x v="8"/>
    <s v="No answer provided"/>
    <s v="Somewhat likely"/>
    <n v="3"/>
    <x v="3"/>
    <n v="3"/>
    <x v="2"/>
    <x v="10"/>
    <n v="9"/>
    <x v="0"/>
    <x v="0"/>
  </r>
  <r>
    <n v="354"/>
    <n v="3878269540"/>
    <x v="0"/>
    <x v="0"/>
    <s v="No answer provided"/>
    <s v="Very unlikely"/>
    <n v="1"/>
    <x v="0"/>
    <n v="2"/>
    <x v="2"/>
    <x v="1"/>
    <n v="11"/>
    <x v="0"/>
    <x v="0"/>
  </r>
  <r>
    <n v="355"/>
    <n v="3878268976"/>
    <x v="0"/>
    <x v="2"/>
    <s v="No answer provided"/>
    <s v="Very likely"/>
    <n v="4"/>
    <x v="0"/>
    <n v="2"/>
    <x v="2"/>
    <x v="0"/>
    <n v="4"/>
    <x v="6"/>
    <x v="0"/>
  </r>
  <r>
    <n v="356"/>
    <n v="3878267217"/>
    <x v="0"/>
    <x v="5"/>
    <s v="No answer provided"/>
    <s v="Very likely"/>
    <n v="4"/>
    <x v="3"/>
    <n v="3"/>
    <x v="2"/>
    <x v="4"/>
    <n v="3"/>
    <x v="3"/>
    <x v="0"/>
  </r>
  <r>
    <n v="357"/>
    <n v="3878263834"/>
    <x v="0"/>
    <x v="4"/>
    <s v="No answer provided"/>
    <s v="Very likely"/>
    <n v="4"/>
    <x v="4"/>
    <n v="4"/>
    <x v="0"/>
    <x v="9"/>
    <n v="10"/>
    <x v="4"/>
    <x v="0"/>
  </r>
  <r>
    <n v="358"/>
    <n v="3878263694"/>
    <x v="0"/>
    <x v="0"/>
    <s v="No answer provided"/>
    <s v="Very unlikely"/>
    <n v="1"/>
    <x v="4"/>
    <n v="4"/>
    <x v="2"/>
    <x v="1"/>
    <n v="11"/>
    <x v="6"/>
    <x v="0"/>
  </r>
  <r>
    <n v="359"/>
    <n v="3878262512"/>
    <x v="0"/>
    <x v="1"/>
    <s v="Weatherbug, Storm"/>
    <s v="Very likely"/>
    <n v="4"/>
    <x v="3"/>
    <n v="3"/>
    <x v="0"/>
    <x v="8"/>
    <n v="5"/>
    <x v="9"/>
    <x v="5"/>
  </r>
  <r>
    <n v="360"/>
    <n v="3878261302"/>
    <x v="1"/>
    <x v="1"/>
    <s v="look/feel the weather outside"/>
    <s v="Very unlikely"/>
    <n v="1"/>
    <x v="3"/>
    <n v="3"/>
    <x v="2"/>
    <x v="3"/>
    <n v="8"/>
    <x v="6"/>
    <x v="13"/>
  </r>
  <r>
    <n v="361"/>
    <n v="3878259660"/>
    <x v="0"/>
    <x v="2"/>
    <s v="No answer provided"/>
    <s v="Very likely"/>
    <n v="4"/>
    <x v="3"/>
    <n v="3"/>
    <x v="2"/>
    <x v="0"/>
    <n v="4"/>
    <x v="7"/>
    <x v="0"/>
  </r>
  <r>
    <n v="362"/>
    <n v="3878256328"/>
    <x v="0"/>
    <x v="5"/>
    <s v="No answer provided"/>
    <s v="Very likely"/>
    <n v="4"/>
    <x v="3"/>
    <n v="3"/>
    <x v="2"/>
    <x v="6"/>
    <n v="1"/>
    <x v="9"/>
    <x v="0"/>
  </r>
  <r>
    <n v="363"/>
    <n v="3878255469"/>
    <x v="0"/>
    <x v="1"/>
    <s v="accuweather"/>
    <s v="Somewhat likely"/>
    <n v="3"/>
    <x v="0"/>
    <n v="2"/>
    <x v="2"/>
    <x v="4"/>
    <n v="3"/>
    <x v="6"/>
    <x v="2"/>
  </r>
  <r>
    <n v="364"/>
    <n v="3878255097"/>
    <x v="1"/>
    <x v="0"/>
    <s v="No answer provided"/>
    <s v="Somewhat unlikely"/>
    <n v="2"/>
    <x v="3"/>
    <n v="3"/>
    <x v="2"/>
    <x v="2"/>
    <n v="6"/>
    <x v="5"/>
    <x v="0"/>
  </r>
  <r>
    <n v="365"/>
    <n v="3878253341"/>
    <x v="0"/>
    <x v="0"/>
    <s v="No answer provided"/>
    <s v="Somewhat likely"/>
    <n v="3"/>
    <x v="0"/>
    <n v="2"/>
    <x v="2"/>
    <x v="0"/>
    <n v="4"/>
    <x v="7"/>
    <x v="0"/>
  </r>
  <r>
    <n v="366"/>
    <n v="3878252826"/>
    <x v="0"/>
    <x v="1"/>
    <s v="apple-provided site"/>
    <s v="Somewhat likely"/>
    <n v="3"/>
    <x v="4"/>
    <n v="4"/>
    <x v="2"/>
    <x v="2"/>
    <n v="6"/>
    <x v="4"/>
    <x v="1"/>
  </r>
  <r>
    <n v="367"/>
    <n v="3878251387"/>
    <x v="0"/>
    <x v="2"/>
    <s v="No answer provided"/>
    <s v="Very likely"/>
    <n v="4"/>
    <x v="0"/>
    <n v="2"/>
    <x v="2"/>
    <x v="7"/>
    <n v="2"/>
    <x v="9"/>
    <x v="0"/>
  </r>
  <r>
    <n v="368"/>
    <n v="3878251359"/>
    <x v="1"/>
    <x v="5"/>
    <s v="No answer provided"/>
    <s v="Very likely"/>
    <n v="4"/>
    <x v="3"/>
    <n v="3"/>
    <x v="2"/>
    <x v="6"/>
    <n v="1"/>
    <x v="4"/>
    <x v="0"/>
  </r>
  <r>
    <n v="369"/>
    <n v="3878249188"/>
    <x v="0"/>
    <x v="5"/>
    <s v="No answer provided"/>
    <s v="Very likely"/>
    <n v="4"/>
    <x v="0"/>
    <n v="2"/>
    <x v="2"/>
    <x v="4"/>
    <n v="3"/>
    <x v="4"/>
    <x v="0"/>
  </r>
  <r>
    <n v="370"/>
    <n v="3878248250"/>
    <x v="0"/>
    <x v="0"/>
    <s v="No answer provided"/>
    <s v="Very likely"/>
    <n v="4"/>
    <x v="0"/>
    <n v="2"/>
    <x v="2"/>
    <x v="2"/>
    <n v="6"/>
    <x v="6"/>
    <x v="0"/>
  </r>
  <r>
    <n v="371"/>
    <n v="3878247540"/>
    <x v="0"/>
    <x v="0"/>
    <s v="No answer provided"/>
    <s v="Very unlikely"/>
    <n v="1"/>
    <x v="0"/>
    <n v="2"/>
    <x v="2"/>
    <x v="0"/>
    <n v="4"/>
    <x v="6"/>
    <x v="0"/>
  </r>
  <r>
    <n v="372"/>
    <n v="3878244194"/>
    <x v="0"/>
    <x v="5"/>
    <s v="No answer provided"/>
    <s v="Very likely"/>
    <n v="4"/>
    <x v="3"/>
    <n v="3"/>
    <x v="0"/>
    <x v="2"/>
    <n v="6"/>
    <x v="0"/>
    <x v="0"/>
  </r>
  <r>
    <n v="373"/>
    <n v="3878243755"/>
    <x v="0"/>
    <x v="0"/>
    <s v="No answer provided"/>
    <s v="Very likely"/>
    <n v="4"/>
    <x v="0"/>
    <n v="2"/>
    <x v="2"/>
    <x v="0"/>
    <n v="4"/>
    <x v="2"/>
    <x v="0"/>
  </r>
  <r>
    <n v="374"/>
    <n v="3878242397"/>
    <x v="0"/>
    <x v="0"/>
    <s v="No answer provided"/>
    <s v="Very unlikely"/>
    <n v="1"/>
    <x v="4"/>
    <n v="4"/>
    <x v="2"/>
    <x v="4"/>
    <n v="3"/>
    <x v="5"/>
    <x v="0"/>
  </r>
  <r>
    <n v="375"/>
    <n v="3878239927"/>
    <x v="0"/>
    <x v="7"/>
    <s v="No answer provided"/>
    <s v="Somewhat likely"/>
    <n v="3"/>
    <x v="4"/>
    <n v="4"/>
    <x v="0"/>
    <x v="0"/>
    <n v="4"/>
    <x v="4"/>
    <x v="0"/>
  </r>
  <r>
    <n v="376"/>
    <n v="3878238124"/>
    <x v="1"/>
    <x v="5"/>
    <s v="No answer provided"/>
    <s v="Very likely"/>
    <n v="4"/>
    <x v="4"/>
    <n v="4"/>
    <x v="0"/>
    <x v="0"/>
    <n v="4"/>
    <x v="7"/>
    <x v="0"/>
  </r>
  <r>
    <n v="377"/>
    <n v="3878228000"/>
    <x v="0"/>
    <x v="4"/>
    <s v="No answer provided"/>
    <s v="Very likely"/>
    <n v="4"/>
    <x v="3"/>
    <n v="3"/>
    <x v="2"/>
    <x v="4"/>
    <n v="3"/>
    <x v="6"/>
    <x v="0"/>
  </r>
  <r>
    <n v="378"/>
    <n v="3878227923"/>
    <x v="0"/>
    <x v="2"/>
    <s v="No answer provided"/>
    <s v="Very likely"/>
    <n v="4"/>
    <x v="3"/>
    <n v="3"/>
    <x v="0"/>
    <x v="2"/>
    <n v="6"/>
    <x v="0"/>
    <x v="0"/>
  </r>
  <r>
    <n v="379"/>
    <n v="3878226107"/>
    <x v="0"/>
    <x v="5"/>
    <s v="No answer provided"/>
    <s v="Somewhat likely"/>
    <n v="3"/>
    <x v="3"/>
    <n v="3"/>
    <x v="2"/>
    <x v="4"/>
    <n v="3"/>
    <x v="4"/>
    <x v="0"/>
  </r>
  <r>
    <n v="380"/>
    <n v="3878225639"/>
    <x v="0"/>
    <x v="5"/>
    <s v="No answer provided"/>
    <s v="Very unlikely"/>
    <n v="1"/>
    <x v="4"/>
    <n v="4"/>
    <x v="2"/>
    <x v="3"/>
    <n v="8"/>
    <x v="6"/>
    <x v="0"/>
  </r>
  <r>
    <n v="381"/>
    <n v="3878225361"/>
    <x v="0"/>
    <x v="5"/>
    <s v="No answer provided"/>
    <s v="Very likely"/>
    <n v="4"/>
    <x v="3"/>
    <n v="3"/>
    <x v="2"/>
    <x v="2"/>
    <n v="6"/>
    <x v="6"/>
    <x v="0"/>
  </r>
  <r>
    <n v="382"/>
    <n v="3878224262"/>
    <x v="0"/>
    <x v="0"/>
    <s v="No answer provided"/>
    <s v="Very unlikely"/>
    <n v="1"/>
    <x v="3"/>
    <n v="3"/>
    <x v="2"/>
    <x v="1"/>
    <n v="11"/>
    <x v="6"/>
    <x v="0"/>
  </r>
  <r>
    <n v="383"/>
    <n v="3878223377"/>
    <x v="1"/>
    <x v="1"/>
    <s v="Weather channel app on my phone and ipad"/>
    <s v="Somewhat likely"/>
    <n v="3"/>
    <x v="3"/>
    <n v="3"/>
    <x v="2"/>
    <x v="3"/>
    <n v="8"/>
    <x v="4"/>
    <x v="4"/>
  </r>
  <r>
    <n v="384"/>
    <n v="3878219443"/>
    <x v="0"/>
    <x v="5"/>
    <s v="No answer provided"/>
    <s v="Very likely"/>
    <n v="4"/>
    <x v="4"/>
    <n v="4"/>
    <x v="2"/>
    <x v="11"/>
    <n v="7"/>
    <x v="2"/>
    <x v="0"/>
  </r>
  <r>
    <n v="385"/>
    <n v="3878215557"/>
    <x v="0"/>
    <x v="5"/>
    <s v="No answer provided"/>
    <s v="Somewhat likely"/>
    <n v="3"/>
    <x v="3"/>
    <n v="3"/>
    <x v="2"/>
    <x v="8"/>
    <n v="5"/>
    <x v="6"/>
    <x v="0"/>
  </r>
  <r>
    <n v="386"/>
    <n v="3878215555"/>
    <x v="0"/>
    <x v="5"/>
    <s v="No answer provided"/>
    <s v="Very likely"/>
    <n v="4"/>
    <x v="3"/>
    <n v="3"/>
    <x v="2"/>
    <x v="2"/>
    <n v="6"/>
    <x v="0"/>
    <x v="0"/>
  </r>
  <r>
    <n v="387"/>
    <n v="3878209275"/>
    <x v="0"/>
    <x v="2"/>
    <s v="No answer provided"/>
    <s v="Very likely"/>
    <n v="4"/>
    <x v="3"/>
    <n v="3"/>
    <x v="0"/>
    <x v="7"/>
    <n v="2"/>
    <x v="6"/>
    <x v="0"/>
  </r>
  <r>
    <n v="388"/>
    <n v="3878209013"/>
    <x v="0"/>
    <x v="4"/>
    <s v="No answer provided"/>
    <s v="Very likely"/>
    <n v="4"/>
    <x v="3"/>
    <n v="3"/>
    <x v="0"/>
    <x v="0"/>
    <n v="4"/>
    <x v="7"/>
    <x v="0"/>
  </r>
  <r>
    <n v="389"/>
    <n v="3878208724"/>
    <x v="1"/>
    <x v="5"/>
    <s v="No answer provided"/>
    <s v="Very unlikely"/>
    <n v="1"/>
    <x v="3"/>
    <n v="3"/>
    <x v="2"/>
    <x v="0"/>
    <n v="4"/>
    <x v="0"/>
    <x v="0"/>
  </r>
  <r>
    <n v="390"/>
    <n v="3878205297"/>
    <x v="0"/>
    <x v="6"/>
    <s v="No answer provided"/>
    <s v="Very likely"/>
    <n v="4"/>
    <x v="3"/>
    <n v="3"/>
    <x v="2"/>
    <x v="8"/>
    <n v="5"/>
    <x v="0"/>
    <x v="0"/>
  </r>
  <r>
    <n v="391"/>
    <n v="3878204973"/>
    <x v="0"/>
    <x v="7"/>
    <s v="No answer provided"/>
    <s v="Somewhat likely"/>
    <n v="3"/>
    <x v="0"/>
    <n v="2"/>
    <x v="2"/>
    <x v="0"/>
    <n v="4"/>
    <x v="3"/>
    <x v="0"/>
  </r>
  <r>
    <n v="392"/>
    <n v="3878204241"/>
    <x v="0"/>
    <x v="5"/>
    <s v="No answer provided"/>
    <s v="Very unlikely"/>
    <n v="1"/>
    <x v="0"/>
    <n v="2"/>
    <x v="2"/>
    <x v="4"/>
    <n v="3"/>
    <x v="6"/>
    <x v="0"/>
  </r>
  <r>
    <n v="393"/>
    <n v="3878201710"/>
    <x v="0"/>
    <x v="1"/>
    <s v="Numerous local weather apps"/>
    <s v="Very unlikely"/>
    <n v="1"/>
    <x v="4"/>
    <n v="4"/>
    <x v="2"/>
    <x v="7"/>
    <n v="2"/>
    <x v="2"/>
    <x v="16"/>
  </r>
  <r>
    <n v="394"/>
    <n v="3878198621"/>
    <x v="0"/>
    <x v="6"/>
    <s v="No answer provided"/>
    <s v="Very unlikely"/>
    <n v="1"/>
    <x v="3"/>
    <n v="3"/>
    <x v="2"/>
    <x v="4"/>
    <n v="3"/>
    <x v="7"/>
    <x v="0"/>
  </r>
  <r>
    <n v="395"/>
    <n v="3878197524"/>
    <x v="0"/>
    <x v="5"/>
    <s v="No answer provided"/>
    <s v="Very likely"/>
    <n v="4"/>
    <x v="3"/>
    <n v="3"/>
    <x v="2"/>
    <x v="4"/>
    <n v="3"/>
    <x v="3"/>
    <x v="0"/>
  </r>
  <r>
    <n v="396"/>
    <n v="3878196162"/>
    <x v="1"/>
    <x v="5"/>
    <s v="No answer provided"/>
    <s v="Very unlikely"/>
    <n v="1"/>
    <x v="0"/>
    <n v="2"/>
    <x v="2"/>
    <x v="4"/>
    <n v="3"/>
    <x v="5"/>
    <x v="0"/>
  </r>
  <r>
    <n v="397"/>
    <n v="3878194430"/>
    <x v="0"/>
    <x v="1"/>
    <s v="The Weather Channel app on my phone"/>
    <s v="Somewhat likely"/>
    <n v="3"/>
    <x v="3"/>
    <n v="3"/>
    <x v="2"/>
    <x v="2"/>
    <n v="6"/>
    <x v="3"/>
    <x v="4"/>
  </r>
  <r>
    <n v="398"/>
    <n v="3878193774"/>
    <x v="0"/>
    <x v="0"/>
    <s v="No answer provided"/>
    <s v="Somewhat likely"/>
    <n v="3"/>
    <x v="0"/>
    <n v="2"/>
    <x v="0"/>
    <x v="2"/>
    <n v="6"/>
    <x v="5"/>
    <x v="0"/>
  </r>
  <r>
    <n v="399"/>
    <n v="3878193623"/>
    <x v="0"/>
    <x v="5"/>
    <s v="No answer provided"/>
    <s v="Very likely"/>
    <n v="4"/>
    <x v="3"/>
    <n v="3"/>
    <x v="0"/>
    <x v="7"/>
    <n v="2"/>
    <x v="3"/>
    <x v="0"/>
  </r>
  <r>
    <n v="400"/>
    <n v="3878192054"/>
    <x v="0"/>
    <x v="1"/>
    <s v="Accuweather"/>
    <s v="Somewhat likely"/>
    <n v="3"/>
    <x v="4"/>
    <n v="4"/>
    <x v="0"/>
    <x v="4"/>
    <n v="3"/>
    <x v="6"/>
    <x v="2"/>
  </r>
  <r>
    <n v="401"/>
    <n v="3878190686"/>
    <x v="0"/>
    <x v="0"/>
    <s v="No answer provided"/>
    <s v="Very likely"/>
    <n v="4"/>
    <x v="3"/>
    <n v="3"/>
    <x v="2"/>
    <x v="4"/>
    <n v="3"/>
    <x v="0"/>
    <x v="0"/>
  </r>
  <r>
    <n v="402"/>
    <n v="3878190060"/>
    <x v="0"/>
    <x v="0"/>
    <s v="No answer provided"/>
    <s v="Somewhat likely"/>
    <n v="3"/>
    <x v="3"/>
    <n v="3"/>
    <x v="2"/>
    <x v="2"/>
    <n v="6"/>
    <x v="8"/>
    <x v="0"/>
  </r>
  <r>
    <n v="403"/>
    <n v="3878189246"/>
    <x v="0"/>
    <x v="1"/>
    <s v="Storm Team 4"/>
    <s v="Somewhat likely"/>
    <n v="3"/>
    <x v="4"/>
    <n v="4"/>
    <x v="0"/>
    <x v="9"/>
    <n v="10"/>
    <x v="2"/>
    <x v="16"/>
  </r>
  <r>
    <n v="404"/>
    <n v="3878187831"/>
    <x v="0"/>
    <x v="5"/>
    <s v="No answer provided"/>
    <s v="Very likely"/>
    <n v="4"/>
    <x v="4"/>
    <n v="4"/>
    <x v="2"/>
    <x v="5"/>
    <s v="na"/>
    <x v="3"/>
    <x v="0"/>
  </r>
  <r>
    <n v="405"/>
    <n v="3878187206"/>
    <x v="1"/>
    <x v="0"/>
    <s v="No answer provided"/>
    <s v="Somewhat likely"/>
    <n v="3"/>
    <x v="3"/>
    <n v="3"/>
    <x v="2"/>
    <x v="1"/>
    <n v="11"/>
    <x v="8"/>
    <x v="0"/>
  </r>
  <r>
    <n v="406"/>
    <n v="3878177832"/>
    <x v="0"/>
    <x v="0"/>
    <s v="No answer provided"/>
    <s v="Very likely"/>
    <n v="4"/>
    <x v="0"/>
    <n v="2"/>
    <x v="0"/>
    <x v="0"/>
    <n v="4"/>
    <x v="5"/>
    <x v="0"/>
  </r>
  <r>
    <n v="407"/>
    <n v="3878176797"/>
    <x v="0"/>
    <x v="3"/>
    <s v="No answer provided"/>
    <s v="No answer provided"/>
    <s v="na"/>
    <x v="2"/>
    <s v="na"/>
    <x v="1"/>
    <x v="5"/>
    <s v="na"/>
    <x v="1"/>
    <x v="0"/>
  </r>
  <r>
    <n v="408"/>
    <n v="3878176285"/>
    <x v="0"/>
    <x v="3"/>
    <s v="No answer provided"/>
    <s v="No answer provided"/>
    <s v="na"/>
    <x v="2"/>
    <s v="na"/>
    <x v="1"/>
    <x v="5"/>
    <s v="na"/>
    <x v="1"/>
    <x v="0"/>
  </r>
  <r>
    <n v="409"/>
    <n v="3878175971"/>
    <x v="0"/>
    <x v="0"/>
    <s v="No answer provided"/>
    <s v="Very likely"/>
    <n v="4"/>
    <x v="4"/>
    <n v="4"/>
    <x v="0"/>
    <x v="8"/>
    <n v="5"/>
    <x v="0"/>
    <x v="0"/>
  </r>
  <r>
    <n v="410"/>
    <n v="3878171501"/>
    <x v="0"/>
    <x v="2"/>
    <s v="No answer provided"/>
    <s v="Very unlikely"/>
    <n v="1"/>
    <x v="0"/>
    <n v="2"/>
    <x v="2"/>
    <x v="1"/>
    <n v="11"/>
    <x v="2"/>
    <x v="0"/>
  </r>
  <r>
    <n v="411"/>
    <n v="3878168802"/>
    <x v="0"/>
    <x v="5"/>
    <s v="No answer provided"/>
    <s v="Very likely"/>
    <n v="4"/>
    <x v="3"/>
    <n v="3"/>
    <x v="2"/>
    <x v="8"/>
    <n v="5"/>
    <x v="2"/>
    <x v="0"/>
  </r>
  <r>
    <n v="412"/>
    <n v="3878166803"/>
    <x v="0"/>
    <x v="5"/>
    <s v="No answer provided"/>
    <s v="Somewhat unlikely"/>
    <n v="2"/>
    <x v="3"/>
    <n v="3"/>
    <x v="2"/>
    <x v="2"/>
    <n v="6"/>
    <x v="2"/>
    <x v="0"/>
  </r>
  <r>
    <n v="413"/>
    <n v="3878166171"/>
    <x v="0"/>
    <x v="1"/>
    <s v="KCRA online"/>
    <s v="Very unlikely"/>
    <n v="1"/>
    <x v="3"/>
    <n v="3"/>
    <x v="2"/>
    <x v="1"/>
    <n v="11"/>
    <x v="4"/>
    <x v="16"/>
  </r>
  <r>
    <n v="414"/>
    <n v="3878162896"/>
    <x v="0"/>
    <x v="1"/>
    <s v="yahoo weather"/>
    <s v="Very unlikely"/>
    <n v="1"/>
    <x v="0"/>
    <n v="2"/>
    <x v="2"/>
    <x v="4"/>
    <n v="3"/>
    <x v="4"/>
    <x v="6"/>
  </r>
  <r>
    <n v="415"/>
    <n v="3878162631"/>
    <x v="0"/>
    <x v="1"/>
    <s v="Accuweather"/>
    <s v="Very likely"/>
    <n v="4"/>
    <x v="0"/>
    <n v="2"/>
    <x v="2"/>
    <x v="4"/>
    <n v="3"/>
    <x v="0"/>
    <x v="2"/>
  </r>
  <r>
    <n v="416"/>
    <n v="3878162069"/>
    <x v="1"/>
    <x v="4"/>
    <s v="No answer provided"/>
    <s v="Somewhat likely"/>
    <n v="3"/>
    <x v="1"/>
    <n v="1"/>
    <x v="0"/>
    <x v="8"/>
    <n v="5"/>
    <x v="4"/>
    <x v="0"/>
  </r>
  <r>
    <n v="417"/>
    <n v="3878160615"/>
    <x v="0"/>
    <x v="1"/>
    <s v="weatherbug on my phone"/>
    <s v="Somewhat likely"/>
    <n v="3"/>
    <x v="3"/>
    <n v="3"/>
    <x v="2"/>
    <x v="9"/>
    <n v="10"/>
    <x v="5"/>
    <x v="5"/>
  </r>
  <r>
    <n v="418"/>
    <n v="3878160534"/>
    <x v="0"/>
    <x v="2"/>
    <s v="No answer provided"/>
    <s v="Very likely"/>
    <n v="4"/>
    <x v="3"/>
    <n v="3"/>
    <x v="2"/>
    <x v="0"/>
    <n v="4"/>
    <x v="2"/>
    <x v="0"/>
  </r>
  <r>
    <n v="419"/>
    <n v="3878159600"/>
    <x v="1"/>
    <x v="5"/>
    <s v="No answer provided"/>
    <s v="Very likely"/>
    <n v="4"/>
    <x v="4"/>
    <n v="4"/>
    <x v="2"/>
    <x v="7"/>
    <n v="2"/>
    <x v="3"/>
    <x v="0"/>
  </r>
  <r>
    <n v="420"/>
    <n v="3878159123"/>
    <x v="0"/>
    <x v="0"/>
    <s v="No answer provided"/>
    <s v="Somewhat unlikely"/>
    <n v="2"/>
    <x v="0"/>
    <n v="2"/>
    <x v="2"/>
    <x v="7"/>
    <n v="2"/>
    <x v="3"/>
    <x v="0"/>
  </r>
  <r>
    <n v="421"/>
    <n v="3878158418"/>
    <x v="0"/>
    <x v="0"/>
    <s v="No answer provided"/>
    <s v="Very likely"/>
    <n v="4"/>
    <x v="3"/>
    <n v="3"/>
    <x v="0"/>
    <x v="4"/>
    <n v="3"/>
    <x v="4"/>
    <x v="0"/>
  </r>
  <r>
    <n v="422"/>
    <n v="3878156563"/>
    <x v="0"/>
    <x v="1"/>
    <s v="the weather channel app on my phone"/>
    <s v="Very likely"/>
    <n v="4"/>
    <x v="0"/>
    <n v="2"/>
    <x v="2"/>
    <x v="7"/>
    <n v="2"/>
    <x v="4"/>
    <x v="4"/>
  </r>
  <r>
    <n v="423"/>
    <n v="3878151947"/>
    <x v="1"/>
    <x v="1"/>
    <s v="Weather Channel.com"/>
    <s v="Very likely"/>
    <n v="4"/>
    <x v="4"/>
    <n v="4"/>
    <x v="0"/>
    <x v="1"/>
    <n v="11"/>
    <x v="7"/>
    <x v="4"/>
  </r>
  <r>
    <n v="424"/>
    <n v="3878147244"/>
    <x v="0"/>
    <x v="4"/>
    <s v="No answer provided"/>
    <s v="Very likely"/>
    <n v="4"/>
    <x v="4"/>
    <n v="4"/>
    <x v="0"/>
    <x v="7"/>
    <n v="2"/>
    <x v="5"/>
    <x v="0"/>
  </r>
  <r>
    <n v="425"/>
    <n v="3878146840"/>
    <x v="0"/>
    <x v="4"/>
    <s v="No answer provided"/>
    <s v="Somewhat likely"/>
    <n v="3"/>
    <x v="1"/>
    <n v="1"/>
    <x v="0"/>
    <x v="7"/>
    <n v="2"/>
    <x v="3"/>
    <x v="0"/>
  </r>
  <r>
    <n v="426"/>
    <n v="3878144950"/>
    <x v="0"/>
    <x v="4"/>
    <s v="No answer provided"/>
    <s v="Very unlikely"/>
    <n v="1"/>
    <x v="0"/>
    <n v="2"/>
    <x v="2"/>
    <x v="1"/>
    <n v="11"/>
    <x v="9"/>
    <x v="0"/>
  </r>
  <r>
    <n v="427"/>
    <n v="3878139391"/>
    <x v="0"/>
    <x v="6"/>
    <s v="No answer provided"/>
    <s v="Somewhat unlikely"/>
    <n v="2"/>
    <x v="4"/>
    <n v="4"/>
    <x v="2"/>
    <x v="8"/>
    <n v="5"/>
    <x v="6"/>
    <x v="0"/>
  </r>
  <r>
    <n v="428"/>
    <n v="3878137364"/>
    <x v="0"/>
    <x v="1"/>
    <s v="Accuweather"/>
    <s v="Somewhat likely"/>
    <n v="3"/>
    <x v="3"/>
    <n v="3"/>
    <x v="0"/>
    <x v="9"/>
    <n v="10"/>
    <x v="1"/>
    <x v="2"/>
  </r>
  <r>
    <n v="429"/>
    <n v="3878136673"/>
    <x v="0"/>
    <x v="1"/>
    <s v="Weather Channel app on phone"/>
    <s v="Somewhat likely"/>
    <n v="3"/>
    <x v="3"/>
    <n v="3"/>
    <x v="0"/>
    <x v="3"/>
    <n v="8"/>
    <x v="4"/>
    <x v="4"/>
  </r>
  <r>
    <n v="430"/>
    <n v="3878129801"/>
    <x v="0"/>
    <x v="4"/>
    <s v="No answer provided"/>
    <s v="Very likely"/>
    <n v="4"/>
    <x v="3"/>
    <n v="3"/>
    <x v="2"/>
    <x v="4"/>
    <n v="3"/>
    <x v="3"/>
    <x v="0"/>
  </r>
  <r>
    <n v="431"/>
    <n v="3878123775"/>
    <x v="1"/>
    <x v="4"/>
    <s v="No answer provided"/>
    <s v="Somewhat likely"/>
    <n v="3"/>
    <x v="4"/>
    <n v="4"/>
    <x v="2"/>
    <x v="4"/>
    <n v="3"/>
    <x v="4"/>
    <x v="0"/>
  </r>
  <r>
    <n v="432"/>
    <n v="3878120046"/>
    <x v="0"/>
    <x v="0"/>
    <s v="No answer provided"/>
    <s v="Somewhat likely"/>
    <n v="3"/>
    <x v="0"/>
    <n v="2"/>
    <x v="2"/>
    <x v="2"/>
    <n v="6"/>
    <x v="4"/>
    <x v="0"/>
  </r>
  <r>
    <n v="433"/>
    <n v="3878118150"/>
    <x v="0"/>
    <x v="1"/>
    <s v=" Weather underground "/>
    <s v="Very likely"/>
    <n v="4"/>
    <x v="3"/>
    <n v="3"/>
    <x v="0"/>
    <x v="9"/>
    <n v="10"/>
    <x v="0"/>
    <x v="8"/>
  </r>
  <r>
    <n v="434"/>
    <n v="3878117988"/>
    <x v="0"/>
    <x v="2"/>
    <s v="No answer provided"/>
    <s v="Very likely"/>
    <n v="4"/>
    <x v="3"/>
    <n v="3"/>
    <x v="0"/>
    <x v="2"/>
    <n v="6"/>
    <x v="6"/>
    <x v="0"/>
  </r>
  <r>
    <n v="435"/>
    <n v="3878115959"/>
    <x v="0"/>
    <x v="2"/>
    <s v="No answer provided"/>
    <s v="Somewhat unlikely"/>
    <n v="2"/>
    <x v="3"/>
    <n v="3"/>
    <x v="2"/>
    <x v="9"/>
    <n v="10"/>
    <x v="6"/>
    <x v="0"/>
  </r>
  <r>
    <n v="436"/>
    <n v="3878114690"/>
    <x v="0"/>
    <x v="1"/>
    <s v="yahoo weather"/>
    <s v="Very likely"/>
    <n v="4"/>
    <x v="4"/>
    <n v="4"/>
    <x v="2"/>
    <x v="1"/>
    <n v="11"/>
    <x v="7"/>
    <x v="6"/>
  </r>
  <r>
    <n v="437"/>
    <n v="3878112779"/>
    <x v="0"/>
    <x v="2"/>
    <s v="No answer provided"/>
    <s v="Somewhat likely"/>
    <n v="3"/>
    <x v="4"/>
    <n v="4"/>
    <x v="0"/>
    <x v="3"/>
    <n v="8"/>
    <x v="0"/>
    <x v="0"/>
  </r>
  <r>
    <n v="438"/>
    <n v="3878112712"/>
    <x v="0"/>
    <x v="1"/>
    <s v="IPhone"/>
    <s v="Very likely"/>
    <n v="4"/>
    <x v="3"/>
    <n v="3"/>
    <x v="2"/>
    <x v="4"/>
    <n v="3"/>
    <x v="6"/>
    <x v="17"/>
  </r>
  <r>
    <n v="439"/>
    <n v="3878111554"/>
    <x v="0"/>
    <x v="5"/>
    <s v="No answer provided"/>
    <s v="Very unlikely"/>
    <n v="1"/>
    <x v="4"/>
    <n v="4"/>
    <x v="0"/>
    <x v="9"/>
    <n v="10"/>
    <x v="4"/>
    <x v="0"/>
  </r>
  <r>
    <n v="440"/>
    <n v="3878109491"/>
    <x v="0"/>
    <x v="0"/>
    <s v="No answer provided"/>
    <s v="Very unlikely"/>
    <n v="1"/>
    <x v="1"/>
    <n v="1"/>
    <x v="2"/>
    <x v="8"/>
    <n v="5"/>
    <x v="6"/>
    <x v="0"/>
  </r>
  <r>
    <n v="441"/>
    <n v="3878108075"/>
    <x v="0"/>
    <x v="1"/>
    <s v="intellicast"/>
    <s v="Very likely"/>
    <n v="4"/>
    <x v="0"/>
    <n v="2"/>
    <x v="0"/>
    <x v="2"/>
    <n v="6"/>
    <x v="0"/>
    <x v="11"/>
  </r>
  <r>
    <n v="442"/>
    <n v="3878104623"/>
    <x v="0"/>
    <x v="0"/>
    <s v="No answer provided"/>
    <s v="Very likely"/>
    <n v="4"/>
    <x v="3"/>
    <n v="3"/>
    <x v="2"/>
    <x v="4"/>
    <n v="3"/>
    <x v="7"/>
    <x v="0"/>
  </r>
  <r>
    <n v="443"/>
    <n v="3878102392"/>
    <x v="1"/>
    <x v="5"/>
    <s v="No answer provided"/>
    <s v="Somewhat likely"/>
    <n v="3"/>
    <x v="3"/>
    <n v="3"/>
    <x v="2"/>
    <x v="11"/>
    <n v="7"/>
    <x v="4"/>
    <x v="0"/>
  </r>
  <r>
    <n v="444"/>
    <n v="3878099445"/>
    <x v="0"/>
    <x v="5"/>
    <s v="No answer provided"/>
    <s v="Somewhat likely"/>
    <n v="3"/>
    <x v="1"/>
    <n v="1"/>
    <x v="2"/>
    <x v="7"/>
    <n v="2"/>
    <x v="5"/>
    <x v="0"/>
  </r>
  <r>
    <n v="445"/>
    <n v="3878099081"/>
    <x v="1"/>
    <x v="2"/>
    <s v="No answer provided"/>
    <s v="Somewhat likely"/>
    <n v="3"/>
    <x v="1"/>
    <n v="1"/>
    <x v="0"/>
    <x v="7"/>
    <n v="2"/>
    <x v="5"/>
    <x v="0"/>
  </r>
  <r>
    <n v="446"/>
    <n v="3878098952"/>
    <x v="0"/>
    <x v="2"/>
    <s v="No answer provided"/>
    <s v="Very likely"/>
    <n v="4"/>
    <x v="1"/>
    <n v="1"/>
    <x v="2"/>
    <x v="1"/>
    <n v="11"/>
    <x v="6"/>
    <x v="0"/>
  </r>
  <r>
    <n v="447"/>
    <n v="3878098258"/>
    <x v="0"/>
    <x v="1"/>
    <s v="Weather Channel app android"/>
    <s v="Very unlikely"/>
    <n v="1"/>
    <x v="3"/>
    <n v="3"/>
    <x v="0"/>
    <x v="2"/>
    <n v="6"/>
    <x v="3"/>
    <x v="4"/>
  </r>
  <r>
    <n v="448"/>
    <n v="3878096992"/>
    <x v="0"/>
    <x v="1"/>
    <s v="NOAA app"/>
    <s v="Somewhat likely"/>
    <n v="3"/>
    <x v="4"/>
    <n v="4"/>
    <x v="0"/>
    <x v="11"/>
    <n v="7"/>
    <x v="2"/>
    <x v="12"/>
  </r>
  <r>
    <n v="449"/>
    <n v="3878096868"/>
    <x v="0"/>
    <x v="1"/>
    <s v="Via my iPhone builtin app"/>
    <s v="Very likely"/>
    <n v="4"/>
    <x v="4"/>
    <n v="4"/>
    <x v="0"/>
    <x v="4"/>
    <n v="3"/>
    <x v="7"/>
    <x v="1"/>
  </r>
  <r>
    <n v="450"/>
    <n v="3878095559"/>
    <x v="0"/>
    <x v="2"/>
    <s v="No answer provided"/>
    <s v="Very unlikely"/>
    <n v="1"/>
    <x v="1"/>
    <n v="1"/>
    <x v="2"/>
    <x v="4"/>
    <n v="3"/>
    <x v="2"/>
    <x v="0"/>
  </r>
  <r>
    <n v="451"/>
    <n v="3878094553"/>
    <x v="1"/>
    <x v="4"/>
    <s v="No answer provided"/>
    <s v="Very unlikely"/>
    <n v="1"/>
    <x v="1"/>
    <n v="1"/>
    <x v="0"/>
    <x v="1"/>
    <n v="11"/>
    <x v="1"/>
    <x v="0"/>
  </r>
  <r>
    <n v="452"/>
    <n v="3878093169"/>
    <x v="0"/>
    <x v="2"/>
    <s v="No answer provided"/>
    <s v="Somewhat unlikely"/>
    <n v="2"/>
    <x v="4"/>
    <n v="4"/>
    <x v="0"/>
    <x v="7"/>
    <n v="2"/>
    <x v="9"/>
    <x v="0"/>
  </r>
  <r>
    <n v="453"/>
    <n v="3878093010"/>
    <x v="0"/>
    <x v="4"/>
    <s v="No answer provided"/>
    <s v="Somewhat unlikely"/>
    <n v="2"/>
    <x v="3"/>
    <n v="3"/>
    <x v="0"/>
    <x v="8"/>
    <n v="5"/>
    <x v="0"/>
    <x v="0"/>
  </r>
  <r>
    <n v="454"/>
    <n v="3878089067"/>
    <x v="0"/>
    <x v="0"/>
    <s v="No answer provided"/>
    <s v="Somewhat likely"/>
    <n v="3"/>
    <x v="1"/>
    <n v="1"/>
    <x v="2"/>
    <x v="7"/>
    <n v="2"/>
    <x v="7"/>
    <x v="0"/>
  </r>
  <r>
    <n v="455"/>
    <n v="3878088243"/>
    <x v="0"/>
    <x v="0"/>
    <s v="No answer provided"/>
    <s v="Very unlikely"/>
    <n v="1"/>
    <x v="1"/>
    <n v="1"/>
    <x v="2"/>
    <x v="7"/>
    <n v="2"/>
    <x v="6"/>
    <x v="0"/>
  </r>
  <r>
    <n v="456"/>
    <n v="3878086902"/>
    <x v="0"/>
    <x v="0"/>
    <s v="No answer provided"/>
    <s v="Very likely"/>
    <n v="4"/>
    <x v="3"/>
    <n v="3"/>
    <x v="0"/>
    <x v="8"/>
    <n v="5"/>
    <x v="4"/>
    <x v="0"/>
  </r>
  <r>
    <n v="457"/>
    <n v="3878086392"/>
    <x v="1"/>
    <x v="4"/>
    <s v="No answer provided"/>
    <s v="Somewhat likely"/>
    <n v="3"/>
    <x v="1"/>
    <n v="1"/>
    <x v="2"/>
    <x v="1"/>
    <n v="11"/>
    <x v="4"/>
    <x v="0"/>
  </r>
  <r>
    <n v="458"/>
    <n v="3878085372"/>
    <x v="0"/>
    <x v="1"/>
    <s v="weatherforyou.com"/>
    <s v="Very unlikely"/>
    <n v="1"/>
    <x v="4"/>
    <n v="4"/>
    <x v="2"/>
    <x v="0"/>
    <n v="4"/>
    <x v="7"/>
    <x v="15"/>
  </r>
  <r>
    <n v="459"/>
    <n v="3878084501"/>
    <x v="0"/>
    <x v="5"/>
    <s v="No answer provided"/>
    <s v="Somewhat likely"/>
    <n v="3"/>
    <x v="0"/>
    <n v="2"/>
    <x v="2"/>
    <x v="7"/>
    <n v="2"/>
    <x v="2"/>
    <x v="0"/>
  </r>
  <r>
    <n v="460"/>
    <n v="3878078991"/>
    <x v="0"/>
    <x v="4"/>
    <s v="No answer provided"/>
    <s v="Very unlikely"/>
    <n v="1"/>
    <x v="0"/>
    <n v="2"/>
    <x v="2"/>
    <x v="9"/>
    <n v="10"/>
    <x v="4"/>
    <x v="0"/>
  </r>
  <r>
    <n v="461"/>
    <n v="3878074226"/>
    <x v="0"/>
    <x v="4"/>
    <s v="No answer provided"/>
    <s v="Somewhat likely"/>
    <n v="3"/>
    <x v="4"/>
    <n v="4"/>
    <x v="2"/>
    <x v="1"/>
    <n v="11"/>
    <x v="0"/>
    <x v="0"/>
  </r>
  <r>
    <n v="462"/>
    <n v="3878064767"/>
    <x v="0"/>
    <x v="5"/>
    <s v="No answer provided"/>
    <s v="Very unlikely"/>
    <n v="1"/>
    <x v="4"/>
    <n v="4"/>
    <x v="0"/>
    <x v="4"/>
    <n v="3"/>
    <x v="4"/>
    <x v="0"/>
  </r>
  <r>
    <n v="463"/>
    <n v="3878064239"/>
    <x v="0"/>
    <x v="2"/>
    <s v="No answer provided"/>
    <s v="Very unlikely"/>
    <n v="1"/>
    <x v="4"/>
    <n v="4"/>
    <x v="2"/>
    <x v="11"/>
    <n v="7"/>
    <x v="8"/>
    <x v="0"/>
  </r>
  <r>
    <n v="464"/>
    <n v="3878061795"/>
    <x v="0"/>
    <x v="4"/>
    <s v="No answer provided"/>
    <s v="Very unlikely"/>
    <n v="1"/>
    <x v="4"/>
    <n v="4"/>
    <x v="0"/>
    <x v="4"/>
    <n v="3"/>
    <x v="7"/>
    <x v="0"/>
  </r>
  <r>
    <n v="465"/>
    <n v="3878059916"/>
    <x v="0"/>
    <x v="2"/>
    <s v="No answer provided"/>
    <s v="Somewhat likely"/>
    <n v="3"/>
    <x v="3"/>
    <n v="3"/>
    <x v="0"/>
    <x v="3"/>
    <n v="8"/>
    <x v="6"/>
    <x v="0"/>
  </r>
  <r>
    <n v="466"/>
    <n v="3878059307"/>
    <x v="0"/>
    <x v="0"/>
    <s v="No answer provided"/>
    <s v="Very likely"/>
    <n v="4"/>
    <x v="4"/>
    <n v="4"/>
    <x v="2"/>
    <x v="2"/>
    <n v="6"/>
    <x v="6"/>
    <x v="0"/>
  </r>
  <r>
    <n v="467"/>
    <n v="3878054163"/>
    <x v="0"/>
    <x v="0"/>
    <s v="No answer provided"/>
    <s v="Somewhat likely"/>
    <n v="3"/>
    <x v="4"/>
    <n v="4"/>
    <x v="2"/>
    <x v="9"/>
    <n v="10"/>
    <x v="0"/>
    <x v="0"/>
  </r>
  <r>
    <n v="468"/>
    <n v="3878053524"/>
    <x v="0"/>
    <x v="1"/>
    <s v="Weather Underground through HD Widgets"/>
    <s v="Somewhat likely"/>
    <n v="3"/>
    <x v="1"/>
    <n v="1"/>
    <x v="2"/>
    <x v="8"/>
    <n v="5"/>
    <x v="6"/>
    <x v="8"/>
  </r>
  <r>
    <n v="469"/>
    <n v="3878052764"/>
    <x v="0"/>
    <x v="1"/>
    <s v="Weather Bug"/>
    <s v="Very unlikely"/>
    <n v="1"/>
    <x v="3"/>
    <n v="3"/>
    <x v="0"/>
    <x v="3"/>
    <n v="8"/>
    <x v="4"/>
    <x v="5"/>
  </r>
  <r>
    <n v="470"/>
    <n v="3878052086"/>
    <x v="0"/>
    <x v="0"/>
    <s v="No answer provided"/>
    <s v="Very likely"/>
    <n v="4"/>
    <x v="0"/>
    <n v="2"/>
    <x v="2"/>
    <x v="2"/>
    <n v="6"/>
    <x v="4"/>
    <x v="0"/>
  </r>
  <r>
    <n v="471"/>
    <n v="3878048164"/>
    <x v="0"/>
    <x v="2"/>
    <s v="No answer provided"/>
    <s v="Somewhat likely"/>
    <n v="3"/>
    <x v="3"/>
    <n v="3"/>
    <x v="2"/>
    <x v="0"/>
    <n v="4"/>
    <x v="4"/>
    <x v="0"/>
  </r>
  <r>
    <n v="472"/>
    <n v="3878044812"/>
    <x v="0"/>
    <x v="4"/>
    <s v="No answer provided"/>
    <s v="Very likely"/>
    <n v="4"/>
    <x v="1"/>
    <n v="1"/>
    <x v="2"/>
    <x v="8"/>
    <n v="5"/>
    <x v="5"/>
    <x v="0"/>
  </r>
  <r>
    <n v="473"/>
    <n v="3878044317"/>
    <x v="1"/>
    <x v="0"/>
    <s v="No answer provided"/>
    <s v="Very likely"/>
    <n v="4"/>
    <x v="3"/>
    <n v="3"/>
    <x v="2"/>
    <x v="8"/>
    <n v="5"/>
    <x v="6"/>
    <x v="0"/>
  </r>
  <r>
    <n v="474"/>
    <n v="3878043927"/>
    <x v="0"/>
    <x v="2"/>
    <s v="No answer provided"/>
    <s v="Very likely"/>
    <n v="4"/>
    <x v="3"/>
    <n v="3"/>
    <x v="2"/>
    <x v="1"/>
    <n v="11"/>
    <x v="2"/>
    <x v="0"/>
  </r>
  <r>
    <n v="475"/>
    <n v="3878043272"/>
    <x v="1"/>
    <x v="0"/>
    <s v="No answer provided"/>
    <s v="Somewhat likely"/>
    <n v="3"/>
    <x v="1"/>
    <n v="1"/>
    <x v="2"/>
    <x v="4"/>
    <n v="3"/>
    <x v="7"/>
    <x v="0"/>
  </r>
  <r>
    <n v="476"/>
    <n v="3878042695"/>
    <x v="0"/>
    <x v="0"/>
    <s v="No answer provided"/>
    <s v="Very likely"/>
    <n v="4"/>
    <x v="1"/>
    <n v="1"/>
    <x v="2"/>
    <x v="3"/>
    <n v="8"/>
    <x v="2"/>
    <x v="0"/>
  </r>
  <r>
    <n v="477"/>
    <n v="3878041562"/>
    <x v="0"/>
    <x v="2"/>
    <s v="No answer provided"/>
    <s v="Very likely"/>
    <n v="4"/>
    <x v="3"/>
    <n v="3"/>
    <x v="2"/>
    <x v="4"/>
    <n v="3"/>
    <x v="3"/>
    <x v="0"/>
  </r>
  <r>
    <n v="478"/>
    <n v="3878040881"/>
    <x v="0"/>
    <x v="6"/>
    <s v="No answer provided"/>
    <s v="Very unlikely"/>
    <n v="1"/>
    <x v="3"/>
    <n v="3"/>
    <x v="2"/>
    <x v="8"/>
    <n v="5"/>
    <x v="2"/>
    <x v="0"/>
  </r>
  <r>
    <n v="479"/>
    <n v="3878040492"/>
    <x v="0"/>
    <x v="5"/>
    <s v="No answer provided"/>
    <s v="Somewhat likely"/>
    <n v="3"/>
    <x v="0"/>
    <n v="2"/>
    <x v="2"/>
    <x v="1"/>
    <n v="11"/>
    <x v="4"/>
    <x v="0"/>
  </r>
  <r>
    <n v="480"/>
    <n v="3878040326"/>
    <x v="0"/>
    <x v="5"/>
    <s v="No answer provided"/>
    <s v="Somewhat likely"/>
    <n v="3"/>
    <x v="0"/>
    <n v="2"/>
    <x v="2"/>
    <x v="0"/>
    <n v="4"/>
    <x v="6"/>
    <x v="0"/>
  </r>
  <r>
    <n v="481"/>
    <n v="3878038987"/>
    <x v="0"/>
    <x v="2"/>
    <s v="No answer provided"/>
    <s v="Very likely"/>
    <n v="4"/>
    <x v="3"/>
    <n v="3"/>
    <x v="2"/>
    <x v="8"/>
    <n v="5"/>
    <x v="7"/>
    <x v="0"/>
  </r>
  <r>
    <n v="482"/>
    <n v="3878037165"/>
    <x v="0"/>
    <x v="1"/>
    <s v="weather app"/>
    <s v="Very likely"/>
    <n v="4"/>
    <x v="0"/>
    <n v="2"/>
    <x v="2"/>
    <x v="1"/>
    <n v="11"/>
    <x v="5"/>
    <x v="18"/>
  </r>
  <r>
    <n v="483"/>
    <n v="3878035259"/>
    <x v="0"/>
    <x v="5"/>
    <s v="No answer provided"/>
    <s v="Very likely"/>
    <n v="4"/>
    <x v="4"/>
    <n v="4"/>
    <x v="0"/>
    <x v="2"/>
    <n v="6"/>
    <x v="4"/>
    <x v="0"/>
  </r>
  <r>
    <n v="484"/>
    <n v="3878035151"/>
    <x v="0"/>
    <x v="1"/>
    <s v="AccuWeather"/>
    <s v="Somewhat likely"/>
    <n v="3"/>
    <x v="0"/>
    <n v="2"/>
    <x v="2"/>
    <x v="9"/>
    <n v="10"/>
    <x v="6"/>
    <x v="2"/>
  </r>
  <r>
    <n v="485"/>
    <n v="3878035092"/>
    <x v="0"/>
    <x v="5"/>
    <s v="No answer provided"/>
    <s v="Very likely"/>
    <n v="4"/>
    <x v="0"/>
    <n v="2"/>
    <x v="2"/>
    <x v="4"/>
    <n v="3"/>
    <x v="0"/>
    <x v="0"/>
  </r>
  <r>
    <n v="486"/>
    <n v="3878034412"/>
    <x v="0"/>
    <x v="5"/>
    <s v="No answer provided"/>
    <s v="Very unlikely"/>
    <n v="1"/>
    <x v="4"/>
    <n v="4"/>
    <x v="2"/>
    <x v="7"/>
    <n v="2"/>
    <x v="5"/>
    <x v="0"/>
  </r>
  <r>
    <n v="487"/>
    <n v="3878033239"/>
    <x v="0"/>
    <x v="0"/>
    <s v="No answer provided"/>
    <s v="Very likely"/>
    <n v="4"/>
    <x v="1"/>
    <n v="1"/>
    <x v="2"/>
    <x v="8"/>
    <n v="5"/>
    <x v="6"/>
    <x v="0"/>
  </r>
  <r>
    <n v="488"/>
    <n v="3878032634"/>
    <x v="0"/>
    <x v="4"/>
    <s v="No answer provided"/>
    <s v="Somewhat likely"/>
    <n v="3"/>
    <x v="1"/>
    <n v="1"/>
    <x v="2"/>
    <x v="7"/>
    <n v="2"/>
    <x v="7"/>
    <x v="0"/>
  </r>
  <r>
    <n v="489"/>
    <n v="3878032607"/>
    <x v="0"/>
    <x v="0"/>
    <s v="No answer provided"/>
    <s v="Very likely"/>
    <n v="4"/>
    <x v="4"/>
    <n v="4"/>
    <x v="2"/>
    <x v="8"/>
    <n v="5"/>
    <x v="4"/>
    <x v="0"/>
  </r>
  <r>
    <n v="490"/>
    <n v="3878032087"/>
    <x v="0"/>
    <x v="5"/>
    <s v="No answer provided"/>
    <s v="Very likely"/>
    <n v="4"/>
    <x v="3"/>
    <n v="3"/>
    <x v="2"/>
    <x v="8"/>
    <n v="5"/>
    <x v="2"/>
    <x v="0"/>
  </r>
  <r>
    <n v="491"/>
    <n v="3878031030"/>
    <x v="0"/>
    <x v="1"/>
    <s v="iPhone app"/>
    <s v="Somewhat likely"/>
    <n v="3"/>
    <x v="0"/>
    <n v="2"/>
    <x v="2"/>
    <x v="8"/>
    <n v="5"/>
    <x v="6"/>
    <x v="1"/>
  </r>
  <r>
    <n v="492"/>
    <n v="3878023139"/>
    <x v="1"/>
    <x v="5"/>
    <s v="No answer provided"/>
    <s v="Very likely"/>
    <n v="4"/>
    <x v="1"/>
    <n v="1"/>
    <x v="2"/>
    <x v="6"/>
    <n v="1"/>
    <x v="0"/>
    <x v="0"/>
  </r>
  <r>
    <n v="493"/>
    <n v="3878020495"/>
    <x v="1"/>
    <x v="1"/>
    <s v="National Weather Service site"/>
    <s v="Very unlikely"/>
    <n v="1"/>
    <x v="3"/>
    <n v="3"/>
    <x v="2"/>
    <x v="3"/>
    <n v="8"/>
    <x v="2"/>
    <x v="19"/>
  </r>
  <r>
    <n v="494"/>
    <n v="3878020282"/>
    <x v="0"/>
    <x v="6"/>
    <s v="No answer provided"/>
    <s v="Very likely"/>
    <n v="4"/>
    <x v="4"/>
    <n v="4"/>
    <x v="2"/>
    <x v="2"/>
    <n v="6"/>
    <x v="8"/>
    <x v="0"/>
  </r>
  <r>
    <n v="495"/>
    <n v="3878019960"/>
    <x v="0"/>
    <x v="4"/>
    <s v="No answer provided"/>
    <s v="Very unlikely"/>
    <n v="1"/>
    <x v="0"/>
    <n v="2"/>
    <x v="2"/>
    <x v="2"/>
    <n v="6"/>
    <x v="6"/>
    <x v="0"/>
  </r>
  <r>
    <n v="496"/>
    <n v="3878019423"/>
    <x v="0"/>
    <x v="5"/>
    <s v="No answer provided"/>
    <s v="Very likely"/>
    <n v="4"/>
    <x v="4"/>
    <n v="4"/>
    <x v="2"/>
    <x v="9"/>
    <n v="10"/>
    <x v="0"/>
    <x v="0"/>
  </r>
  <r>
    <n v="497"/>
    <n v="3878018322"/>
    <x v="0"/>
    <x v="6"/>
    <s v="No answer provided"/>
    <s v="Somewhat likely"/>
    <n v="3"/>
    <x v="4"/>
    <n v="4"/>
    <x v="0"/>
    <x v="1"/>
    <n v="11"/>
    <x v="6"/>
    <x v="0"/>
  </r>
  <r>
    <n v="498"/>
    <n v="3878018310"/>
    <x v="0"/>
    <x v="2"/>
    <s v="No answer provided"/>
    <s v="Very likely"/>
    <n v="4"/>
    <x v="4"/>
    <n v="4"/>
    <x v="0"/>
    <x v="11"/>
    <n v="7"/>
    <x v="8"/>
    <x v="0"/>
  </r>
  <r>
    <n v="499"/>
    <n v="3878016803"/>
    <x v="0"/>
    <x v="1"/>
    <s v="accuweather"/>
    <s v="Very likely"/>
    <n v="4"/>
    <x v="4"/>
    <n v="4"/>
    <x v="2"/>
    <x v="1"/>
    <n v="11"/>
    <x v="4"/>
    <x v="2"/>
  </r>
  <r>
    <n v="500"/>
    <n v="3878014756"/>
    <x v="0"/>
    <x v="5"/>
    <s v="No answer provided"/>
    <s v="Somewhat likely"/>
    <n v="3"/>
    <x v="3"/>
    <n v="3"/>
    <x v="2"/>
    <x v="1"/>
    <n v="11"/>
    <x v="6"/>
    <x v="0"/>
  </r>
  <r>
    <n v="501"/>
    <n v="3878013956"/>
    <x v="0"/>
    <x v="1"/>
    <s v="Accuweather"/>
    <s v="Very likely"/>
    <n v="4"/>
    <x v="1"/>
    <n v="1"/>
    <x v="2"/>
    <x v="1"/>
    <n v="11"/>
    <x v="0"/>
    <x v="2"/>
  </r>
  <r>
    <n v="502"/>
    <n v="3878012449"/>
    <x v="0"/>
    <x v="5"/>
    <s v="No answer provided"/>
    <s v="Somewhat likely"/>
    <n v="3"/>
    <x v="3"/>
    <n v="3"/>
    <x v="0"/>
    <x v="0"/>
    <n v="4"/>
    <x v="4"/>
    <x v="0"/>
  </r>
  <r>
    <n v="503"/>
    <n v="3878010983"/>
    <x v="0"/>
    <x v="6"/>
    <s v="No answer provided"/>
    <s v="Somewhat likely"/>
    <n v="3"/>
    <x v="3"/>
    <n v="3"/>
    <x v="2"/>
    <x v="1"/>
    <n v="11"/>
    <x v="4"/>
    <x v="0"/>
  </r>
  <r>
    <n v="504"/>
    <n v="3878010950"/>
    <x v="0"/>
    <x v="4"/>
    <s v="No answer provided"/>
    <s v="Somewhat unlikely"/>
    <n v="2"/>
    <x v="4"/>
    <n v="4"/>
    <x v="0"/>
    <x v="4"/>
    <n v="3"/>
    <x v="4"/>
    <x v="0"/>
  </r>
  <r>
    <n v="505"/>
    <n v="3878010904"/>
    <x v="0"/>
    <x v="5"/>
    <s v="No answer provided"/>
    <s v="Very unlikely"/>
    <n v="1"/>
    <x v="4"/>
    <n v="4"/>
    <x v="2"/>
    <x v="1"/>
    <n v="11"/>
    <x v="3"/>
    <x v="0"/>
  </r>
  <r>
    <n v="506"/>
    <n v="3878010376"/>
    <x v="0"/>
    <x v="0"/>
    <s v="No answer provided"/>
    <s v="Very unlikely"/>
    <n v="1"/>
    <x v="0"/>
    <n v="2"/>
    <x v="2"/>
    <x v="2"/>
    <n v="6"/>
    <x v="6"/>
    <x v="0"/>
  </r>
  <r>
    <n v="507"/>
    <n v="3878009694"/>
    <x v="0"/>
    <x v="2"/>
    <s v="No answer provided"/>
    <s v="Very likely"/>
    <n v="4"/>
    <x v="4"/>
    <n v="4"/>
    <x v="0"/>
    <x v="4"/>
    <n v="3"/>
    <x v="4"/>
    <x v="0"/>
  </r>
  <r>
    <n v="508"/>
    <n v="3878009691"/>
    <x v="0"/>
    <x v="4"/>
    <s v="No answer provided"/>
    <s v="Very unlikely"/>
    <n v="1"/>
    <x v="0"/>
    <n v="2"/>
    <x v="2"/>
    <x v="4"/>
    <n v="3"/>
    <x v="4"/>
    <x v="0"/>
  </r>
  <r>
    <n v="509"/>
    <n v="3878009582"/>
    <x v="0"/>
    <x v="1"/>
    <s v="Weather channel"/>
    <s v="Very unlikely"/>
    <n v="1"/>
    <x v="3"/>
    <n v="3"/>
    <x v="0"/>
    <x v="1"/>
    <n v="11"/>
    <x v="4"/>
    <x v="4"/>
  </r>
  <r>
    <n v="510"/>
    <n v="3878009488"/>
    <x v="0"/>
    <x v="4"/>
    <s v="No answer provided"/>
    <s v="Very unlikely"/>
    <n v="1"/>
    <x v="4"/>
    <n v="4"/>
    <x v="2"/>
    <x v="6"/>
    <n v="1"/>
    <x v="4"/>
    <x v="0"/>
  </r>
  <r>
    <n v="511"/>
    <n v="3878008863"/>
    <x v="0"/>
    <x v="6"/>
    <s v="No answer provided"/>
    <s v="Somewhat likely"/>
    <n v="3"/>
    <x v="4"/>
    <n v="4"/>
    <x v="0"/>
    <x v="1"/>
    <n v="11"/>
    <x v="7"/>
    <x v="0"/>
  </r>
  <r>
    <n v="512"/>
    <n v="3878007018"/>
    <x v="0"/>
    <x v="0"/>
    <s v="No answer provided"/>
    <s v="Very likely"/>
    <n v="4"/>
    <x v="4"/>
    <n v="4"/>
    <x v="0"/>
    <x v="9"/>
    <n v="10"/>
    <x v="0"/>
    <x v="0"/>
  </r>
  <r>
    <n v="513"/>
    <n v="3878005790"/>
    <x v="0"/>
    <x v="4"/>
    <s v="No answer provided"/>
    <s v="Very likely"/>
    <n v="4"/>
    <x v="1"/>
    <n v="1"/>
    <x v="2"/>
    <x v="7"/>
    <n v="2"/>
    <x v="7"/>
    <x v="0"/>
  </r>
  <r>
    <n v="514"/>
    <n v="3878001706"/>
    <x v="0"/>
    <x v="0"/>
    <s v="No answer provided"/>
    <s v="Very likely"/>
    <n v="4"/>
    <x v="1"/>
    <n v="1"/>
    <x v="2"/>
    <x v="2"/>
    <n v="6"/>
    <x v="6"/>
    <x v="0"/>
  </r>
  <r>
    <n v="515"/>
    <n v="3877999985"/>
    <x v="1"/>
    <x v="4"/>
    <s v="No answer provided"/>
    <s v="Very unlikely"/>
    <n v="1"/>
    <x v="3"/>
    <n v="3"/>
    <x v="2"/>
    <x v="2"/>
    <n v="6"/>
    <x v="4"/>
    <x v="0"/>
  </r>
  <r>
    <n v="516"/>
    <n v="3877998847"/>
    <x v="0"/>
    <x v="1"/>
    <s v="intellicast"/>
    <s v="Somewhat likely"/>
    <n v="3"/>
    <x v="4"/>
    <n v="4"/>
    <x v="0"/>
    <x v="1"/>
    <n v="11"/>
    <x v="0"/>
    <x v="11"/>
  </r>
  <r>
    <n v="517"/>
    <n v="3877998797"/>
    <x v="0"/>
    <x v="2"/>
    <s v="No answer provided"/>
    <s v="Very likely"/>
    <n v="4"/>
    <x v="1"/>
    <n v="1"/>
    <x v="2"/>
    <x v="7"/>
    <n v="2"/>
    <x v="3"/>
    <x v="0"/>
  </r>
  <r>
    <n v="518"/>
    <n v="3877997607"/>
    <x v="0"/>
    <x v="2"/>
    <s v="No answer provided"/>
    <s v="Very likely"/>
    <n v="4"/>
    <x v="1"/>
    <n v="1"/>
    <x v="2"/>
    <x v="1"/>
    <n v="11"/>
    <x v="6"/>
    <x v="0"/>
  </r>
  <r>
    <n v="519"/>
    <n v="3877996677"/>
    <x v="1"/>
    <x v="5"/>
    <s v="No answer provided"/>
    <s v="Very unlikely"/>
    <n v="1"/>
    <x v="4"/>
    <n v="4"/>
    <x v="0"/>
    <x v="0"/>
    <n v="4"/>
    <x v="3"/>
    <x v="0"/>
  </r>
  <r>
    <n v="520"/>
    <n v="3877995949"/>
    <x v="0"/>
    <x v="2"/>
    <s v="No answer provided"/>
    <s v="Somewhat unlikely"/>
    <n v="2"/>
    <x v="3"/>
    <n v="3"/>
    <x v="2"/>
    <x v="8"/>
    <n v="5"/>
    <x v="4"/>
    <x v="0"/>
  </r>
  <r>
    <n v="521"/>
    <n v="3877995873"/>
    <x v="0"/>
    <x v="2"/>
    <s v="No answer provided"/>
    <s v="Very likely"/>
    <n v="4"/>
    <x v="3"/>
    <n v="3"/>
    <x v="0"/>
    <x v="0"/>
    <n v="4"/>
    <x v="6"/>
    <x v="0"/>
  </r>
  <r>
    <n v="522"/>
    <n v="3877994295"/>
    <x v="1"/>
    <x v="2"/>
    <s v="No answer provided"/>
    <s v="Somewhat likely"/>
    <n v="3"/>
    <x v="1"/>
    <n v="1"/>
    <x v="2"/>
    <x v="1"/>
    <n v="11"/>
    <x v="0"/>
    <x v="0"/>
  </r>
  <r>
    <n v="523"/>
    <n v="3877993115"/>
    <x v="1"/>
    <x v="5"/>
    <s v="No answer provided"/>
    <s v="Very unlikely"/>
    <n v="1"/>
    <x v="1"/>
    <n v="1"/>
    <x v="2"/>
    <x v="7"/>
    <n v="2"/>
    <x v="0"/>
    <x v="0"/>
  </r>
  <r>
    <n v="524"/>
    <n v="3877992847"/>
    <x v="0"/>
    <x v="0"/>
    <s v="No answer provided"/>
    <s v="Somewhat likely"/>
    <n v="3"/>
    <x v="3"/>
    <n v="3"/>
    <x v="0"/>
    <x v="1"/>
    <n v="11"/>
    <x v="4"/>
    <x v="0"/>
  </r>
  <r>
    <n v="525"/>
    <n v="3877992331"/>
    <x v="0"/>
    <x v="2"/>
    <s v="No answer provided"/>
    <s v="Very unlikely"/>
    <n v="1"/>
    <x v="4"/>
    <n v="4"/>
    <x v="2"/>
    <x v="1"/>
    <n v="11"/>
    <x v="5"/>
    <x v="0"/>
  </r>
  <r>
    <n v="526"/>
    <n v="3877991281"/>
    <x v="0"/>
    <x v="0"/>
    <s v="No answer provided"/>
    <s v="Very likely"/>
    <n v="4"/>
    <x v="3"/>
    <n v="3"/>
    <x v="2"/>
    <x v="4"/>
    <n v="3"/>
    <x v="3"/>
    <x v="0"/>
  </r>
  <r>
    <n v="527"/>
    <n v="3877990551"/>
    <x v="0"/>
    <x v="5"/>
    <s v="No answer provided"/>
    <s v="Very likely"/>
    <n v="4"/>
    <x v="4"/>
    <n v="4"/>
    <x v="2"/>
    <x v="1"/>
    <n v="11"/>
    <x v="8"/>
    <x v="0"/>
  </r>
  <r>
    <n v="528"/>
    <n v="3877989849"/>
    <x v="0"/>
    <x v="2"/>
    <s v="No answer provided"/>
    <s v="Very likely"/>
    <n v="4"/>
    <x v="4"/>
    <n v="4"/>
    <x v="0"/>
    <x v="11"/>
    <n v="7"/>
    <x v="7"/>
    <x v="0"/>
  </r>
  <r>
    <n v="529"/>
    <n v="3877989016"/>
    <x v="0"/>
    <x v="1"/>
    <s v="Weatherbug"/>
    <s v="Very unlikely"/>
    <n v="1"/>
    <x v="4"/>
    <n v="4"/>
    <x v="0"/>
    <x v="0"/>
    <n v="4"/>
    <x v="3"/>
    <x v="5"/>
  </r>
  <r>
    <n v="530"/>
    <n v="3877986851"/>
    <x v="0"/>
    <x v="0"/>
    <s v="No answer provided"/>
    <s v="Very likely"/>
    <n v="4"/>
    <x v="3"/>
    <n v="3"/>
    <x v="2"/>
    <x v="11"/>
    <n v="7"/>
    <x v="6"/>
    <x v="0"/>
  </r>
  <r>
    <n v="531"/>
    <n v="3877984798"/>
    <x v="1"/>
    <x v="0"/>
    <s v="No answer provided"/>
    <s v="Very unlikely"/>
    <n v="1"/>
    <x v="1"/>
    <n v="1"/>
    <x v="2"/>
    <x v="7"/>
    <n v="2"/>
    <x v="0"/>
    <x v="0"/>
  </r>
  <r>
    <n v="532"/>
    <n v="3877983130"/>
    <x v="0"/>
    <x v="0"/>
    <s v="No answer provided"/>
    <s v="Somewhat likely"/>
    <n v="3"/>
    <x v="1"/>
    <n v="1"/>
    <x v="2"/>
    <x v="4"/>
    <n v="3"/>
    <x v="3"/>
    <x v="0"/>
  </r>
  <r>
    <n v="533"/>
    <n v="3877983122"/>
    <x v="0"/>
    <x v="2"/>
    <s v="No answer provided"/>
    <s v="Very likely"/>
    <n v="4"/>
    <x v="3"/>
    <n v="3"/>
    <x v="0"/>
    <x v="10"/>
    <n v="9"/>
    <x v="3"/>
    <x v="0"/>
  </r>
  <r>
    <n v="534"/>
    <n v="3877982615"/>
    <x v="0"/>
    <x v="1"/>
    <s v="Weather.com"/>
    <s v="Very likely"/>
    <n v="4"/>
    <x v="4"/>
    <n v="4"/>
    <x v="2"/>
    <x v="4"/>
    <n v="3"/>
    <x v="0"/>
    <x v="4"/>
  </r>
  <r>
    <n v="535"/>
    <n v="3877982204"/>
    <x v="1"/>
    <x v="4"/>
    <s v="No answer provided"/>
    <s v="Somewhat unlikely"/>
    <n v="2"/>
    <x v="1"/>
    <n v="1"/>
    <x v="2"/>
    <x v="4"/>
    <n v="3"/>
    <x v="2"/>
    <x v="0"/>
  </r>
  <r>
    <n v="536"/>
    <n v="3877981227"/>
    <x v="0"/>
    <x v="5"/>
    <s v="No answer provided"/>
    <s v="Somewhat likely"/>
    <n v="3"/>
    <x v="3"/>
    <n v="3"/>
    <x v="2"/>
    <x v="11"/>
    <n v="7"/>
    <x v="4"/>
    <x v="0"/>
  </r>
  <r>
    <n v="537"/>
    <n v="3877981098"/>
    <x v="0"/>
    <x v="1"/>
    <s v="the weather channel"/>
    <s v="Very likely"/>
    <n v="4"/>
    <x v="0"/>
    <n v="2"/>
    <x v="2"/>
    <x v="8"/>
    <n v="5"/>
    <x v="2"/>
    <x v="4"/>
  </r>
  <r>
    <n v="538"/>
    <n v="3877980492"/>
    <x v="0"/>
    <x v="1"/>
    <s v="the weather channel"/>
    <s v="Somewhat likely"/>
    <n v="3"/>
    <x v="3"/>
    <n v="3"/>
    <x v="2"/>
    <x v="1"/>
    <n v="11"/>
    <x v="4"/>
    <x v="4"/>
  </r>
  <r>
    <n v="539"/>
    <n v="3877980484"/>
    <x v="1"/>
    <x v="0"/>
    <s v="No answer provided"/>
    <s v="Somewhat unlikely"/>
    <n v="2"/>
    <x v="1"/>
    <n v="1"/>
    <x v="2"/>
    <x v="6"/>
    <n v="1"/>
    <x v="4"/>
    <x v="0"/>
  </r>
  <r>
    <n v="540"/>
    <n v="3877980051"/>
    <x v="0"/>
    <x v="0"/>
    <s v="No answer provided"/>
    <s v="Very unlikely"/>
    <n v="1"/>
    <x v="1"/>
    <n v="1"/>
    <x v="2"/>
    <x v="4"/>
    <n v="3"/>
    <x v="3"/>
    <x v="0"/>
  </r>
  <r>
    <n v="541"/>
    <n v="3877977794"/>
    <x v="0"/>
    <x v="2"/>
    <s v="No answer provided"/>
    <s v="Very likely"/>
    <n v="4"/>
    <x v="3"/>
    <n v="3"/>
    <x v="0"/>
    <x v="2"/>
    <n v="6"/>
    <x v="2"/>
    <x v="0"/>
  </r>
  <r>
    <n v="542"/>
    <n v="3877976383"/>
    <x v="0"/>
    <x v="1"/>
    <s v="iPhone weather app"/>
    <s v="Very likely"/>
    <n v="4"/>
    <x v="1"/>
    <n v="1"/>
    <x v="2"/>
    <x v="1"/>
    <n v="11"/>
    <x v="9"/>
    <x v="1"/>
  </r>
  <r>
    <n v="543"/>
    <n v="3877975104"/>
    <x v="0"/>
    <x v="2"/>
    <s v="No answer provided"/>
    <s v="Somewhat likely"/>
    <n v="3"/>
    <x v="2"/>
    <s v="na"/>
    <x v="1"/>
    <x v="5"/>
    <s v="na"/>
    <x v="1"/>
    <x v="0"/>
  </r>
  <r>
    <n v="544"/>
    <n v="3877973396"/>
    <x v="0"/>
    <x v="7"/>
    <s v="No answer provided"/>
    <s v="Very unlikely"/>
    <n v="1"/>
    <x v="4"/>
    <n v="4"/>
    <x v="0"/>
    <x v="1"/>
    <n v="11"/>
    <x v="2"/>
    <x v="0"/>
  </r>
  <r>
    <n v="545"/>
    <n v="3877969129"/>
    <x v="0"/>
    <x v="1"/>
    <s v="The Weather Channel for iPhone or iPad "/>
    <s v="Very likely"/>
    <n v="4"/>
    <x v="3"/>
    <n v="3"/>
    <x v="2"/>
    <x v="1"/>
    <n v="11"/>
    <x v="0"/>
    <x v="4"/>
  </r>
  <r>
    <n v="546"/>
    <n v="3877968802"/>
    <x v="0"/>
    <x v="6"/>
    <s v="No answer provided"/>
    <s v="Somewhat likely"/>
    <n v="3"/>
    <x v="4"/>
    <n v="4"/>
    <x v="2"/>
    <x v="2"/>
    <n v="6"/>
    <x v="4"/>
    <x v="0"/>
  </r>
  <r>
    <n v="547"/>
    <n v="3877966982"/>
    <x v="0"/>
    <x v="0"/>
    <s v="No answer provided"/>
    <s v="Somewhat likely"/>
    <n v="3"/>
    <x v="1"/>
    <n v="1"/>
    <x v="2"/>
    <x v="9"/>
    <n v="10"/>
    <x v="8"/>
    <x v="0"/>
  </r>
  <r>
    <n v="548"/>
    <n v="3877965710"/>
    <x v="0"/>
    <x v="1"/>
    <s v="m.accuweather.com"/>
    <s v="Very likely"/>
    <n v="4"/>
    <x v="3"/>
    <n v="3"/>
    <x v="2"/>
    <x v="2"/>
    <n v="6"/>
    <x v="7"/>
    <x v="2"/>
  </r>
  <r>
    <n v="549"/>
    <n v="3877965544"/>
    <x v="0"/>
    <x v="5"/>
    <s v="No answer provided"/>
    <s v="Very unlikely"/>
    <n v="1"/>
    <x v="4"/>
    <n v="4"/>
    <x v="0"/>
    <x v="8"/>
    <n v="5"/>
    <x v="7"/>
    <x v="0"/>
  </r>
  <r>
    <n v="550"/>
    <n v="3877961612"/>
    <x v="0"/>
    <x v="0"/>
    <s v="No answer provided"/>
    <s v="Very likely"/>
    <n v="4"/>
    <x v="1"/>
    <n v="1"/>
    <x v="2"/>
    <x v="7"/>
    <n v="2"/>
    <x v="0"/>
    <x v="0"/>
  </r>
  <r>
    <n v="551"/>
    <n v="3877960106"/>
    <x v="1"/>
    <x v="4"/>
    <s v="No answer provided"/>
    <s v="Somewhat unlikely"/>
    <n v="2"/>
    <x v="1"/>
    <n v="1"/>
    <x v="2"/>
    <x v="4"/>
    <n v="3"/>
    <x v="4"/>
    <x v="0"/>
  </r>
  <r>
    <n v="552"/>
    <n v="3877958234"/>
    <x v="1"/>
    <x v="1"/>
    <s v="National Weather Service"/>
    <s v="Somewhat likely"/>
    <n v="3"/>
    <x v="3"/>
    <n v="3"/>
    <x v="2"/>
    <x v="2"/>
    <n v="6"/>
    <x v="7"/>
    <x v="19"/>
  </r>
  <r>
    <n v="553"/>
    <n v="3877957277"/>
    <x v="0"/>
    <x v="4"/>
    <s v="No answer provided"/>
    <s v="Very likely"/>
    <n v="4"/>
    <x v="3"/>
    <n v="3"/>
    <x v="2"/>
    <x v="1"/>
    <n v="11"/>
    <x v="9"/>
    <x v="0"/>
  </r>
  <r>
    <n v="554"/>
    <n v="3877955881"/>
    <x v="1"/>
    <x v="5"/>
    <s v="No answer provided"/>
    <s v="Very unlikely"/>
    <n v="1"/>
    <x v="3"/>
    <n v="3"/>
    <x v="2"/>
    <x v="11"/>
    <n v="7"/>
    <x v="3"/>
    <x v="0"/>
  </r>
  <r>
    <n v="555"/>
    <n v="3877955839"/>
    <x v="0"/>
    <x v="5"/>
    <s v="No answer provided"/>
    <s v="Very likely"/>
    <n v="4"/>
    <x v="1"/>
    <n v="1"/>
    <x v="2"/>
    <x v="7"/>
    <n v="2"/>
    <x v="2"/>
    <x v="0"/>
  </r>
  <r>
    <n v="556"/>
    <n v="3877955798"/>
    <x v="0"/>
    <x v="0"/>
    <s v="No answer provided"/>
    <s v="Very likely"/>
    <n v="4"/>
    <x v="4"/>
    <n v="4"/>
    <x v="0"/>
    <x v="0"/>
    <n v="4"/>
    <x v="5"/>
    <x v="0"/>
  </r>
  <r>
    <n v="557"/>
    <n v="3877954334"/>
    <x v="0"/>
    <x v="0"/>
    <s v="No answer provided"/>
    <s v="Very unlikely"/>
    <n v="1"/>
    <x v="3"/>
    <n v="3"/>
    <x v="2"/>
    <x v="10"/>
    <n v="9"/>
    <x v="2"/>
    <x v="0"/>
  </r>
  <r>
    <n v="558"/>
    <n v="3877953647"/>
    <x v="0"/>
    <x v="4"/>
    <s v="No answer provided"/>
    <s v="Very likely"/>
    <n v="4"/>
    <x v="4"/>
    <n v="4"/>
    <x v="2"/>
    <x v="8"/>
    <n v="5"/>
    <x v="4"/>
    <x v="0"/>
  </r>
  <r>
    <n v="559"/>
    <n v="3877950102"/>
    <x v="0"/>
    <x v="0"/>
    <s v="No answer provided"/>
    <s v="Very likely"/>
    <n v="4"/>
    <x v="4"/>
    <n v="4"/>
    <x v="2"/>
    <x v="1"/>
    <n v="11"/>
    <x v="6"/>
    <x v="0"/>
  </r>
  <r>
    <n v="560"/>
    <n v="3877949696"/>
    <x v="0"/>
    <x v="0"/>
    <s v="No answer provided"/>
    <s v="Very unlikely"/>
    <n v="1"/>
    <x v="0"/>
    <n v="2"/>
    <x v="2"/>
    <x v="1"/>
    <n v="11"/>
    <x v="0"/>
    <x v="0"/>
  </r>
  <r>
    <n v="561"/>
    <n v="3877949284"/>
    <x v="0"/>
    <x v="2"/>
    <s v="No answer provided"/>
    <s v="Very likely"/>
    <n v="4"/>
    <x v="4"/>
    <n v="4"/>
    <x v="0"/>
    <x v="2"/>
    <n v="6"/>
    <x v="7"/>
    <x v="0"/>
  </r>
  <r>
    <n v="562"/>
    <n v="3877948332"/>
    <x v="0"/>
    <x v="5"/>
    <s v="No answer provided"/>
    <s v="Very likely"/>
    <n v="4"/>
    <x v="3"/>
    <n v="3"/>
    <x v="2"/>
    <x v="4"/>
    <n v="3"/>
    <x v="2"/>
    <x v="0"/>
  </r>
  <r>
    <n v="563"/>
    <n v="3877946979"/>
    <x v="0"/>
    <x v="1"/>
    <s v="weather channel"/>
    <s v="Very unlikely"/>
    <n v="1"/>
    <x v="0"/>
    <n v="2"/>
    <x v="2"/>
    <x v="3"/>
    <n v="8"/>
    <x v="4"/>
    <x v="4"/>
  </r>
  <r>
    <n v="564"/>
    <n v="3877946354"/>
    <x v="0"/>
    <x v="5"/>
    <s v="No answer provided"/>
    <s v="Very unlikely"/>
    <n v="1"/>
    <x v="4"/>
    <n v="4"/>
    <x v="0"/>
    <x v="9"/>
    <n v="10"/>
    <x v="4"/>
    <x v="0"/>
  </r>
  <r>
    <n v="565"/>
    <n v="3877945582"/>
    <x v="0"/>
    <x v="4"/>
    <s v="No answer provided"/>
    <s v="Very likely"/>
    <n v="4"/>
    <x v="3"/>
    <n v="3"/>
    <x v="2"/>
    <x v="1"/>
    <n v="11"/>
    <x v="0"/>
    <x v="0"/>
  </r>
  <r>
    <n v="566"/>
    <n v="3877943483"/>
    <x v="1"/>
    <x v="5"/>
    <s v="No answer provided"/>
    <s v="Very unlikely"/>
    <n v="1"/>
    <x v="3"/>
    <n v="3"/>
    <x v="2"/>
    <x v="8"/>
    <n v="5"/>
    <x v="0"/>
    <x v="0"/>
  </r>
  <r>
    <n v="567"/>
    <n v="3877943300"/>
    <x v="0"/>
    <x v="4"/>
    <s v="No answer provided"/>
    <s v="Very likely"/>
    <n v="4"/>
    <x v="1"/>
    <n v="1"/>
    <x v="2"/>
    <x v="7"/>
    <n v="2"/>
    <x v="8"/>
    <x v="0"/>
  </r>
  <r>
    <n v="568"/>
    <n v="3877942496"/>
    <x v="1"/>
    <x v="5"/>
    <s v="No answer provided"/>
    <s v="Somewhat likely"/>
    <n v="3"/>
    <x v="3"/>
    <n v="3"/>
    <x v="2"/>
    <x v="4"/>
    <n v="3"/>
    <x v="6"/>
    <x v="0"/>
  </r>
  <r>
    <n v="569"/>
    <n v="3877941352"/>
    <x v="0"/>
    <x v="2"/>
    <s v="No answer provided"/>
    <s v="Very likely"/>
    <n v="4"/>
    <x v="3"/>
    <n v="3"/>
    <x v="0"/>
    <x v="0"/>
    <n v="4"/>
    <x v="9"/>
    <x v="0"/>
  </r>
  <r>
    <n v="570"/>
    <n v="3877941272"/>
    <x v="1"/>
    <x v="3"/>
    <s v="No answer provided"/>
    <s v="No answer provided"/>
    <s v="na"/>
    <x v="2"/>
    <s v="na"/>
    <x v="1"/>
    <x v="5"/>
    <s v="na"/>
    <x v="1"/>
    <x v="0"/>
  </r>
  <r>
    <n v="571"/>
    <n v="3877941245"/>
    <x v="0"/>
    <x v="4"/>
    <s v="No answer provided"/>
    <s v="Somewhat likely"/>
    <n v="3"/>
    <x v="0"/>
    <n v="2"/>
    <x v="2"/>
    <x v="0"/>
    <n v="4"/>
    <x v="2"/>
    <x v="0"/>
  </r>
  <r>
    <n v="572"/>
    <n v="3877939977"/>
    <x v="0"/>
    <x v="2"/>
    <s v="No answer provided"/>
    <s v="Very likely"/>
    <n v="4"/>
    <x v="4"/>
    <n v="4"/>
    <x v="2"/>
    <x v="0"/>
    <n v="4"/>
    <x v="3"/>
    <x v="0"/>
  </r>
  <r>
    <n v="573"/>
    <n v="3877939933"/>
    <x v="0"/>
    <x v="2"/>
    <s v="No answer provided"/>
    <s v="Very likely"/>
    <n v="4"/>
    <x v="3"/>
    <n v="3"/>
    <x v="0"/>
    <x v="11"/>
    <n v="7"/>
    <x v="6"/>
    <x v="0"/>
  </r>
  <r>
    <n v="574"/>
    <n v="3877939431"/>
    <x v="0"/>
    <x v="1"/>
    <s v="Google App"/>
    <s v="Very likely"/>
    <n v="4"/>
    <x v="1"/>
    <n v="1"/>
    <x v="2"/>
    <x v="4"/>
    <n v="3"/>
    <x v="4"/>
    <x v="7"/>
  </r>
  <r>
    <n v="575"/>
    <n v="3877937093"/>
    <x v="0"/>
    <x v="4"/>
    <s v="No answer provided"/>
    <s v="Very likely"/>
    <n v="4"/>
    <x v="1"/>
    <n v="1"/>
    <x v="2"/>
    <x v="1"/>
    <n v="11"/>
    <x v="3"/>
    <x v="0"/>
  </r>
  <r>
    <n v="576"/>
    <n v="3877936279"/>
    <x v="0"/>
    <x v="1"/>
    <s v="Accuweather"/>
    <s v="Very likely"/>
    <n v="4"/>
    <x v="4"/>
    <n v="4"/>
    <x v="2"/>
    <x v="1"/>
    <n v="11"/>
    <x v="6"/>
    <x v="2"/>
  </r>
  <r>
    <n v="577"/>
    <n v="3877934942"/>
    <x v="0"/>
    <x v="3"/>
    <s v="No answer provided"/>
    <s v="No answer provided"/>
    <s v="na"/>
    <x v="2"/>
    <s v="na"/>
    <x v="1"/>
    <x v="5"/>
    <s v="na"/>
    <x v="1"/>
    <x v="0"/>
  </r>
  <r>
    <n v="578"/>
    <n v="3877934726"/>
    <x v="0"/>
    <x v="7"/>
    <s v="No answer provided"/>
    <s v="Somewhat likely"/>
    <n v="3"/>
    <x v="3"/>
    <n v="3"/>
    <x v="2"/>
    <x v="8"/>
    <n v="5"/>
    <x v="4"/>
    <x v="0"/>
  </r>
  <r>
    <n v="579"/>
    <n v="3877934192"/>
    <x v="0"/>
    <x v="0"/>
    <s v="No answer provided"/>
    <s v="Very likely"/>
    <n v="4"/>
    <x v="3"/>
    <n v="3"/>
    <x v="2"/>
    <x v="9"/>
    <n v="10"/>
    <x v="7"/>
    <x v="0"/>
  </r>
  <r>
    <n v="580"/>
    <n v="3877934039"/>
    <x v="0"/>
    <x v="2"/>
    <s v="No answer provided"/>
    <s v="Very likely"/>
    <n v="4"/>
    <x v="3"/>
    <n v="3"/>
    <x v="2"/>
    <x v="10"/>
    <n v="9"/>
    <x v="3"/>
    <x v="0"/>
  </r>
  <r>
    <n v="581"/>
    <n v="3877934025"/>
    <x v="0"/>
    <x v="1"/>
    <s v="Accuweather"/>
    <s v="Somewhat likely"/>
    <n v="3"/>
    <x v="3"/>
    <n v="3"/>
    <x v="2"/>
    <x v="4"/>
    <n v="3"/>
    <x v="2"/>
    <x v="2"/>
  </r>
  <r>
    <n v="582"/>
    <n v="3877933879"/>
    <x v="0"/>
    <x v="5"/>
    <s v="No answer provided"/>
    <s v="Very unlikely"/>
    <n v="1"/>
    <x v="4"/>
    <n v="4"/>
    <x v="0"/>
    <x v="1"/>
    <n v="11"/>
    <x v="9"/>
    <x v="0"/>
  </r>
  <r>
    <n v="583"/>
    <n v="3877933017"/>
    <x v="0"/>
    <x v="1"/>
    <s v="The Weather Channel app on my phone."/>
    <s v="Very likely"/>
    <n v="4"/>
    <x v="3"/>
    <n v="3"/>
    <x v="0"/>
    <x v="8"/>
    <n v="5"/>
    <x v="6"/>
    <x v="4"/>
  </r>
  <r>
    <n v="584"/>
    <n v="3877930386"/>
    <x v="0"/>
    <x v="4"/>
    <s v="No answer provided"/>
    <s v="Very likely"/>
    <n v="4"/>
    <x v="1"/>
    <n v="1"/>
    <x v="2"/>
    <x v="7"/>
    <n v="2"/>
    <x v="4"/>
    <x v="0"/>
  </r>
  <r>
    <n v="585"/>
    <n v="3877930133"/>
    <x v="0"/>
    <x v="5"/>
    <s v="No answer provided"/>
    <s v="Very likely"/>
    <n v="4"/>
    <x v="4"/>
    <n v="4"/>
    <x v="2"/>
    <x v="1"/>
    <n v="11"/>
    <x v="0"/>
    <x v="0"/>
  </r>
  <r>
    <n v="586"/>
    <n v="3877926515"/>
    <x v="0"/>
    <x v="5"/>
    <s v="No answer provided"/>
    <s v="Somewhat likely"/>
    <n v="3"/>
    <x v="1"/>
    <n v="1"/>
    <x v="2"/>
    <x v="6"/>
    <n v="1"/>
    <x v="8"/>
    <x v="0"/>
  </r>
  <r>
    <n v="587"/>
    <n v="3877926252"/>
    <x v="0"/>
    <x v="7"/>
    <s v="No answer provided"/>
    <s v="Very unlikely"/>
    <n v="1"/>
    <x v="4"/>
    <n v="4"/>
    <x v="0"/>
    <x v="9"/>
    <n v="10"/>
    <x v="3"/>
    <x v="0"/>
  </r>
  <r>
    <n v="588"/>
    <n v="3877922131"/>
    <x v="0"/>
    <x v="2"/>
    <s v="No answer provided"/>
    <s v="Somewhat likely"/>
    <n v="3"/>
    <x v="3"/>
    <n v="3"/>
    <x v="2"/>
    <x v="6"/>
    <n v="1"/>
    <x v="6"/>
    <x v="0"/>
  </r>
  <r>
    <n v="589"/>
    <n v="3877921800"/>
    <x v="0"/>
    <x v="4"/>
    <s v="No answer provided"/>
    <s v="Somewhat likely"/>
    <n v="3"/>
    <x v="4"/>
    <n v="4"/>
    <x v="0"/>
    <x v="11"/>
    <n v="7"/>
    <x v="4"/>
    <x v="0"/>
  </r>
  <r>
    <n v="590"/>
    <n v="3877921461"/>
    <x v="1"/>
    <x v="5"/>
    <s v="No answer provided"/>
    <s v="Very likely"/>
    <n v="4"/>
    <x v="3"/>
    <n v="3"/>
    <x v="2"/>
    <x v="8"/>
    <n v="5"/>
    <x v="0"/>
    <x v="0"/>
  </r>
  <r>
    <n v="591"/>
    <n v="3877920147"/>
    <x v="1"/>
    <x v="4"/>
    <s v="No answer provided"/>
    <s v="Very unlikely"/>
    <n v="1"/>
    <x v="0"/>
    <n v="2"/>
    <x v="2"/>
    <x v="8"/>
    <n v="5"/>
    <x v="2"/>
    <x v="0"/>
  </r>
  <r>
    <n v="592"/>
    <n v="3877919152"/>
    <x v="0"/>
    <x v="5"/>
    <s v="No answer provided"/>
    <s v="Somewhat likely"/>
    <n v="3"/>
    <x v="4"/>
    <n v="4"/>
    <x v="2"/>
    <x v="11"/>
    <n v="7"/>
    <x v="6"/>
    <x v="0"/>
  </r>
  <r>
    <n v="593"/>
    <n v="3877918818"/>
    <x v="1"/>
    <x v="0"/>
    <s v="No answer provided"/>
    <s v="Somewhat likely"/>
    <n v="3"/>
    <x v="1"/>
    <n v="1"/>
    <x v="2"/>
    <x v="3"/>
    <n v="8"/>
    <x v="4"/>
    <x v="0"/>
  </r>
  <r>
    <n v="594"/>
    <n v="3877916763"/>
    <x v="0"/>
    <x v="1"/>
    <s v="weather channel"/>
    <s v="Very likely"/>
    <n v="4"/>
    <x v="4"/>
    <n v="4"/>
    <x v="0"/>
    <x v="11"/>
    <n v="7"/>
    <x v="5"/>
    <x v="4"/>
  </r>
  <r>
    <n v="595"/>
    <n v="3877914049"/>
    <x v="0"/>
    <x v="4"/>
    <s v="No answer provided"/>
    <s v="Very likely"/>
    <n v="4"/>
    <x v="3"/>
    <n v="3"/>
    <x v="2"/>
    <x v="9"/>
    <n v="10"/>
    <x v="9"/>
    <x v="0"/>
  </r>
  <r>
    <n v="596"/>
    <n v="3877912517"/>
    <x v="0"/>
    <x v="8"/>
    <s v="No answer provided"/>
    <s v="Very likely"/>
    <n v="4"/>
    <x v="4"/>
    <n v="4"/>
    <x v="0"/>
    <x v="8"/>
    <n v="5"/>
    <x v="3"/>
    <x v="0"/>
  </r>
  <r>
    <n v="597"/>
    <n v="3877911586"/>
    <x v="0"/>
    <x v="5"/>
    <s v="No answer provided"/>
    <s v="Somewhat likely"/>
    <n v="3"/>
    <x v="4"/>
    <n v="4"/>
    <x v="2"/>
    <x v="1"/>
    <n v="11"/>
    <x v="8"/>
    <x v="0"/>
  </r>
  <r>
    <n v="598"/>
    <n v="3877906211"/>
    <x v="0"/>
    <x v="1"/>
    <s v="WEatherbug"/>
    <s v="Somewhat likely"/>
    <n v="3"/>
    <x v="0"/>
    <n v="2"/>
    <x v="2"/>
    <x v="1"/>
    <n v="11"/>
    <x v="6"/>
    <x v="5"/>
  </r>
  <r>
    <n v="599"/>
    <n v="3877905346"/>
    <x v="1"/>
    <x v="5"/>
    <s v="No answer provided"/>
    <s v="Very unlikely"/>
    <n v="1"/>
    <x v="3"/>
    <n v="3"/>
    <x v="2"/>
    <x v="3"/>
    <n v="8"/>
    <x v="7"/>
    <x v="0"/>
  </r>
  <r>
    <n v="600"/>
    <n v="3877904337"/>
    <x v="0"/>
    <x v="0"/>
    <s v="No answer provided"/>
    <s v="Very likely"/>
    <n v="4"/>
    <x v="3"/>
    <n v="3"/>
    <x v="0"/>
    <x v="8"/>
    <n v="5"/>
    <x v="3"/>
    <x v="0"/>
  </r>
  <r>
    <n v="601"/>
    <n v="3877903810"/>
    <x v="1"/>
    <x v="5"/>
    <s v="No answer provided"/>
    <s v="Very likely"/>
    <n v="4"/>
    <x v="3"/>
    <n v="3"/>
    <x v="2"/>
    <x v="1"/>
    <n v="11"/>
    <x v="6"/>
    <x v="0"/>
  </r>
  <r>
    <n v="602"/>
    <n v="3877903803"/>
    <x v="0"/>
    <x v="6"/>
    <s v="No answer provided"/>
    <s v="Very likely"/>
    <n v="4"/>
    <x v="3"/>
    <n v="3"/>
    <x v="2"/>
    <x v="1"/>
    <n v="11"/>
    <x v="4"/>
    <x v="0"/>
  </r>
  <r>
    <n v="603"/>
    <n v="3877903037"/>
    <x v="0"/>
    <x v="1"/>
    <s v="weatherbug"/>
    <s v="Somewhat likely"/>
    <n v="3"/>
    <x v="0"/>
    <n v="2"/>
    <x v="2"/>
    <x v="1"/>
    <n v="11"/>
    <x v="0"/>
    <x v="5"/>
  </r>
  <r>
    <n v="604"/>
    <n v="3877902471"/>
    <x v="1"/>
    <x v="2"/>
    <s v="No answer provided"/>
    <s v="Very unlikely"/>
    <n v="1"/>
    <x v="1"/>
    <n v="1"/>
    <x v="2"/>
    <x v="1"/>
    <n v="11"/>
    <x v="0"/>
    <x v="0"/>
  </r>
  <r>
    <n v="605"/>
    <n v="3877902073"/>
    <x v="0"/>
    <x v="1"/>
    <s v="DirecTv Weather App"/>
    <s v="Very unlikely"/>
    <n v="1"/>
    <x v="3"/>
    <n v="3"/>
    <x v="0"/>
    <x v="1"/>
    <n v="11"/>
    <x v="4"/>
    <x v="9"/>
  </r>
  <r>
    <n v="606"/>
    <n v="3877901837"/>
    <x v="0"/>
    <x v="4"/>
    <s v="No answer provided"/>
    <s v="Very unlikely"/>
    <n v="1"/>
    <x v="4"/>
    <n v="4"/>
    <x v="2"/>
    <x v="8"/>
    <n v="5"/>
    <x v="6"/>
    <x v="0"/>
  </r>
  <r>
    <n v="607"/>
    <n v="3877897238"/>
    <x v="0"/>
    <x v="1"/>
    <s v="The Weather Channel app"/>
    <s v="Very likely"/>
    <n v="4"/>
    <x v="3"/>
    <n v="3"/>
    <x v="2"/>
    <x v="8"/>
    <n v="5"/>
    <x v="0"/>
    <x v="4"/>
  </r>
  <r>
    <n v="608"/>
    <n v="3877896109"/>
    <x v="0"/>
    <x v="7"/>
    <s v="No answer provided"/>
    <s v="Very unlikely"/>
    <n v="1"/>
    <x v="4"/>
    <n v="4"/>
    <x v="2"/>
    <x v="9"/>
    <n v="10"/>
    <x v="4"/>
    <x v="0"/>
  </r>
  <r>
    <n v="609"/>
    <n v="3877893918"/>
    <x v="0"/>
    <x v="5"/>
    <s v="No answer provided"/>
    <s v="Very likely"/>
    <n v="4"/>
    <x v="4"/>
    <n v="4"/>
    <x v="0"/>
    <x v="8"/>
    <n v="5"/>
    <x v="9"/>
    <x v="0"/>
  </r>
  <r>
    <n v="610"/>
    <n v="3877893684"/>
    <x v="0"/>
    <x v="4"/>
    <s v="No answer provided"/>
    <s v="Very likely"/>
    <n v="4"/>
    <x v="4"/>
    <n v="4"/>
    <x v="2"/>
    <x v="4"/>
    <n v="3"/>
    <x v="4"/>
    <x v="0"/>
  </r>
  <r>
    <n v="611"/>
    <n v="3877893604"/>
    <x v="0"/>
    <x v="4"/>
    <s v="No answer provided"/>
    <s v="Somewhat likely"/>
    <n v="3"/>
    <x v="1"/>
    <n v="1"/>
    <x v="2"/>
    <x v="1"/>
    <n v="11"/>
    <x v="3"/>
    <x v="0"/>
  </r>
  <r>
    <n v="612"/>
    <n v="3877890420"/>
    <x v="0"/>
    <x v="5"/>
    <s v="No answer provided"/>
    <s v="Somewhat likely"/>
    <n v="3"/>
    <x v="3"/>
    <n v="3"/>
    <x v="2"/>
    <x v="2"/>
    <n v="6"/>
    <x v="4"/>
    <x v="0"/>
  </r>
  <r>
    <n v="613"/>
    <n v="3877890013"/>
    <x v="1"/>
    <x v="1"/>
    <s v="iphone"/>
    <s v="Very unlikely"/>
    <n v="1"/>
    <x v="0"/>
    <n v="2"/>
    <x v="2"/>
    <x v="11"/>
    <n v="7"/>
    <x v="4"/>
    <x v="17"/>
  </r>
  <r>
    <n v="614"/>
    <n v="3877889922"/>
    <x v="0"/>
    <x v="1"/>
    <s v="smart phone"/>
    <s v="Very unlikely"/>
    <n v="1"/>
    <x v="4"/>
    <n v="4"/>
    <x v="0"/>
    <x v="0"/>
    <n v="4"/>
    <x v="0"/>
    <x v="17"/>
  </r>
  <r>
    <n v="615"/>
    <n v="3877885176"/>
    <x v="0"/>
    <x v="0"/>
    <s v="No answer provided"/>
    <s v="Very likely"/>
    <n v="4"/>
    <x v="1"/>
    <n v="1"/>
    <x v="2"/>
    <x v="8"/>
    <n v="5"/>
    <x v="6"/>
    <x v="0"/>
  </r>
  <r>
    <n v="616"/>
    <n v="3877885125"/>
    <x v="0"/>
    <x v="0"/>
    <s v="No answer provided"/>
    <s v="Somewhat likely"/>
    <n v="3"/>
    <x v="0"/>
    <n v="2"/>
    <x v="2"/>
    <x v="4"/>
    <n v="3"/>
    <x v="5"/>
    <x v="0"/>
  </r>
  <r>
    <n v="617"/>
    <n v="3877885019"/>
    <x v="0"/>
    <x v="5"/>
    <s v="No answer provided"/>
    <s v="Somewhat likely"/>
    <n v="3"/>
    <x v="4"/>
    <n v="4"/>
    <x v="2"/>
    <x v="1"/>
    <n v="11"/>
    <x v="3"/>
    <x v="0"/>
  </r>
  <r>
    <n v="618"/>
    <n v="3877884613"/>
    <x v="0"/>
    <x v="2"/>
    <s v="No answer provided"/>
    <s v="Very likely"/>
    <n v="4"/>
    <x v="3"/>
    <n v="3"/>
    <x v="2"/>
    <x v="0"/>
    <n v="4"/>
    <x v="4"/>
    <x v="0"/>
  </r>
  <r>
    <n v="619"/>
    <n v="3877884192"/>
    <x v="1"/>
    <x v="5"/>
    <s v="No answer provided"/>
    <s v="Very unlikely"/>
    <n v="1"/>
    <x v="4"/>
    <n v="4"/>
    <x v="2"/>
    <x v="4"/>
    <n v="3"/>
    <x v="4"/>
    <x v="0"/>
  </r>
  <r>
    <n v="620"/>
    <n v="3877880332"/>
    <x v="1"/>
    <x v="5"/>
    <s v="No answer provided"/>
    <s v="Very unlikely"/>
    <n v="1"/>
    <x v="0"/>
    <n v="2"/>
    <x v="2"/>
    <x v="4"/>
    <n v="3"/>
    <x v="6"/>
    <x v="0"/>
  </r>
  <r>
    <n v="621"/>
    <n v="3877877032"/>
    <x v="0"/>
    <x v="1"/>
    <s v="Weather app"/>
    <s v="Very likely"/>
    <n v="4"/>
    <x v="1"/>
    <n v="1"/>
    <x v="2"/>
    <x v="11"/>
    <n v="7"/>
    <x v="4"/>
    <x v="18"/>
  </r>
  <r>
    <n v="622"/>
    <n v="3877874628"/>
    <x v="0"/>
    <x v="1"/>
    <s v="accuweather"/>
    <s v="Very unlikely"/>
    <n v="1"/>
    <x v="4"/>
    <n v="4"/>
    <x v="2"/>
    <x v="1"/>
    <n v="11"/>
    <x v="6"/>
    <x v="2"/>
  </r>
  <r>
    <n v="623"/>
    <n v="3877873676"/>
    <x v="0"/>
    <x v="7"/>
    <s v="No answer provided"/>
    <s v="Very unlikely"/>
    <n v="1"/>
    <x v="3"/>
    <n v="3"/>
    <x v="0"/>
    <x v="4"/>
    <n v="3"/>
    <x v="9"/>
    <x v="0"/>
  </r>
  <r>
    <n v="624"/>
    <n v="3877871653"/>
    <x v="0"/>
    <x v="1"/>
    <s v="basic weather app on my iPhone"/>
    <s v="Very likely"/>
    <n v="4"/>
    <x v="3"/>
    <n v="3"/>
    <x v="2"/>
    <x v="3"/>
    <n v="8"/>
    <x v="6"/>
    <x v="1"/>
  </r>
  <r>
    <n v="625"/>
    <n v="3877871578"/>
    <x v="0"/>
    <x v="5"/>
    <s v="No answer provided"/>
    <s v="Very likely"/>
    <n v="4"/>
    <x v="1"/>
    <n v="1"/>
    <x v="2"/>
    <x v="6"/>
    <n v="1"/>
    <x v="6"/>
    <x v="0"/>
  </r>
  <r>
    <n v="626"/>
    <n v="3877871132"/>
    <x v="0"/>
    <x v="1"/>
    <s v="phone"/>
    <s v="Very unlikely"/>
    <n v="1"/>
    <x v="1"/>
    <n v="1"/>
    <x v="2"/>
    <x v="6"/>
    <n v="1"/>
    <x v="3"/>
    <x v="17"/>
  </r>
  <r>
    <n v="627"/>
    <n v="3877870133"/>
    <x v="0"/>
    <x v="0"/>
    <s v="No answer provided"/>
    <s v="Somewhat likely"/>
    <n v="3"/>
    <x v="4"/>
    <n v="4"/>
    <x v="2"/>
    <x v="0"/>
    <n v="4"/>
    <x v="3"/>
    <x v="0"/>
  </r>
  <r>
    <n v="628"/>
    <n v="3877870026"/>
    <x v="0"/>
    <x v="0"/>
    <s v="No answer provided"/>
    <s v="Somewhat likely"/>
    <n v="3"/>
    <x v="4"/>
    <n v="4"/>
    <x v="0"/>
    <x v="2"/>
    <n v="6"/>
    <x v="2"/>
    <x v="0"/>
  </r>
  <r>
    <n v="629"/>
    <n v="3877869125"/>
    <x v="0"/>
    <x v="2"/>
    <s v="No answer provided"/>
    <s v="Very likely"/>
    <n v="4"/>
    <x v="1"/>
    <n v="1"/>
    <x v="2"/>
    <x v="4"/>
    <n v="3"/>
    <x v="0"/>
    <x v="0"/>
  </r>
  <r>
    <n v="630"/>
    <n v="3877867553"/>
    <x v="0"/>
    <x v="1"/>
    <s v="Weather Bug"/>
    <s v="Somewhat likely"/>
    <n v="3"/>
    <x v="4"/>
    <n v="4"/>
    <x v="2"/>
    <x v="4"/>
    <n v="3"/>
    <x v="7"/>
    <x v="5"/>
  </r>
  <r>
    <n v="631"/>
    <n v="3877865436"/>
    <x v="0"/>
    <x v="5"/>
    <s v="No answer provided"/>
    <s v="Very likely"/>
    <n v="4"/>
    <x v="3"/>
    <n v="3"/>
    <x v="2"/>
    <x v="11"/>
    <n v="7"/>
    <x v="4"/>
    <x v="0"/>
  </r>
  <r>
    <n v="632"/>
    <n v="3877864574"/>
    <x v="1"/>
    <x v="6"/>
    <s v="No answer provided"/>
    <s v="Somewhat likely"/>
    <n v="3"/>
    <x v="3"/>
    <n v="3"/>
    <x v="2"/>
    <x v="11"/>
    <n v="7"/>
    <x v="4"/>
    <x v="0"/>
  </r>
  <r>
    <n v="633"/>
    <n v="3877862817"/>
    <x v="0"/>
    <x v="4"/>
    <s v="No answer provided"/>
    <s v="Very unlikely"/>
    <n v="1"/>
    <x v="3"/>
    <n v="3"/>
    <x v="2"/>
    <x v="1"/>
    <n v="11"/>
    <x v="7"/>
    <x v="0"/>
  </r>
  <r>
    <n v="634"/>
    <n v="3877862354"/>
    <x v="0"/>
    <x v="1"/>
    <s v="WeatherBug"/>
    <s v="Very likely"/>
    <n v="4"/>
    <x v="3"/>
    <n v="3"/>
    <x v="2"/>
    <x v="0"/>
    <n v="4"/>
    <x v="0"/>
    <x v="5"/>
  </r>
  <r>
    <n v="635"/>
    <n v="3877861603"/>
    <x v="0"/>
    <x v="0"/>
    <s v="No answer provided"/>
    <s v="Somewhat likely"/>
    <n v="3"/>
    <x v="1"/>
    <n v="1"/>
    <x v="2"/>
    <x v="0"/>
    <n v="4"/>
    <x v="0"/>
    <x v="0"/>
  </r>
  <r>
    <n v="636"/>
    <n v="3877860767"/>
    <x v="0"/>
    <x v="5"/>
    <s v="No answer provided"/>
    <s v="Somewhat likely"/>
    <n v="3"/>
    <x v="3"/>
    <n v="3"/>
    <x v="0"/>
    <x v="7"/>
    <n v="2"/>
    <x v="3"/>
    <x v="0"/>
  </r>
  <r>
    <n v="637"/>
    <n v="3877860097"/>
    <x v="1"/>
    <x v="5"/>
    <s v="No answer provided"/>
    <s v="Somewhat likely"/>
    <n v="3"/>
    <x v="4"/>
    <n v="4"/>
    <x v="2"/>
    <x v="4"/>
    <n v="3"/>
    <x v="4"/>
    <x v="0"/>
  </r>
  <r>
    <n v="638"/>
    <n v="3877860035"/>
    <x v="1"/>
    <x v="0"/>
    <s v="No answer provided"/>
    <s v="Somewhat unlikely"/>
    <n v="2"/>
    <x v="0"/>
    <n v="2"/>
    <x v="2"/>
    <x v="11"/>
    <n v="7"/>
    <x v="7"/>
    <x v="0"/>
  </r>
  <r>
    <n v="639"/>
    <n v="3877859415"/>
    <x v="0"/>
    <x v="5"/>
    <s v="No answer provided"/>
    <s v="Somewhat likely"/>
    <n v="3"/>
    <x v="3"/>
    <n v="3"/>
    <x v="2"/>
    <x v="7"/>
    <n v="2"/>
    <x v="5"/>
    <x v="0"/>
  </r>
  <r>
    <n v="640"/>
    <n v="3877857384"/>
    <x v="0"/>
    <x v="0"/>
    <s v="No answer provided"/>
    <s v="Very likely"/>
    <n v="4"/>
    <x v="3"/>
    <n v="3"/>
    <x v="2"/>
    <x v="0"/>
    <n v="4"/>
    <x v="0"/>
    <x v="0"/>
  </r>
  <r>
    <n v="641"/>
    <n v="3877857065"/>
    <x v="1"/>
    <x v="4"/>
    <s v="No answer provided"/>
    <s v="Somewhat unlikely"/>
    <n v="2"/>
    <x v="0"/>
    <n v="2"/>
    <x v="2"/>
    <x v="8"/>
    <n v="5"/>
    <x v="1"/>
    <x v="0"/>
  </r>
  <r>
    <n v="642"/>
    <n v="3877856635"/>
    <x v="0"/>
    <x v="5"/>
    <s v="No answer provided"/>
    <s v="Very likely"/>
    <n v="4"/>
    <x v="0"/>
    <n v="2"/>
    <x v="2"/>
    <x v="0"/>
    <n v="4"/>
    <x v="3"/>
    <x v="0"/>
  </r>
  <r>
    <n v="643"/>
    <n v="3877856424"/>
    <x v="0"/>
    <x v="1"/>
    <s v="the weather channel app"/>
    <s v="Somewhat likely"/>
    <n v="3"/>
    <x v="1"/>
    <n v="1"/>
    <x v="2"/>
    <x v="1"/>
    <n v="11"/>
    <x v="2"/>
    <x v="4"/>
  </r>
  <r>
    <n v="644"/>
    <n v="3877856090"/>
    <x v="0"/>
    <x v="0"/>
    <s v="No answer provided"/>
    <s v="Somewhat likely"/>
    <n v="3"/>
    <x v="0"/>
    <n v="2"/>
    <x v="0"/>
    <x v="4"/>
    <n v="3"/>
    <x v="6"/>
    <x v="0"/>
  </r>
  <r>
    <n v="645"/>
    <n v="3877855838"/>
    <x v="1"/>
    <x v="2"/>
    <s v="No answer provided"/>
    <s v="Very likely"/>
    <n v="4"/>
    <x v="0"/>
    <n v="2"/>
    <x v="2"/>
    <x v="2"/>
    <n v="6"/>
    <x v="4"/>
    <x v="0"/>
  </r>
  <r>
    <n v="646"/>
    <n v="3877854283"/>
    <x v="0"/>
    <x v="0"/>
    <s v="No answer provided"/>
    <s v="Very likely"/>
    <n v="4"/>
    <x v="3"/>
    <n v="3"/>
    <x v="2"/>
    <x v="8"/>
    <n v="5"/>
    <x v="0"/>
    <x v="0"/>
  </r>
  <r>
    <n v="647"/>
    <n v="3877854113"/>
    <x v="0"/>
    <x v="2"/>
    <s v="No answer provided"/>
    <s v="Very likely"/>
    <n v="4"/>
    <x v="3"/>
    <n v="3"/>
    <x v="0"/>
    <x v="0"/>
    <n v="4"/>
    <x v="5"/>
    <x v="0"/>
  </r>
  <r>
    <n v="648"/>
    <n v="3877853409"/>
    <x v="0"/>
    <x v="1"/>
    <s v="weather bug"/>
    <s v="Very likely"/>
    <n v="4"/>
    <x v="3"/>
    <n v="3"/>
    <x v="0"/>
    <x v="2"/>
    <n v="6"/>
    <x v="6"/>
    <x v="5"/>
  </r>
  <r>
    <n v="649"/>
    <n v="3877851546"/>
    <x v="0"/>
    <x v="2"/>
    <s v="No answer provided"/>
    <s v="Very likely"/>
    <n v="4"/>
    <x v="3"/>
    <n v="3"/>
    <x v="2"/>
    <x v="4"/>
    <n v="3"/>
    <x v="9"/>
    <x v="0"/>
  </r>
  <r>
    <n v="650"/>
    <n v="3877851313"/>
    <x v="0"/>
    <x v="2"/>
    <s v="No answer provided"/>
    <s v="Somewhat likely"/>
    <n v="3"/>
    <x v="4"/>
    <n v="4"/>
    <x v="2"/>
    <x v="1"/>
    <n v="11"/>
    <x v="7"/>
    <x v="0"/>
  </r>
  <r>
    <n v="651"/>
    <n v="3877850546"/>
    <x v="0"/>
    <x v="0"/>
    <s v="No answer provided"/>
    <s v="Very unlikely"/>
    <n v="1"/>
    <x v="1"/>
    <n v="1"/>
    <x v="2"/>
    <x v="6"/>
    <n v="1"/>
    <x v="2"/>
    <x v="0"/>
  </r>
  <r>
    <n v="652"/>
    <n v="3877849360"/>
    <x v="0"/>
    <x v="0"/>
    <s v="No answer provided"/>
    <s v="Very likely"/>
    <n v="4"/>
    <x v="1"/>
    <n v="1"/>
    <x v="2"/>
    <x v="1"/>
    <n v="11"/>
    <x v="8"/>
    <x v="0"/>
  </r>
  <r>
    <n v="653"/>
    <n v="3877849287"/>
    <x v="0"/>
    <x v="5"/>
    <s v="No answer provided"/>
    <s v="Very unlikely"/>
    <n v="1"/>
    <x v="3"/>
    <n v="3"/>
    <x v="0"/>
    <x v="1"/>
    <n v="11"/>
    <x v="4"/>
    <x v="0"/>
  </r>
  <r>
    <n v="654"/>
    <n v="3877844428"/>
    <x v="0"/>
    <x v="5"/>
    <s v="No answer provided"/>
    <s v="Very likely"/>
    <n v="4"/>
    <x v="4"/>
    <n v="4"/>
    <x v="2"/>
    <x v="4"/>
    <n v="3"/>
    <x v="6"/>
    <x v="0"/>
  </r>
  <r>
    <n v="655"/>
    <n v="3877840278"/>
    <x v="0"/>
    <x v="1"/>
    <s v="Bing"/>
    <s v="Very likely"/>
    <n v="4"/>
    <x v="4"/>
    <n v="4"/>
    <x v="2"/>
    <x v="4"/>
    <n v="3"/>
    <x v="4"/>
    <x v="14"/>
  </r>
  <r>
    <n v="656"/>
    <n v="3877839221"/>
    <x v="0"/>
    <x v="2"/>
    <s v="No answer provided"/>
    <s v="Very likely"/>
    <n v="4"/>
    <x v="4"/>
    <n v="4"/>
    <x v="0"/>
    <x v="0"/>
    <n v="4"/>
    <x v="0"/>
    <x v="0"/>
  </r>
  <r>
    <n v="657"/>
    <n v="3877838876"/>
    <x v="0"/>
    <x v="1"/>
    <s v="Weather Channel App"/>
    <s v="Somewhat likely"/>
    <n v="3"/>
    <x v="0"/>
    <n v="2"/>
    <x v="2"/>
    <x v="10"/>
    <n v="9"/>
    <x v="6"/>
    <x v="4"/>
  </r>
  <r>
    <n v="658"/>
    <n v="3877838258"/>
    <x v="0"/>
    <x v="2"/>
    <s v="No answer provided"/>
    <s v="Somewhat likely"/>
    <n v="3"/>
    <x v="1"/>
    <n v="1"/>
    <x v="2"/>
    <x v="4"/>
    <n v="3"/>
    <x v="6"/>
    <x v="0"/>
  </r>
  <r>
    <n v="659"/>
    <n v="3877835456"/>
    <x v="0"/>
    <x v="5"/>
    <s v="No answer provided"/>
    <s v="Somewhat likely"/>
    <n v="3"/>
    <x v="4"/>
    <n v="4"/>
    <x v="2"/>
    <x v="11"/>
    <n v="7"/>
    <x v="3"/>
    <x v="0"/>
  </r>
  <r>
    <n v="660"/>
    <n v="3877834333"/>
    <x v="0"/>
    <x v="0"/>
    <s v="No answer provided"/>
    <s v="Very unlikely"/>
    <n v="1"/>
    <x v="4"/>
    <n v="4"/>
    <x v="2"/>
    <x v="0"/>
    <n v="4"/>
    <x v="6"/>
    <x v="0"/>
  </r>
  <r>
    <n v="661"/>
    <n v="3877833661"/>
    <x v="0"/>
    <x v="6"/>
    <s v="No answer provided"/>
    <s v="Very likely"/>
    <n v="4"/>
    <x v="4"/>
    <n v="4"/>
    <x v="2"/>
    <x v="1"/>
    <n v="11"/>
    <x v="0"/>
    <x v="0"/>
  </r>
  <r>
    <n v="662"/>
    <n v="3877833303"/>
    <x v="0"/>
    <x v="5"/>
    <s v="No answer provided"/>
    <s v="Very likely"/>
    <n v="4"/>
    <x v="4"/>
    <n v="4"/>
    <x v="2"/>
    <x v="1"/>
    <n v="11"/>
    <x v="2"/>
    <x v="0"/>
  </r>
  <r>
    <n v="663"/>
    <n v="3877831288"/>
    <x v="1"/>
    <x v="4"/>
    <s v="No answer provided"/>
    <s v="Somewhat likely"/>
    <n v="3"/>
    <x v="0"/>
    <n v="2"/>
    <x v="2"/>
    <x v="1"/>
    <n v="11"/>
    <x v="0"/>
    <x v="0"/>
  </r>
  <r>
    <n v="664"/>
    <n v="3877829146"/>
    <x v="0"/>
    <x v="0"/>
    <s v="No answer provided"/>
    <s v="Very likely"/>
    <n v="4"/>
    <x v="0"/>
    <n v="2"/>
    <x v="2"/>
    <x v="3"/>
    <n v="8"/>
    <x v="6"/>
    <x v="0"/>
  </r>
  <r>
    <n v="665"/>
    <n v="3877828834"/>
    <x v="0"/>
    <x v="2"/>
    <s v="No answer provided"/>
    <s v="Very unlikely"/>
    <n v="1"/>
    <x v="0"/>
    <n v="2"/>
    <x v="2"/>
    <x v="1"/>
    <n v="11"/>
    <x v="3"/>
    <x v="0"/>
  </r>
  <r>
    <n v="666"/>
    <n v="3877828401"/>
    <x v="0"/>
    <x v="0"/>
    <s v="No answer provided"/>
    <s v="Very likely"/>
    <n v="4"/>
    <x v="1"/>
    <n v="1"/>
    <x v="2"/>
    <x v="1"/>
    <n v="11"/>
    <x v="2"/>
    <x v="0"/>
  </r>
  <r>
    <n v="667"/>
    <n v="3877828113"/>
    <x v="0"/>
    <x v="6"/>
    <s v="No answer provided"/>
    <s v="Somewhat likely"/>
    <n v="3"/>
    <x v="4"/>
    <n v="4"/>
    <x v="0"/>
    <x v="9"/>
    <n v="10"/>
    <x v="6"/>
    <x v="0"/>
  </r>
  <r>
    <n v="668"/>
    <n v="3877825838"/>
    <x v="0"/>
    <x v="5"/>
    <s v="No answer provided"/>
    <s v="Somewhat likely"/>
    <n v="3"/>
    <x v="4"/>
    <n v="4"/>
    <x v="2"/>
    <x v="11"/>
    <n v="7"/>
    <x v="4"/>
    <x v="0"/>
  </r>
  <r>
    <n v="669"/>
    <n v="3877825768"/>
    <x v="0"/>
    <x v="0"/>
    <s v="No answer provided"/>
    <s v="Very likely"/>
    <n v="4"/>
    <x v="4"/>
    <n v="4"/>
    <x v="0"/>
    <x v="2"/>
    <n v="6"/>
    <x v="0"/>
    <x v="0"/>
  </r>
  <r>
    <n v="670"/>
    <n v="3877825397"/>
    <x v="0"/>
    <x v="0"/>
    <s v="No answer provided"/>
    <s v="Somewhat unlikely"/>
    <n v="2"/>
    <x v="4"/>
    <n v="4"/>
    <x v="2"/>
    <x v="3"/>
    <n v="8"/>
    <x v="4"/>
    <x v="0"/>
  </r>
  <r>
    <n v="671"/>
    <n v="3877825092"/>
    <x v="0"/>
    <x v="4"/>
    <s v="No answer provided"/>
    <s v="Somewhat unlikely"/>
    <n v="2"/>
    <x v="3"/>
    <n v="3"/>
    <x v="2"/>
    <x v="8"/>
    <n v="5"/>
    <x v="2"/>
    <x v="0"/>
  </r>
  <r>
    <n v="672"/>
    <n v="3877825091"/>
    <x v="0"/>
    <x v="2"/>
    <s v="No answer provided"/>
    <s v="Somewhat unlikely"/>
    <n v="2"/>
    <x v="3"/>
    <n v="3"/>
    <x v="2"/>
    <x v="7"/>
    <n v="2"/>
    <x v="8"/>
    <x v="0"/>
  </r>
  <r>
    <n v="673"/>
    <n v="3877823647"/>
    <x v="0"/>
    <x v="5"/>
    <s v="No answer provided"/>
    <s v="Very unlikely"/>
    <n v="1"/>
    <x v="4"/>
    <n v="4"/>
    <x v="2"/>
    <x v="7"/>
    <n v="2"/>
    <x v="3"/>
    <x v="0"/>
  </r>
  <r>
    <n v="674"/>
    <n v="3877823634"/>
    <x v="1"/>
    <x v="5"/>
    <s v="No answer provided"/>
    <s v="Somewhat unlikely"/>
    <n v="2"/>
    <x v="4"/>
    <n v="4"/>
    <x v="0"/>
    <x v="0"/>
    <n v="4"/>
    <x v="7"/>
    <x v="0"/>
  </r>
  <r>
    <n v="675"/>
    <n v="3877823022"/>
    <x v="0"/>
    <x v="2"/>
    <s v="No answer provided"/>
    <s v="Somewhat unlikely"/>
    <n v="2"/>
    <x v="4"/>
    <n v="4"/>
    <x v="2"/>
    <x v="7"/>
    <n v="2"/>
    <x v="7"/>
    <x v="0"/>
  </r>
  <r>
    <n v="676"/>
    <n v="3877822759"/>
    <x v="0"/>
    <x v="0"/>
    <s v="No answer provided"/>
    <s v="Somewhat likely"/>
    <n v="3"/>
    <x v="1"/>
    <n v="1"/>
    <x v="2"/>
    <x v="6"/>
    <n v="1"/>
    <x v="6"/>
    <x v="0"/>
  </r>
  <r>
    <n v="677"/>
    <n v="3877821639"/>
    <x v="1"/>
    <x v="5"/>
    <s v="No answer provided"/>
    <s v="Very likely"/>
    <n v="4"/>
    <x v="3"/>
    <n v="3"/>
    <x v="2"/>
    <x v="2"/>
    <n v="6"/>
    <x v="3"/>
    <x v="0"/>
  </r>
  <r>
    <n v="678"/>
    <n v="3877821152"/>
    <x v="0"/>
    <x v="2"/>
    <s v="No answer provided"/>
    <s v="Somewhat likely"/>
    <n v="3"/>
    <x v="1"/>
    <n v="1"/>
    <x v="2"/>
    <x v="1"/>
    <n v="11"/>
    <x v="8"/>
    <x v="0"/>
  </r>
  <r>
    <n v="679"/>
    <n v="3877820317"/>
    <x v="1"/>
    <x v="7"/>
    <s v="No answer provided"/>
    <s v="Somewhat likely"/>
    <n v="3"/>
    <x v="0"/>
    <n v="2"/>
    <x v="2"/>
    <x v="1"/>
    <n v="11"/>
    <x v="0"/>
    <x v="0"/>
  </r>
  <r>
    <n v="680"/>
    <n v="3877817207"/>
    <x v="0"/>
    <x v="1"/>
    <s v="weather.com"/>
    <s v="Very likely"/>
    <n v="4"/>
    <x v="4"/>
    <n v="4"/>
    <x v="2"/>
    <x v="3"/>
    <n v="8"/>
    <x v="8"/>
    <x v="4"/>
  </r>
  <r>
    <n v="681"/>
    <n v="3877815508"/>
    <x v="0"/>
    <x v="2"/>
    <s v="No answer provided"/>
    <s v="Somewhat likely"/>
    <n v="3"/>
    <x v="4"/>
    <n v="4"/>
    <x v="2"/>
    <x v="2"/>
    <n v="6"/>
    <x v="4"/>
    <x v="0"/>
  </r>
  <r>
    <n v="682"/>
    <n v="3877813621"/>
    <x v="0"/>
    <x v="0"/>
    <s v="No answer provided"/>
    <s v="Very likely"/>
    <n v="4"/>
    <x v="1"/>
    <n v="1"/>
    <x v="2"/>
    <x v="6"/>
    <n v="1"/>
    <x v="2"/>
    <x v="0"/>
  </r>
  <r>
    <n v="683"/>
    <n v="3877813587"/>
    <x v="1"/>
    <x v="5"/>
    <s v="No answer provided"/>
    <s v="Somewhat likely"/>
    <n v="3"/>
    <x v="1"/>
    <n v="1"/>
    <x v="2"/>
    <x v="1"/>
    <n v="11"/>
    <x v="0"/>
    <x v="0"/>
  </r>
  <r>
    <n v="684"/>
    <n v="3877813322"/>
    <x v="0"/>
    <x v="5"/>
    <s v="No answer provided"/>
    <s v="Very likely"/>
    <n v="4"/>
    <x v="4"/>
    <n v="4"/>
    <x v="0"/>
    <x v="4"/>
    <n v="3"/>
    <x v="4"/>
    <x v="0"/>
  </r>
  <r>
    <n v="685"/>
    <n v="3877812497"/>
    <x v="1"/>
    <x v="5"/>
    <s v="No answer provided"/>
    <s v="Somewhat likely"/>
    <n v="3"/>
    <x v="1"/>
    <n v="1"/>
    <x v="2"/>
    <x v="1"/>
    <n v="11"/>
    <x v="5"/>
    <x v="0"/>
  </r>
  <r>
    <n v="686"/>
    <n v="3877806850"/>
    <x v="0"/>
    <x v="5"/>
    <s v="No answer provided"/>
    <s v="Very likely"/>
    <n v="4"/>
    <x v="3"/>
    <n v="3"/>
    <x v="2"/>
    <x v="9"/>
    <n v="10"/>
    <x v="2"/>
    <x v="0"/>
  </r>
  <r>
    <n v="687"/>
    <n v="3877806666"/>
    <x v="1"/>
    <x v="1"/>
    <s v="Talk to my mother."/>
    <s v="Somewhat unlikely"/>
    <n v="2"/>
    <x v="3"/>
    <n v="3"/>
    <x v="2"/>
    <x v="1"/>
    <n v="11"/>
    <x v="4"/>
    <x v="13"/>
  </r>
  <r>
    <n v="688"/>
    <n v="3877804843"/>
    <x v="0"/>
    <x v="0"/>
    <s v="No answer provided"/>
    <s v="Very likely"/>
    <n v="4"/>
    <x v="3"/>
    <n v="3"/>
    <x v="2"/>
    <x v="4"/>
    <n v="3"/>
    <x v="0"/>
    <x v="0"/>
  </r>
  <r>
    <n v="689"/>
    <n v="3877803376"/>
    <x v="1"/>
    <x v="1"/>
    <s v="i look outside"/>
    <s v="Somewhat likely"/>
    <n v="3"/>
    <x v="0"/>
    <n v="2"/>
    <x v="2"/>
    <x v="0"/>
    <n v="4"/>
    <x v="4"/>
    <x v="13"/>
  </r>
  <r>
    <n v="690"/>
    <n v="3877803055"/>
    <x v="0"/>
    <x v="5"/>
    <s v="No answer provided"/>
    <s v="Very unlikely"/>
    <n v="1"/>
    <x v="1"/>
    <n v="1"/>
    <x v="2"/>
    <x v="0"/>
    <n v="4"/>
    <x v="6"/>
    <x v="0"/>
  </r>
  <r>
    <n v="691"/>
    <n v="3877800395"/>
    <x v="0"/>
    <x v="0"/>
    <s v="No answer provided"/>
    <s v="Somewhat likely"/>
    <n v="3"/>
    <x v="1"/>
    <n v="1"/>
    <x v="2"/>
    <x v="6"/>
    <n v="1"/>
    <x v="4"/>
    <x v="0"/>
  </r>
  <r>
    <n v="692"/>
    <n v="3877799311"/>
    <x v="0"/>
    <x v="1"/>
    <s v="The Weather Channel"/>
    <s v="Very likely"/>
    <n v="4"/>
    <x v="3"/>
    <n v="3"/>
    <x v="2"/>
    <x v="2"/>
    <n v="6"/>
    <x v="0"/>
    <x v="4"/>
  </r>
  <r>
    <n v="693"/>
    <n v="3877795231"/>
    <x v="0"/>
    <x v="2"/>
    <s v="No answer provided"/>
    <s v="Somewhat likely"/>
    <n v="3"/>
    <x v="4"/>
    <n v="4"/>
    <x v="0"/>
    <x v="2"/>
    <n v="6"/>
    <x v="4"/>
    <x v="0"/>
  </r>
  <r>
    <n v="694"/>
    <n v="3877794938"/>
    <x v="0"/>
    <x v="0"/>
    <s v="No answer provided"/>
    <s v="Very unlikely"/>
    <n v="1"/>
    <x v="1"/>
    <n v="1"/>
    <x v="2"/>
    <x v="6"/>
    <n v="1"/>
    <x v="5"/>
    <x v="0"/>
  </r>
  <r>
    <n v="695"/>
    <n v="3877794732"/>
    <x v="0"/>
    <x v="5"/>
    <s v="No answer provided"/>
    <s v="Somewhat likely"/>
    <n v="3"/>
    <x v="3"/>
    <n v="3"/>
    <x v="0"/>
    <x v="6"/>
    <n v="1"/>
    <x v="0"/>
    <x v="0"/>
  </r>
  <r>
    <n v="696"/>
    <n v="3877793419"/>
    <x v="0"/>
    <x v="5"/>
    <s v="No answer provided"/>
    <s v="Somewhat unlikely"/>
    <n v="2"/>
    <x v="4"/>
    <n v="4"/>
    <x v="0"/>
    <x v="3"/>
    <n v="8"/>
    <x v="6"/>
    <x v="0"/>
  </r>
  <r>
    <n v="697"/>
    <n v="3877792799"/>
    <x v="0"/>
    <x v="4"/>
    <s v="No answer provided"/>
    <s v="Somewhat likely"/>
    <n v="3"/>
    <x v="4"/>
    <n v="4"/>
    <x v="0"/>
    <x v="2"/>
    <n v="6"/>
    <x v="9"/>
    <x v="0"/>
  </r>
  <r>
    <n v="698"/>
    <n v="3877791725"/>
    <x v="0"/>
    <x v="0"/>
    <s v="No answer provided"/>
    <s v="Very likely"/>
    <n v="4"/>
    <x v="3"/>
    <n v="3"/>
    <x v="2"/>
    <x v="0"/>
    <n v="4"/>
    <x v="6"/>
    <x v="0"/>
  </r>
  <r>
    <n v="699"/>
    <n v="3877791459"/>
    <x v="0"/>
    <x v="1"/>
    <s v="weather.com"/>
    <s v="Very likely"/>
    <n v="4"/>
    <x v="0"/>
    <n v="2"/>
    <x v="2"/>
    <x v="1"/>
    <n v="11"/>
    <x v="6"/>
    <x v="4"/>
  </r>
  <r>
    <n v="700"/>
    <n v="3877791359"/>
    <x v="1"/>
    <x v="4"/>
    <s v="No answer provided"/>
    <s v="Somewhat unlikely"/>
    <n v="2"/>
    <x v="4"/>
    <n v="4"/>
    <x v="2"/>
    <x v="1"/>
    <n v="11"/>
    <x v="4"/>
    <x v="0"/>
  </r>
  <r>
    <n v="701"/>
    <n v="3877791126"/>
    <x v="0"/>
    <x v="0"/>
    <s v="No answer provided"/>
    <s v="Somewhat likely"/>
    <n v="3"/>
    <x v="1"/>
    <n v="1"/>
    <x v="2"/>
    <x v="6"/>
    <n v="1"/>
    <x v="4"/>
    <x v="0"/>
  </r>
  <r>
    <n v="702"/>
    <n v="3877789580"/>
    <x v="0"/>
    <x v="4"/>
    <s v="No answer provided"/>
    <s v="Very likely"/>
    <n v="4"/>
    <x v="3"/>
    <n v="3"/>
    <x v="2"/>
    <x v="1"/>
    <n v="11"/>
    <x v="3"/>
    <x v="0"/>
  </r>
  <r>
    <n v="703"/>
    <n v="3877789311"/>
    <x v="0"/>
    <x v="5"/>
    <s v="No answer provided"/>
    <s v="Very likely"/>
    <n v="4"/>
    <x v="4"/>
    <n v="4"/>
    <x v="0"/>
    <x v="11"/>
    <n v="7"/>
    <x v="6"/>
    <x v="0"/>
  </r>
  <r>
    <n v="704"/>
    <n v="3877788831"/>
    <x v="0"/>
    <x v="1"/>
    <s v="Weather.com"/>
    <s v="Somewhat likely"/>
    <n v="3"/>
    <x v="4"/>
    <n v="4"/>
    <x v="2"/>
    <x v="8"/>
    <n v="5"/>
    <x v="6"/>
    <x v="4"/>
  </r>
  <r>
    <n v="705"/>
    <n v="3877788097"/>
    <x v="0"/>
    <x v="2"/>
    <s v="No answer provided"/>
    <s v="Very unlikely"/>
    <n v="1"/>
    <x v="0"/>
    <n v="2"/>
    <x v="2"/>
    <x v="4"/>
    <n v="3"/>
    <x v="0"/>
    <x v="0"/>
  </r>
  <r>
    <n v="706"/>
    <n v="3877785851"/>
    <x v="0"/>
    <x v="1"/>
    <s v="Weather Channel App in IPhone"/>
    <s v="Somewhat likely"/>
    <n v="3"/>
    <x v="4"/>
    <n v="4"/>
    <x v="2"/>
    <x v="1"/>
    <n v="11"/>
    <x v="0"/>
    <x v="4"/>
  </r>
  <r>
    <n v="707"/>
    <n v="3877783718"/>
    <x v="0"/>
    <x v="6"/>
    <s v="No answer provided"/>
    <s v="Very likely"/>
    <n v="4"/>
    <x v="4"/>
    <n v="4"/>
    <x v="0"/>
    <x v="1"/>
    <n v="11"/>
    <x v="6"/>
    <x v="0"/>
  </r>
  <r>
    <n v="708"/>
    <n v="3877783251"/>
    <x v="0"/>
    <x v="1"/>
    <s v="The Weather Channel app"/>
    <s v="Very unlikely"/>
    <n v="1"/>
    <x v="4"/>
    <n v="4"/>
    <x v="0"/>
    <x v="1"/>
    <n v="11"/>
    <x v="6"/>
    <x v="4"/>
  </r>
  <r>
    <n v="709"/>
    <n v="3877781305"/>
    <x v="0"/>
    <x v="5"/>
    <s v="No answer provided"/>
    <s v="Very unlikely"/>
    <n v="1"/>
    <x v="4"/>
    <n v="4"/>
    <x v="0"/>
    <x v="4"/>
    <n v="3"/>
    <x v="2"/>
    <x v="0"/>
  </r>
  <r>
    <n v="710"/>
    <n v="3877781123"/>
    <x v="0"/>
    <x v="7"/>
    <s v="No answer provided"/>
    <s v="Very likely"/>
    <n v="4"/>
    <x v="3"/>
    <n v="3"/>
    <x v="0"/>
    <x v="10"/>
    <n v="9"/>
    <x v="8"/>
    <x v="0"/>
  </r>
  <r>
    <n v="711"/>
    <n v="3877779376"/>
    <x v="0"/>
    <x v="1"/>
    <s v="Weather Channel"/>
    <s v="Somewhat likely"/>
    <n v="3"/>
    <x v="0"/>
    <n v="2"/>
    <x v="2"/>
    <x v="4"/>
    <n v="3"/>
    <x v="0"/>
    <x v="4"/>
  </r>
  <r>
    <n v="712"/>
    <n v="3877778622"/>
    <x v="0"/>
    <x v="5"/>
    <s v="No answer provided"/>
    <s v="Somewhat likely"/>
    <n v="3"/>
    <x v="0"/>
    <n v="2"/>
    <x v="2"/>
    <x v="4"/>
    <n v="3"/>
    <x v="5"/>
    <x v="0"/>
  </r>
  <r>
    <n v="713"/>
    <n v="3877777746"/>
    <x v="0"/>
    <x v="1"/>
    <s v="The weather app on the iPhone "/>
    <s v="Very likely"/>
    <n v="4"/>
    <x v="1"/>
    <n v="1"/>
    <x v="2"/>
    <x v="8"/>
    <n v="5"/>
    <x v="8"/>
    <x v="1"/>
  </r>
  <r>
    <n v="714"/>
    <n v="3877775605"/>
    <x v="0"/>
    <x v="5"/>
    <s v="No answer provided"/>
    <s v="Very likely"/>
    <n v="4"/>
    <x v="4"/>
    <n v="4"/>
    <x v="2"/>
    <x v="8"/>
    <n v="5"/>
    <x v="7"/>
    <x v="0"/>
  </r>
  <r>
    <n v="715"/>
    <n v="3877775230"/>
    <x v="1"/>
    <x v="5"/>
    <s v="No answer provided"/>
    <s v="Very likely"/>
    <n v="4"/>
    <x v="3"/>
    <n v="3"/>
    <x v="2"/>
    <x v="1"/>
    <n v="11"/>
    <x v="6"/>
    <x v="0"/>
  </r>
  <r>
    <n v="716"/>
    <n v="3877775208"/>
    <x v="0"/>
    <x v="5"/>
    <s v="No answer provided"/>
    <s v="Very likely"/>
    <n v="4"/>
    <x v="4"/>
    <n v="4"/>
    <x v="0"/>
    <x v="2"/>
    <n v="6"/>
    <x v="0"/>
    <x v="0"/>
  </r>
  <r>
    <n v="717"/>
    <n v="3877771309"/>
    <x v="0"/>
    <x v="5"/>
    <s v="No answer provided"/>
    <s v="Very likely"/>
    <n v="4"/>
    <x v="0"/>
    <n v="2"/>
    <x v="2"/>
    <x v="8"/>
    <n v="5"/>
    <x v="6"/>
    <x v="0"/>
  </r>
  <r>
    <n v="718"/>
    <n v="3877771155"/>
    <x v="0"/>
    <x v="1"/>
    <s v="The weather channel iPad app"/>
    <s v="Very likely"/>
    <n v="4"/>
    <x v="4"/>
    <n v="4"/>
    <x v="2"/>
    <x v="0"/>
    <n v="4"/>
    <x v="3"/>
    <x v="1"/>
  </r>
  <r>
    <n v="719"/>
    <n v="3877769359"/>
    <x v="1"/>
    <x v="0"/>
    <s v="No answer provided"/>
    <s v="Somewhat likely"/>
    <n v="3"/>
    <x v="1"/>
    <n v="1"/>
    <x v="2"/>
    <x v="4"/>
    <n v="3"/>
    <x v="0"/>
    <x v="0"/>
  </r>
  <r>
    <n v="720"/>
    <n v="3877768869"/>
    <x v="0"/>
    <x v="1"/>
    <s v="weather underground"/>
    <s v="Somewhat likely"/>
    <n v="3"/>
    <x v="1"/>
    <n v="1"/>
    <x v="2"/>
    <x v="3"/>
    <n v="8"/>
    <x v="2"/>
    <x v="8"/>
  </r>
  <r>
    <n v="721"/>
    <n v="3877767444"/>
    <x v="0"/>
    <x v="0"/>
    <s v="No answer provided"/>
    <s v="Very likely"/>
    <n v="4"/>
    <x v="3"/>
    <n v="3"/>
    <x v="2"/>
    <x v="1"/>
    <n v="11"/>
    <x v="5"/>
    <x v="0"/>
  </r>
  <r>
    <n v="722"/>
    <n v="3877767366"/>
    <x v="0"/>
    <x v="4"/>
    <s v="No answer provided"/>
    <s v="Very likely"/>
    <n v="4"/>
    <x v="4"/>
    <n v="4"/>
    <x v="0"/>
    <x v="2"/>
    <n v="6"/>
    <x v="2"/>
    <x v="0"/>
  </r>
  <r>
    <n v="723"/>
    <n v="3877764882"/>
    <x v="0"/>
    <x v="5"/>
    <s v="No answer provided"/>
    <s v="Somewhat likely"/>
    <n v="3"/>
    <x v="4"/>
    <n v="4"/>
    <x v="2"/>
    <x v="8"/>
    <n v="5"/>
    <x v="3"/>
    <x v="0"/>
  </r>
  <r>
    <n v="724"/>
    <n v="3877762163"/>
    <x v="0"/>
    <x v="5"/>
    <s v="No answer provided"/>
    <s v="Very likely"/>
    <n v="4"/>
    <x v="3"/>
    <n v="3"/>
    <x v="0"/>
    <x v="4"/>
    <n v="3"/>
    <x v="3"/>
    <x v="0"/>
  </r>
  <r>
    <n v="725"/>
    <n v="3877760068"/>
    <x v="1"/>
    <x v="1"/>
    <s v="My husband usually informs me about the next day's weather."/>
    <s v="Somewhat likely"/>
    <n v="3"/>
    <x v="0"/>
    <n v="2"/>
    <x v="2"/>
    <x v="11"/>
    <n v="7"/>
    <x v="4"/>
    <x v="13"/>
  </r>
  <r>
    <n v="726"/>
    <n v="3877755586"/>
    <x v="0"/>
    <x v="5"/>
    <s v="No answer provided"/>
    <s v="Somewhat likely"/>
    <n v="3"/>
    <x v="4"/>
    <n v="4"/>
    <x v="0"/>
    <x v="7"/>
    <n v="2"/>
    <x v="4"/>
    <x v="0"/>
  </r>
  <r>
    <n v="727"/>
    <n v="3877755146"/>
    <x v="0"/>
    <x v="2"/>
    <s v="No answer provided"/>
    <s v="Somewhat likely"/>
    <n v="3"/>
    <x v="4"/>
    <n v="4"/>
    <x v="0"/>
    <x v="0"/>
    <n v="4"/>
    <x v="5"/>
    <x v="0"/>
  </r>
  <r>
    <n v="728"/>
    <n v="3877754981"/>
    <x v="0"/>
    <x v="5"/>
    <s v="No answer provided"/>
    <s v="Very likely"/>
    <n v="4"/>
    <x v="3"/>
    <n v="3"/>
    <x v="0"/>
    <x v="0"/>
    <n v="4"/>
    <x v="2"/>
    <x v="0"/>
  </r>
  <r>
    <n v="729"/>
    <n v="3877754345"/>
    <x v="0"/>
    <x v="5"/>
    <s v="No answer provided"/>
    <s v="Very unlikely"/>
    <n v="1"/>
    <x v="4"/>
    <n v="4"/>
    <x v="2"/>
    <x v="1"/>
    <n v="11"/>
    <x v="2"/>
    <x v="0"/>
  </r>
  <r>
    <n v="730"/>
    <n v="3877754281"/>
    <x v="0"/>
    <x v="1"/>
    <s v="weather underground"/>
    <s v="Very likely"/>
    <n v="4"/>
    <x v="3"/>
    <n v="3"/>
    <x v="2"/>
    <x v="10"/>
    <n v="9"/>
    <x v="4"/>
    <x v="8"/>
  </r>
  <r>
    <n v="731"/>
    <n v="3877752751"/>
    <x v="0"/>
    <x v="0"/>
    <s v="No answer provided"/>
    <s v="Somewhat likely"/>
    <n v="3"/>
    <x v="3"/>
    <n v="3"/>
    <x v="2"/>
    <x v="7"/>
    <n v="2"/>
    <x v="4"/>
    <x v="0"/>
  </r>
  <r>
    <n v="732"/>
    <n v="3877751637"/>
    <x v="0"/>
    <x v="0"/>
    <s v="No answer provided"/>
    <s v="Very likely"/>
    <n v="4"/>
    <x v="1"/>
    <n v="1"/>
    <x v="2"/>
    <x v="8"/>
    <n v="5"/>
    <x v="4"/>
    <x v="0"/>
  </r>
  <r>
    <n v="733"/>
    <n v="3877750962"/>
    <x v="0"/>
    <x v="5"/>
    <s v="No answer provided"/>
    <s v="Somewhat unlikely"/>
    <n v="2"/>
    <x v="3"/>
    <n v="3"/>
    <x v="2"/>
    <x v="0"/>
    <n v="4"/>
    <x v="9"/>
    <x v="0"/>
  </r>
  <r>
    <n v="734"/>
    <n v="3877750724"/>
    <x v="1"/>
    <x v="2"/>
    <s v="No answer provided"/>
    <s v="Very likely"/>
    <n v="4"/>
    <x v="0"/>
    <n v="2"/>
    <x v="2"/>
    <x v="4"/>
    <n v="3"/>
    <x v="9"/>
    <x v="0"/>
  </r>
  <r>
    <n v="735"/>
    <n v="3877748205"/>
    <x v="1"/>
    <x v="4"/>
    <s v="No answer provided"/>
    <s v="Somewhat likely"/>
    <n v="3"/>
    <x v="1"/>
    <n v="1"/>
    <x v="2"/>
    <x v="7"/>
    <n v="2"/>
    <x v="8"/>
    <x v="0"/>
  </r>
  <r>
    <n v="736"/>
    <n v="3877747724"/>
    <x v="0"/>
    <x v="0"/>
    <s v="No answer provided"/>
    <s v="Very likely"/>
    <n v="4"/>
    <x v="1"/>
    <n v="1"/>
    <x v="2"/>
    <x v="7"/>
    <n v="2"/>
    <x v="6"/>
    <x v="0"/>
  </r>
  <r>
    <n v="737"/>
    <n v="3877746061"/>
    <x v="0"/>
    <x v="0"/>
    <s v="No answer provided"/>
    <s v="Very unlikely"/>
    <n v="1"/>
    <x v="0"/>
    <n v="2"/>
    <x v="2"/>
    <x v="6"/>
    <n v="1"/>
    <x v="9"/>
    <x v="0"/>
  </r>
  <r>
    <n v="738"/>
    <n v="3877744514"/>
    <x v="0"/>
    <x v="2"/>
    <s v="No answer provided"/>
    <s v="Very likely"/>
    <n v="4"/>
    <x v="1"/>
    <n v="1"/>
    <x v="2"/>
    <x v="7"/>
    <n v="2"/>
    <x v="6"/>
    <x v="0"/>
  </r>
  <r>
    <n v="739"/>
    <n v="3877744055"/>
    <x v="0"/>
    <x v="6"/>
    <s v="No answer provided"/>
    <s v="Very unlikely"/>
    <n v="1"/>
    <x v="4"/>
    <n v="4"/>
    <x v="0"/>
    <x v="1"/>
    <n v="11"/>
    <x v="4"/>
    <x v="0"/>
  </r>
  <r>
    <n v="740"/>
    <n v="3877743862"/>
    <x v="0"/>
    <x v="1"/>
    <s v="Weather.com"/>
    <s v="Very likely"/>
    <n v="4"/>
    <x v="3"/>
    <n v="3"/>
    <x v="2"/>
    <x v="1"/>
    <n v="11"/>
    <x v="0"/>
    <x v="4"/>
  </r>
  <r>
    <n v="741"/>
    <n v="3877741292"/>
    <x v="1"/>
    <x v="0"/>
    <s v="No answer provided"/>
    <s v="Somewhat likely"/>
    <n v="3"/>
    <x v="1"/>
    <n v="1"/>
    <x v="2"/>
    <x v="0"/>
    <n v="4"/>
    <x v="6"/>
    <x v="0"/>
  </r>
  <r>
    <n v="742"/>
    <n v="3877740013"/>
    <x v="1"/>
    <x v="1"/>
    <s v="Default iPhone app"/>
    <s v="Very likely"/>
    <n v="4"/>
    <x v="1"/>
    <n v="1"/>
    <x v="2"/>
    <x v="9"/>
    <n v="10"/>
    <x v="6"/>
    <x v="1"/>
  </r>
  <r>
    <n v="743"/>
    <n v="3877739642"/>
    <x v="0"/>
    <x v="0"/>
    <s v="No answer provided"/>
    <s v="Very likely"/>
    <n v="4"/>
    <x v="1"/>
    <n v="1"/>
    <x v="2"/>
    <x v="4"/>
    <n v="3"/>
    <x v="8"/>
    <x v="0"/>
  </r>
  <r>
    <n v="744"/>
    <n v="3877739070"/>
    <x v="1"/>
    <x v="5"/>
    <s v="No answer provided"/>
    <s v="Somewhat unlikely"/>
    <n v="2"/>
    <x v="4"/>
    <n v="4"/>
    <x v="0"/>
    <x v="2"/>
    <n v="6"/>
    <x v="6"/>
    <x v="0"/>
  </r>
  <r>
    <n v="745"/>
    <n v="3877737885"/>
    <x v="0"/>
    <x v="4"/>
    <s v="No answer provided"/>
    <s v="Very unlikely"/>
    <n v="1"/>
    <x v="4"/>
    <n v="4"/>
    <x v="0"/>
    <x v="8"/>
    <n v="5"/>
    <x v="6"/>
    <x v="0"/>
  </r>
  <r>
    <n v="746"/>
    <n v="3877735171"/>
    <x v="0"/>
    <x v="4"/>
    <s v="No answer provided"/>
    <s v="Very likely"/>
    <n v="4"/>
    <x v="3"/>
    <n v="3"/>
    <x v="0"/>
    <x v="9"/>
    <n v="10"/>
    <x v="7"/>
    <x v="0"/>
  </r>
  <r>
    <n v="747"/>
    <n v="3877732662"/>
    <x v="1"/>
    <x v="5"/>
    <s v="No answer provided"/>
    <s v="Somewhat likely"/>
    <n v="3"/>
    <x v="3"/>
    <n v="3"/>
    <x v="2"/>
    <x v="7"/>
    <n v="2"/>
    <x v="9"/>
    <x v="0"/>
  </r>
  <r>
    <n v="748"/>
    <n v="3877732160"/>
    <x v="0"/>
    <x v="1"/>
    <s v="Google now"/>
    <s v="Somewhat likely"/>
    <n v="3"/>
    <x v="0"/>
    <n v="2"/>
    <x v="2"/>
    <x v="3"/>
    <n v="8"/>
    <x v="3"/>
    <x v="7"/>
  </r>
  <r>
    <n v="749"/>
    <n v="3877731939"/>
    <x v="0"/>
    <x v="2"/>
    <s v="No answer provided"/>
    <s v="Somewhat unlikely"/>
    <n v="2"/>
    <x v="3"/>
    <n v="3"/>
    <x v="0"/>
    <x v="2"/>
    <n v="6"/>
    <x v="4"/>
    <x v="0"/>
  </r>
  <r>
    <n v="750"/>
    <n v="3877729075"/>
    <x v="0"/>
    <x v="2"/>
    <s v="No answer provided"/>
    <s v="Very likely"/>
    <n v="4"/>
    <x v="3"/>
    <n v="3"/>
    <x v="2"/>
    <x v="2"/>
    <n v="6"/>
    <x v="1"/>
    <x v="0"/>
  </r>
  <r>
    <n v="751"/>
    <n v="3877728804"/>
    <x v="0"/>
    <x v="0"/>
    <s v="No answer provided"/>
    <s v="Very likely"/>
    <n v="4"/>
    <x v="4"/>
    <n v="4"/>
    <x v="0"/>
    <x v="11"/>
    <n v="7"/>
    <x v="4"/>
    <x v="0"/>
  </r>
  <r>
    <n v="752"/>
    <n v="3877728487"/>
    <x v="0"/>
    <x v="2"/>
    <s v="No answer provided"/>
    <s v="Very unlikely"/>
    <n v="1"/>
    <x v="1"/>
    <n v="1"/>
    <x v="2"/>
    <x v="4"/>
    <n v="3"/>
    <x v="2"/>
    <x v="0"/>
  </r>
  <r>
    <n v="753"/>
    <n v="3877728042"/>
    <x v="0"/>
    <x v="0"/>
    <s v="No answer provided"/>
    <s v="Somewhat unlikely"/>
    <n v="2"/>
    <x v="3"/>
    <n v="3"/>
    <x v="2"/>
    <x v="1"/>
    <n v="11"/>
    <x v="3"/>
    <x v="0"/>
  </r>
  <r>
    <n v="754"/>
    <n v="3877727777"/>
    <x v="0"/>
    <x v="0"/>
    <s v="No answer provided"/>
    <s v="Very likely"/>
    <n v="4"/>
    <x v="3"/>
    <n v="3"/>
    <x v="2"/>
    <x v="2"/>
    <n v="6"/>
    <x v="5"/>
    <x v="0"/>
  </r>
  <r>
    <n v="755"/>
    <n v="3877726824"/>
    <x v="1"/>
    <x v="5"/>
    <s v="No answer provided"/>
    <s v="Very unlikely"/>
    <n v="1"/>
    <x v="3"/>
    <n v="3"/>
    <x v="2"/>
    <x v="1"/>
    <n v="11"/>
    <x v="0"/>
    <x v="0"/>
  </r>
  <r>
    <n v="756"/>
    <n v="3877724934"/>
    <x v="1"/>
    <x v="2"/>
    <s v="No answer provided"/>
    <s v="Very unlikely"/>
    <n v="1"/>
    <x v="4"/>
    <n v="4"/>
    <x v="2"/>
    <x v="4"/>
    <n v="3"/>
    <x v="5"/>
    <x v="0"/>
  </r>
  <r>
    <n v="757"/>
    <n v="3877723968"/>
    <x v="0"/>
    <x v="4"/>
    <s v="No answer provided"/>
    <s v="Somewhat likely"/>
    <n v="3"/>
    <x v="4"/>
    <n v="4"/>
    <x v="0"/>
    <x v="1"/>
    <n v="11"/>
    <x v="5"/>
    <x v="0"/>
  </r>
  <r>
    <n v="758"/>
    <n v="3877723964"/>
    <x v="1"/>
    <x v="4"/>
    <s v="No answer provided"/>
    <s v="Very unlikely"/>
    <n v="1"/>
    <x v="0"/>
    <n v="2"/>
    <x v="2"/>
    <x v="4"/>
    <n v="3"/>
    <x v="4"/>
    <x v="0"/>
  </r>
  <r>
    <n v="759"/>
    <n v="3877723322"/>
    <x v="0"/>
    <x v="1"/>
    <s v="Weather Underground"/>
    <s v="Very unlikely"/>
    <n v="1"/>
    <x v="3"/>
    <n v="3"/>
    <x v="0"/>
    <x v="3"/>
    <n v="8"/>
    <x v="8"/>
    <x v="8"/>
  </r>
  <r>
    <n v="760"/>
    <n v="3877722749"/>
    <x v="0"/>
    <x v="5"/>
    <s v="No answer provided"/>
    <s v="Very likely"/>
    <n v="4"/>
    <x v="1"/>
    <n v="1"/>
    <x v="2"/>
    <x v="4"/>
    <n v="3"/>
    <x v="6"/>
    <x v="0"/>
  </r>
  <r>
    <n v="761"/>
    <n v="3877721796"/>
    <x v="0"/>
    <x v="5"/>
    <s v="No answer provided"/>
    <s v="Very unlikely"/>
    <n v="1"/>
    <x v="3"/>
    <n v="3"/>
    <x v="2"/>
    <x v="1"/>
    <n v="11"/>
    <x v="0"/>
    <x v="0"/>
  </r>
  <r>
    <n v="762"/>
    <n v="3877721262"/>
    <x v="0"/>
    <x v="1"/>
    <s v="Chrome app"/>
    <s v="Very likely"/>
    <n v="4"/>
    <x v="0"/>
    <n v="2"/>
    <x v="2"/>
    <x v="8"/>
    <n v="5"/>
    <x v="6"/>
    <x v="3"/>
  </r>
  <r>
    <n v="763"/>
    <n v="3877720994"/>
    <x v="0"/>
    <x v="0"/>
    <s v="No answer provided"/>
    <s v="Very likely"/>
    <n v="4"/>
    <x v="0"/>
    <n v="2"/>
    <x v="2"/>
    <x v="9"/>
    <n v="10"/>
    <x v="2"/>
    <x v="0"/>
  </r>
  <r>
    <n v="764"/>
    <n v="3877720618"/>
    <x v="0"/>
    <x v="1"/>
    <s v="Accuweather"/>
    <s v="Somewhat likely"/>
    <n v="3"/>
    <x v="1"/>
    <n v="1"/>
    <x v="2"/>
    <x v="1"/>
    <n v="11"/>
    <x v="2"/>
    <x v="2"/>
  </r>
  <r>
    <n v="765"/>
    <n v="3877719327"/>
    <x v="0"/>
    <x v="5"/>
    <s v="No answer provided"/>
    <s v="Somewhat likely"/>
    <n v="3"/>
    <x v="0"/>
    <n v="2"/>
    <x v="2"/>
    <x v="2"/>
    <n v="6"/>
    <x v="2"/>
    <x v="0"/>
  </r>
  <r>
    <n v="766"/>
    <n v="3877715614"/>
    <x v="0"/>
    <x v="4"/>
    <s v="No answer provided"/>
    <s v="Somewhat unlikely"/>
    <n v="2"/>
    <x v="0"/>
    <n v="2"/>
    <x v="2"/>
    <x v="0"/>
    <n v="4"/>
    <x v="7"/>
    <x v="0"/>
  </r>
  <r>
    <n v="767"/>
    <n v="3877714285"/>
    <x v="1"/>
    <x v="5"/>
    <s v="No answer provided"/>
    <s v="Somewhat likely"/>
    <n v="3"/>
    <x v="4"/>
    <n v="4"/>
    <x v="0"/>
    <x v="1"/>
    <n v="11"/>
    <x v="9"/>
    <x v="0"/>
  </r>
  <r>
    <n v="768"/>
    <n v="3877713514"/>
    <x v="0"/>
    <x v="0"/>
    <s v="No answer provided"/>
    <s v="Somewhat likely"/>
    <n v="3"/>
    <x v="1"/>
    <n v="1"/>
    <x v="2"/>
    <x v="6"/>
    <n v="1"/>
    <x v="7"/>
    <x v="0"/>
  </r>
  <r>
    <n v="769"/>
    <n v="3877710759"/>
    <x v="0"/>
    <x v="5"/>
    <s v="No answer provided"/>
    <s v="Somewhat likely"/>
    <n v="3"/>
    <x v="4"/>
    <n v="4"/>
    <x v="0"/>
    <x v="8"/>
    <n v="5"/>
    <x v="2"/>
    <x v="0"/>
  </r>
  <r>
    <n v="770"/>
    <n v="3877709429"/>
    <x v="1"/>
    <x v="0"/>
    <s v="No answer provided"/>
    <s v="Somewhat likely"/>
    <n v="3"/>
    <x v="1"/>
    <n v="1"/>
    <x v="2"/>
    <x v="0"/>
    <n v="4"/>
    <x v="0"/>
    <x v="0"/>
  </r>
  <r>
    <n v="771"/>
    <n v="3877709396"/>
    <x v="0"/>
    <x v="5"/>
    <s v="No answer provided"/>
    <s v="Very unlikely"/>
    <n v="1"/>
    <x v="0"/>
    <n v="2"/>
    <x v="2"/>
    <x v="8"/>
    <n v="5"/>
    <x v="2"/>
    <x v="0"/>
  </r>
  <r>
    <n v="772"/>
    <n v="3877709203"/>
    <x v="1"/>
    <x v="4"/>
    <s v="No answer provided"/>
    <s v="Somewhat likely"/>
    <n v="3"/>
    <x v="0"/>
    <n v="2"/>
    <x v="2"/>
    <x v="8"/>
    <n v="5"/>
    <x v="0"/>
    <x v="0"/>
  </r>
  <r>
    <n v="773"/>
    <n v="3877705805"/>
    <x v="0"/>
    <x v="2"/>
    <s v="No answer provided"/>
    <s v="Very likely"/>
    <n v="4"/>
    <x v="0"/>
    <n v="2"/>
    <x v="2"/>
    <x v="2"/>
    <n v="6"/>
    <x v="0"/>
    <x v="0"/>
  </r>
  <r>
    <n v="774"/>
    <n v="3877705747"/>
    <x v="1"/>
    <x v="2"/>
    <s v="No answer provided"/>
    <s v="Very likely"/>
    <n v="4"/>
    <x v="0"/>
    <n v="2"/>
    <x v="2"/>
    <x v="4"/>
    <n v="3"/>
    <x v="6"/>
    <x v="0"/>
  </r>
  <r>
    <n v="775"/>
    <n v="3877705621"/>
    <x v="1"/>
    <x v="4"/>
    <s v="No answer provided"/>
    <s v="Very unlikely"/>
    <n v="1"/>
    <x v="1"/>
    <n v="1"/>
    <x v="2"/>
    <x v="1"/>
    <n v="11"/>
    <x v="4"/>
    <x v="0"/>
  </r>
  <r>
    <n v="776"/>
    <n v="3877705489"/>
    <x v="0"/>
    <x v="0"/>
    <s v="No answer provided"/>
    <s v="Very likely"/>
    <n v="4"/>
    <x v="1"/>
    <n v="1"/>
    <x v="0"/>
    <x v="0"/>
    <n v="4"/>
    <x v="7"/>
    <x v="0"/>
  </r>
  <r>
    <n v="777"/>
    <n v="3877705171"/>
    <x v="0"/>
    <x v="2"/>
    <s v="No answer provided"/>
    <s v="Very likely"/>
    <n v="4"/>
    <x v="4"/>
    <n v="4"/>
    <x v="2"/>
    <x v="0"/>
    <n v="4"/>
    <x v="4"/>
    <x v="0"/>
  </r>
  <r>
    <n v="778"/>
    <n v="3877705053"/>
    <x v="0"/>
    <x v="2"/>
    <s v="No answer provided"/>
    <s v="Somewhat likely"/>
    <n v="3"/>
    <x v="0"/>
    <n v="2"/>
    <x v="2"/>
    <x v="7"/>
    <n v="2"/>
    <x v="6"/>
    <x v="0"/>
  </r>
  <r>
    <n v="779"/>
    <n v="3877703334"/>
    <x v="0"/>
    <x v="2"/>
    <s v="No answer provided"/>
    <s v="Somewhat unlikely"/>
    <n v="2"/>
    <x v="1"/>
    <n v="1"/>
    <x v="2"/>
    <x v="7"/>
    <n v="2"/>
    <x v="7"/>
    <x v="0"/>
  </r>
  <r>
    <n v="780"/>
    <n v="3877702652"/>
    <x v="0"/>
    <x v="1"/>
    <s v="Apple Weather App"/>
    <s v="Very likely"/>
    <n v="4"/>
    <x v="1"/>
    <n v="1"/>
    <x v="2"/>
    <x v="1"/>
    <n v="11"/>
    <x v="3"/>
    <x v="1"/>
  </r>
  <r>
    <n v="781"/>
    <n v="3877699575"/>
    <x v="0"/>
    <x v="5"/>
    <s v="No answer provided"/>
    <s v="Somewhat likely"/>
    <n v="3"/>
    <x v="3"/>
    <n v="3"/>
    <x v="2"/>
    <x v="9"/>
    <n v="10"/>
    <x v="5"/>
    <x v="0"/>
  </r>
  <r>
    <n v="782"/>
    <n v="3877698507"/>
    <x v="1"/>
    <x v="0"/>
    <s v="No answer provided"/>
    <s v="Very unlikely"/>
    <n v="1"/>
    <x v="1"/>
    <n v="1"/>
    <x v="2"/>
    <x v="1"/>
    <n v="11"/>
    <x v="0"/>
    <x v="0"/>
  </r>
  <r>
    <n v="783"/>
    <n v="3877696556"/>
    <x v="0"/>
    <x v="7"/>
    <s v="No answer provided"/>
    <s v="Very unlikely"/>
    <n v="1"/>
    <x v="4"/>
    <n v="4"/>
    <x v="0"/>
    <x v="1"/>
    <n v="11"/>
    <x v="6"/>
    <x v="0"/>
  </r>
  <r>
    <n v="784"/>
    <n v="3877694816"/>
    <x v="0"/>
    <x v="1"/>
    <s v="National Weather Service site"/>
    <s v="Somewhat unlikely"/>
    <n v="2"/>
    <x v="4"/>
    <n v="4"/>
    <x v="0"/>
    <x v="9"/>
    <n v="10"/>
    <x v="9"/>
    <x v="19"/>
  </r>
  <r>
    <n v="785"/>
    <n v="3877693629"/>
    <x v="0"/>
    <x v="2"/>
    <s v="No answer provided"/>
    <s v="Very unlikely"/>
    <n v="1"/>
    <x v="4"/>
    <n v="4"/>
    <x v="0"/>
    <x v="0"/>
    <n v="4"/>
    <x v="2"/>
    <x v="0"/>
  </r>
  <r>
    <n v="786"/>
    <n v="3877693173"/>
    <x v="0"/>
    <x v="0"/>
    <s v="No answer provided"/>
    <s v="Very unlikely"/>
    <n v="1"/>
    <x v="0"/>
    <n v="2"/>
    <x v="2"/>
    <x v="9"/>
    <n v="10"/>
    <x v="7"/>
    <x v="0"/>
  </r>
  <r>
    <n v="787"/>
    <n v="3877691632"/>
    <x v="0"/>
    <x v="5"/>
    <s v="No answer provided"/>
    <s v="Very unlikely"/>
    <n v="1"/>
    <x v="0"/>
    <n v="2"/>
    <x v="2"/>
    <x v="2"/>
    <n v="6"/>
    <x v="9"/>
    <x v="0"/>
  </r>
  <r>
    <n v="788"/>
    <n v="3877689877"/>
    <x v="1"/>
    <x v="0"/>
    <s v="No answer provided"/>
    <s v="Somewhat likely"/>
    <n v="3"/>
    <x v="1"/>
    <n v="1"/>
    <x v="2"/>
    <x v="8"/>
    <n v="5"/>
    <x v="3"/>
    <x v="0"/>
  </r>
  <r>
    <n v="789"/>
    <n v="3877689618"/>
    <x v="0"/>
    <x v="2"/>
    <s v="No answer provided"/>
    <s v="Somewhat likely"/>
    <n v="3"/>
    <x v="4"/>
    <n v="4"/>
    <x v="2"/>
    <x v="8"/>
    <n v="5"/>
    <x v="7"/>
    <x v="0"/>
  </r>
  <r>
    <n v="790"/>
    <n v="3877689598"/>
    <x v="0"/>
    <x v="0"/>
    <s v="No answer provided"/>
    <s v="Very likely"/>
    <n v="4"/>
    <x v="3"/>
    <n v="3"/>
    <x v="2"/>
    <x v="3"/>
    <n v="8"/>
    <x v="0"/>
    <x v="0"/>
  </r>
  <r>
    <n v="791"/>
    <n v="3877688523"/>
    <x v="0"/>
    <x v="2"/>
    <s v="No answer provided"/>
    <s v="Very likely"/>
    <n v="4"/>
    <x v="0"/>
    <n v="2"/>
    <x v="2"/>
    <x v="11"/>
    <n v="7"/>
    <x v="4"/>
    <x v="0"/>
  </r>
  <r>
    <n v="792"/>
    <n v="3877686918"/>
    <x v="1"/>
    <x v="5"/>
    <s v="No answer provided"/>
    <s v="Somewhat likely"/>
    <n v="3"/>
    <x v="3"/>
    <n v="3"/>
    <x v="2"/>
    <x v="4"/>
    <n v="3"/>
    <x v="3"/>
    <x v="0"/>
  </r>
  <r>
    <n v="793"/>
    <n v="3877686413"/>
    <x v="0"/>
    <x v="2"/>
    <s v="No answer provided"/>
    <s v="Somewhat likely"/>
    <n v="3"/>
    <x v="1"/>
    <n v="1"/>
    <x v="2"/>
    <x v="8"/>
    <n v="5"/>
    <x v="7"/>
    <x v="0"/>
  </r>
  <r>
    <n v="794"/>
    <n v="3877685833"/>
    <x v="0"/>
    <x v="5"/>
    <s v="No answer provided"/>
    <s v="Very likely"/>
    <n v="4"/>
    <x v="3"/>
    <n v="3"/>
    <x v="0"/>
    <x v="2"/>
    <n v="6"/>
    <x v="0"/>
    <x v="0"/>
  </r>
  <r>
    <n v="795"/>
    <n v="3877685611"/>
    <x v="1"/>
    <x v="4"/>
    <s v="No answer provided"/>
    <s v="Very likely"/>
    <n v="4"/>
    <x v="1"/>
    <n v="1"/>
    <x v="2"/>
    <x v="7"/>
    <n v="2"/>
    <x v="0"/>
    <x v="0"/>
  </r>
  <r>
    <n v="796"/>
    <n v="3877685103"/>
    <x v="1"/>
    <x v="0"/>
    <s v="No answer provided"/>
    <s v="Somewhat likely"/>
    <n v="3"/>
    <x v="0"/>
    <n v="2"/>
    <x v="2"/>
    <x v="2"/>
    <n v="6"/>
    <x v="7"/>
    <x v="0"/>
  </r>
  <r>
    <n v="797"/>
    <n v="3877684867"/>
    <x v="0"/>
    <x v="0"/>
    <s v="No answer provided"/>
    <s v="Very likely"/>
    <n v="4"/>
    <x v="1"/>
    <n v="1"/>
    <x v="2"/>
    <x v="0"/>
    <n v="4"/>
    <x v="0"/>
    <x v="0"/>
  </r>
  <r>
    <n v="798"/>
    <n v="3877682778"/>
    <x v="0"/>
    <x v="2"/>
    <s v="No answer provided"/>
    <s v="Very likely"/>
    <n v="4"/>
    <x v="1"/>
    <n v="1"/>
    <x v="0"/>
    <x v="1"/>
    <n v="11"/>
    <x v="3"/>
    <x v="0"/>
  </r>
  <r>
    <n v="799"/>
    <n v="3877682733"/>
    <x v="1"/>
    <x v="6"/>
    <s v="No answer provided"/>
    <s v="Somewhat likely"/>
    <n v="3"/>
    <x v="3"/>
    <n v="3"/>
    <x v="0"/>
    <x v="0"/>
    <n v="4"/>
    <x v="0"/>
    <x v="0"/>
  </r>
  <r>
    <n v="800"/>
    <n v="3877679711"/>
    <x v="0"/>
    <x v="5"/>
    <s v="No answer provided"/>
    <s v="Somewhat likely"/>
    <n v="3"/>
    <x v="4"/>
    <n v="4"/>
    <x v="0"/>
    <x v="0"/>
    <n v="4"/>
    <x v="9"/>
    <x v="0"/>
  </r>
  <r>
    <n v="801"/>
    <n v="3877679528"/>
    <x v="0"/>
    <x v="5"/>
    <s v="No answer provided"/>
    <s v="Very likely"/>
    <n v="4"/>
    <x v="4"/>
    <n v="4"/>
    <x v="2"/>
    <x v="4"/>
    <n v="3"/>
    <x v="9"/>
    <x v="0"/>
  </r>
  <r>
    <n v="802"/>
    <n v="3877675285"/>
    <x v="0"/>
    <x v="5"/>
    <s v="No answer provided"/>
    <s v="Somewhat likely"/>
    <n v="3"/>
    <x v="4"/>
    <n v="4"/>
    <x v="0"/>
    <x v="8"/>
    <n v="5"/>
    <x v="5"/>
    <x v="0"/>
  </r>
  <r>
    <n v="803"/>
    <n v="3877674431"/>
    <x v="1"/>
    <x v="0"/>
    <s v="No answer provided"/>
    <s v="Very unlikely"/>
    <n v="1"/>
    <x v="1"/>
    <n v="1"/>
    <x v="2"/>
    <x v="10"/>
    <n v="9"/>
    <x v="8"/>
    <x v="0"/>
  </r>
  <r>
    <n v="804"/>
    <n v="3877673406"/>
    <x v="0"/>
    <x v="1"/>
    <s v="Iphone weather app"/>
    <s v="Somewhat likely"/>
    <n v="3"/>
    <x v="1"/>
    <n v="1"/>
    <x v="2"/>
    <x v="4"/>
    <n v="3"/>
    <x v="3"/>
    <x v="1"/>
  </r>
  <r>
    <n v="805"/>
    <n v="3877673386"/>
    <x v="0"/>
    <x v="5"/>
    <s v="No answer provided"/>
    <s v="Very likely"/>
    <n v="4"/>
    <x v="4"/>
    <n v="4"/>
    <x v="2"/>
    <x v="10"/>
    <n v="9"/>
    <x v="4"/>
    <x v="0"/>
  </r>
  <r>
    <n v="806"/>
    <n v="3877671160"/>
    <x v="1"/>
    <x v="1"/>
    <s v="desktop icon"/>
    <s v="Somewhat likely"/>
    <n v="3"/>
    <x v="3"/>
    <n v="3"/>
    <x v="2"/>
    <x v="4"/>
    <n v="3"/>
    <x v="4"/>
    <x v="9"/>
  </r>
  <r>
    <n v="807"/>
    <n v="3877668804"/>
    <x v="0"/>
    <x v="0"/>
    <s v="No answer provided"/>
    <s v="Somewhat likely"/>
    <n v="3"/>
    <x v="1"/>
    <n v="1"/>
    <x v="2"/>
    <x v="7"/>
    <n v="2"/>
    <x v="1"/>
    <x v="0"/>
  </r>
  <r>
    <n v="808"/>
    <n v="3877668573"/>
    <x v="0"/>
    <x v="1"/>
    <s v="The one that comes on your iphone"/>
    <s v="Very likely"/>
    <n v="4"/>
    <x v="1"/>
    <n v="1"/>
    <x v="2"/>
    <x v="6"/>
    <n v="1"/>
    <x v="8"/>
    <x v="1"/>
  </r>
  <r>
    <n v="809"/>
    <n v="3877668518"/>
    <x v="0"/>
    <x v="0"/>
    <s v="No answer provided"/>
    <s v="Very likely"/>
    <n v="4"/>
    <x v="1"/>
    <n v="1"/>
    <x v="2"/>
    <x v="11"/>
    <n v="7"/>
    <x v="8"/>
    <x v="0"/>
  </r>
  <r>
    <n v="810"/>
    <n v="3877668411"/>
    <x v="0"/>
    <x v="2"/>
    <s v="No answer provided"/>
    <s v="Somewhat likely"/>
    <n v="3"/>
    <x v="0"/>
    <n v="2"/>
    <x v="2"/>
    <x v="3"/>
    <n v="8"/>
    <x v="8"/>
    <x v="0"/>
  </r>
  <r>
    <n v="811"/>
    <n v="3877666795"/>
    <x v="0"/>
    <x v="5"/>
    <s v="No answer provided"/>
    <s v="Somewhat likely"/>
    <n v="3"/>
    <x v="3"/>
    <n v="3"/>
    <x v="2"/>
    <x v="4"/>
    <n v="3"/>
    <x v="6"/>
    <x v="0"/>
  </r>
  <r>
    <n v="812"/>
    <n v="3877666179"/>
    <x v="0"/>
    <x v="4"/>
    <s v="No answer provided"/>
    <s v="Somewhat likely"/>
    <n v="3"/>
    <x v="4"/>
    <n v="4"/>
    <x v="2"/>
    <x v="1"/>
    <n v="11"/>
    <x v="3"/>
    <x v="0"/>
  </r>
  <r>
    <n v="813"/>
    <n v="3877665489"/>
    <x v="0"/>
    <x v="1"/>
    <s v="weather bug"/>
    <s v="Somewhat likely"/>
    <n v="3"/>
    <x v="3"/>
    <n v="3"/>
    <x v="2"/>
    <x v="4"/>
    <n v="3"/>
    <x v="6"/>
    <x v="5"/>
  </r>
  <r>
    <n v="814"/>
    <n v="3877661347"/>
    <x v="0"/>
    <x v="7"/>
    <s v="No answer provided"/>
    <s v="Somewhat likely"/>
    <n v="3"/>
    <x v="4"/>
    <n v="4"/>
    <x v="0"/>
    <x v="8"/>
    <n v="5"/>
    <x v="7"/>
    <x v="0"/>
  </r>
  <r>
    <n v="815"/>
    <n v="3877660370"/>
    <x v="0"/>
    <x v="1"/>
    <s v="the weather channel and local TV kxan"/>
    <s v="Very likely"/>
    <n v="4"/>
    <x v="4"/>
    <n v="4"/>
    <x v="2"/>
    <x v="9"/>
    <n v="10"/>
    <x v="3"/>
    <x v="4"/>
  </r>
  <r>
    <n v="816"/>
    <n v="3877660042"/>
    <x v="0"/>
    <x v="0"/>
    <s v="No answer provided"/>
    <s v="Somewhat unlikely"/>
    <n v="2"/>
    <x v="1"/>
    <n v="1"/>
    <x v="2"/>
    <x v="4"/>
    <n v="3"/>
    <x v="3"/>
    <x v="0"/>
  </r>
  <r>
    <n v="817"/>
    <n v="3877656203"/>
    <x v="0"/>
    <x v="2"/>
    <s v="No answer provided"/>
    <s v="Somewhat likely"/>
    <n v="3"/>
    <x v="3"/>
    <n v="3"/>
    <x v="0"/>
    <x v="0"/>
    <n v="4"/>
    <x v="4"/>
    <x v="0"/>
  </r>
  <r>
    <n v="818"/>
    <n v="3877654524"/>
    <x v="0"/>
    <x v="4"/>
    <s v="No answer provided"/>
    <s v="Very unlikely"/>
    <n v="1"/>
    <x v="1"/>
    <n v="1"/>
    <x v="2"/>
    <x v="1"/>
    <n v="11"/>
    <x v="1"/>
    <x v="0"/>
  </r>
  <r>
    <n v="819"/>
    <n v="3877654523"/>
    <x v="0"/>
    <x v="1"/>
    <s v="Accuweather"/>
    <s v="Very likely"/>
    <n v="4"/>
    <x v="3"/>
    <n v="3"/>
    <x v="0"/>
    <x v="8"/>
    <n v="5"/>
    <x v="0"/>
    <x v="2"/>
  </r>
  <r>
    <n v="820"/>
    <n v="3877653871"/>
    <x v="0"/>
    <x v="1"/>
    <s v="weather bug"/>
    <s v="Very likely"/>
    <n v="4"/>
    <x v="3"/>
    <n v="3"/>
    <x v="2"/>
    <x v="9"/>
    <n v="10"/>
    <x v="0"/>
    <x v="5"/>
  </r>
  <r>
    <n v="821"/>
    <n v="3877653260"/>
    <x v="0"/>
    <x v="5"/>
    <s v="No answer provided"/>
    <s v="Somewhat likely"/>
    <n v="3"/>
    <x v="4"/>
    <n v="4"/>
    <x v="2"/>
    <x v="9"/>
    <n v="10"/>
    <x v="3"/>
    <x v="0"/>
  </r>
  <r>
    <n v="822"/>
    <n v="3877652718"/>
    <x v="0"/>
    <x v="5"/>
    <s v="No answer provided"/>
    <s v="Very unlikely"/>
    <n v="1"/>
    <x v="4"/>
    <n v="4"/>
    <x v="2"/>
    <x v="1"/>
    <n v="11"/>
    <x v="7"/>
    <x v="0"/>
  </r>
  <r>
    <n v="823"/>
    <n v="3877652362"/>
    <x v="0"/>
    <x v="1"/>
    <s v="Wunderground"/>
    <s v="Very likely"/>
    <n v="4"/>
    <x v="4"/>
    <n v="4"/>
    <x v="2"/>
    <x v="4"/>
    <n v="3"/>
    <x v="4"/>
    <x v="8"/>
  </r>
  <r>
    <n v="824"/>
    <n v="3877651261"/>
    <x v="0"/>
    <x v="0"/>
    <s v="No answer provided"/>
    <s v="Very likely"/>
    <n v="4"/>
    <x v="3"/>
    <n v="3"/>
    <x v="2"/>
    <x v="9"/>
    <n v="10"/>
    <x v="0"/>
    <x v="0"/>
  </r>
  <r>
    <n v="825"/>
    <n v="3877650432"/>
    <x v="1"/>
    <x v="0"/>
    <s v="No answer provided"/>
    <s v="Very unlikely"/>
    <n v="1"/>
    <x v="1"/>
    <n v="1"/>
    <x v="2"/>
    <x v="1"/>
    <n v="11"/>
    <x v="0"/>
    <x v="0"/>
  </r>
  <r>
    <n v="826"/>
    <n v="3877649523"/>
    <x v="0"/>
    <x v="1"/>
    <s v="weatherbug"/>
    <s v="Very unlikely"/>
    <n v="1"/>
    <x v="1"/>
    <n v="1"/>
    <x v="2"/>
    <x v="7"/>
    <n v="2"/>
    <x v="6"/>
    <x v="5"/>
  </r>
  <r>
    <n v="827"/>
    <n v="3877649260"/>
    <x v="0"/>
    <x v="5"/>
    <s v="No answer provided"/>
    <s v="Very unlikely"/>
    <n v="1"/>
    <x v="3"/>
    <n v="3"/>
    <x v="2"/>
    <x v="0"/>
    <n v="4"/>
    <x v="4"/>
    <x v="0"/>
  </r>
  <r>
    <n v="828"/>
    <n v="3877648807"/>
    <x v="1"/>
    <x v="0"/>
    <s v="No answer provided"/>
    <s v="Somewhat likely"/>
    <n v="3"/>
    <x v="0"/>
    <n v="2"/>
    <x v="2"/>
    <x v="9"/>
    <n v="10"/>
    <x v="0"/>
    <x v="0"/>
  </r>
  <r>
    <n v="829"/>
    <n v="3877648261"/>
    <x v="0"/>
    <x v="6"/>
    <s v="No answer provided"/>
    <s v="Somewhat likely"/>
    <n v="3"/>
    <x v="3"/>
    <n v="3"/>
    <x v="2"/>
    <x v="11"/>
    <n v="7"/>
    <x v="8"/>
    <x v="0"/>
  </r>
  <r>
    <n v="830"/>
    <n v="3877648193"/>
    <x v="0"/>
    <x v="4"/>
    <s v="No answer provided"/>
    <s v="Very likely"/>
    <n v="4"/>
    <x v="0"/>
    <n v="2"/>
    <x v="2"/>
    <x v="4"/>
    <n v="3"/>
    <x v="3"/>
    <x v="0"/>
  </r>
  <r>
    <n v="831"/>
    <n v="3877647762"/>
    <x v="0"/>
    <x v="5"/>
    <s v="No answer provided"/>
    <s v="Very likely"/>
    <n v="4"/>
    <x v="0"/>
    <n v="2"/>
    <x v="2"/>
    <x v="8"/>
    <n v="5"/>
    <x v="6"/>
    <x v="0"/>
  </r>
  <r>
    <n v="832"/>
    <n v="3877647733"/>
    <x v="0"/>
    <x v="0"/>
    <s v="No answer provided"/>
    <s v="Very likely"/>
    <n v="4"/>
    <x v="4"/>
    <n v="4"/>
    <x v="0"/>
    <x v="9"/>
    <n v="10"/>
    <x v="4"/>
    <x v="0"/>
  </r>
  <r>
    <n v="833"/>
    <n v="3877647589"/>
    <x v="0"/>
    <x v="4"/>
    <s v="No answer provided"/>
    <s v="Very likely"/>
    <n v="4"/>
    <x v="1"/>
    <n v="1"/>
    <x v="2"/>
    <x v="4"/>
    <n v="3"/>
    <x v="6"/>
    <x v="0"/>
  </r>
  <r>
    <n v="834"/>
    <n v="3877647198"/>
    <x v="0"/>
    <x v="5"/>
    <s v="No answer provided"/>
    <s v="Very unlikely"/>
    <n v="1"/>
    <x v="3"/>
    <n v="3"/>
    <x v="2"/>
    <x v="4"/>
    <n v="3"/>
    <x v="2"/>
    <x v="0"/>
  </r>
  <r>
    <n v="835"/>
    <n v="3877646688"/>
    <x v="0"/>
    <x v="0"/>
    <s v="No answer provided"/>
    <s v="Very unlikely"/>
    <n v="1"/>
    <x v="0"/>
    <n v="2"/>
    <x v="2"/>
    <x v="1"/>
    <n v="11"/>
    <x v="0"/>
    <x v="0"/>
  </r>
  <r>
    <n v="836"/>
    <n v="3877646493"/>
    <x v="0"/>
    <x v="6"/>
    <s v="No answer provided"/>
    <s v="Very unlikely"/>
    <n v="1"/>
    <x v="3"/>
    <n v="3"/>
    <x v="2"/>
    <x v="8"/>
    <n v="5"/>
    <x v="5"/>
    <x v="0"/>
  </r>
  <r>
    <n v="837"/>
    <n v="3877646443"/>
    <x v="0"/>
    <x v="5"/>
    <s v="No answer provided"/>
    <s v="Somewhat likely"/>
    <n v="3"/>
    <x v="3"/>
    <n v="3"/>
    <x v="2"/>
    <x v="10"/>
    <n v="9"/>
    <x v="0"/>
    <x v="0"/>
  </r>
  <r>
    <n v="838"/>
    <n v="3877644027"/>
    <x v="0"/>
    <x v="2"/>
    <s v="No answer provided"/>
    <s v="Very unlikely"/>
    <n v="1"/>
    <x v="3"/>
    <n v="3"/>
    <x v="0"/>
    <x v="8"/>
    <n v="5"/>
    <x v="0"/>
    <x v="0"/>
  </r>
  <r>
    <n v="839"/>
    <n v="3877642069"/>
    <x v="0"/>
    <x v="0"/>
    <s v="No answer provided"/>
    <s v="Somewhat likely"/>
    <n v="3"/>
    <x v="0"/>
    <n v="2"/>
    <x v="2"/>
    <x v="1"/>
    <n v="11"/>
    <x v="0"/>
    <x v="0"/>
  </r>
  <r>
    <n v="840"/>
    <n v="3877640956"/>
    <x v="0"/>
    <x v="1"/>
    <s v="accuweather"/>
    <s v="Very likely"/>
    <n v="4"/>
    <x v="3"/>
    <n v="3"/>
    <x v="2"/>
    <x v="1"/>
    <n v="11"/>
    <x v="6"/>
    <x v="2"/>
  </r>
  <r>
    <n v="841"/>
    <n v="3877640569"/>
    <x v="0"/>
    <x v="1"/>
    <s v="the weather channel app"/>
    <s v="Very unlikely"/>
    <n v="1"/>
    <x v="1"/>
    <n v="1"/>
    <x v="2"/>
    <x v="6"/>
    <n v="1"/>
    <x v="2"/>
    <x v="4"/>
  </r>
  <r>
    <n v="842"/>
    <n v="3877640059"/>
    <x v="0"/>
    <x v="5"/>
    <s v="No answer provided"/>
    <s v="Somewhat unlikely"/>
    <n v="2"/>
    <x v="4"/>
    <n v="4"/>
    <x v="2"/>
    <x v="7"/>
    <n v="2"/>
    <x v="9"/>
    <x v="0"/>
  </r>
  <r>
    <n v="843"/>
    <n v="3877639651"/>
    <x v="0"/>
    <x v="0"/>
    <s v="No answer provided"/>
    <s v="Very likely"/>
    <n v="4"/>
    <x v="0"/>
    <n v="2"/>
    <x v="2"/>
    <x v="11"/>
    <n v="7"/>
    <x v="4"/>
    <x v="0"/>
  </r>
  <r>
    <n v="844"/>
    <n v="3877639599"/>
    <x v="0"/>
    <x v="4"/>
    <s v="No answer provided"/>
    <s v="Somewhat likely"/>
    <n v="3"/>
    <x v="4"/>
    <n v="4"/>
    <x v="0"/>
    <x v="4"/>
    <n v="3"/>
    <x v="3"/>
    <x v="0"/>
  </r>
  <r>
    <n v="845"/>
    <n v="3877639207"/>
    <x v="0"/>
    <x v="2"/>
    <s v="No answer provided"/>
    <s v="Very likely"/>
    <n v="4"/>
    <x v="3"/>
    <n v="3"/>
    <x v="2"/>
    <x v="3"/>
    <n v="8"/>
    <x v="2"/>
    <x v="0"/>
  </r>
  <r>
    <n v="846"/>
    <n v="3877638685"/>
    <x v="0"/>
    <x v="1"/>
    <s v="Intellicast (site) &amp; WUnderground (app) "/>
    <s v="Very likely"/>
    <n v="4"/>
    <x v="3"/>
    <n v="3"/>
    <x v="0"/>
    <x v="4"/>
    <n v="3"/>
    <x v="8"/>
    <x v="11"/>
  </r>
  <r>
    <n v="847"/>
    <n v="3877638200"/>
    <x v="1"/>
    <x v="0"/>
    <s v="No answer provided"/>
    <s v="Somewhat unlikely"/>
    <n v="2"/>
    <x v="1"/>
    <n v="1"/>
    <x v="2"/>
    <x v="1"/>
    <n v="11"/>
    <x v="5"/>
    <x v="0"/>
  </r>
  <r>
    <n v="848"/>
    <n v="3877637740"/>
    <x v="0"/>
    <x v="1"/>
    <s v="Weather Bug App"/>
    <s v="Very likely"/>
    <n v="4"/>
    <x v="1"/>
    <n v="1"/>
    <x v="2"/>
    <x v="7"/>
    <n v="2"/>
    <x v="9"/>
    <x v="5"/>
  </r>
  <r>
    <n v="849"/>
    <n v="3877637463"/>
    <x v="0"/>
    <x v="0"/>
    <s v="No answer provided"/>
    <s v="Very unlikely"/>
    <n v="1"/>
    <x v="3"/>
    <n v="3"/>
    <x v="0"/>
    <x v="9"/>
    <n v="10"/>
    <x v="8"/>
    <x v="0"/>
  </r>
  <r>
    <n v="850"/>
    <n v="3877637448"/>
    <x v="0"/>
    <x v="1"/>
    <s v="myphone"/>
    <s v="Very unlikely"/>
    <n v="1"/>
    <x v="4"/>
    <n v="4"/>
    <x v="2"/>
    <x v="1"/>
    <n v="11"/>
    <x v="3"/>
    <x v="17"/>
  </r>
  <r>
    <n v="851"/>
    <n v="3877637119"/>
    <x v="1"/>
    <x v="0"/>
    <s v="No answer provided"/>
    <s v="Very unlikely"/>
    <n v="1"/>
    <x v="1"/>
    <n v="1"/>
    <x v="2"/>
    <x v="10"/>
    <n v="9"/>
    <x v="1"/>
    <x v="0"/>
  </r>
  <r>
    <n v="852"/>
    <n v="3877635198"/>
    <x v="0"/>
    <x v="0"/>
    <s v="No answer provided"/>
    <s v="Very likely"/>
    <n v="4"/>
    <x v="0"/>
    <n v="2"/>
    <x v="2"/>
    <x v="1"/>
    <n v="11"/>
    <x v="6"/>
    <x v="0"/>
  </r>
  <r>
    <n v="853"/>
    <n v="3877635161"/>
    <x v="0"/>
    <x v="4"/>
    <s v="No answer provided"/>
    <s v="Very likely"/>
    <n v="4"/>
    <x v="0"/>
    <n v="2"/>
    <x v="2"/>
    <x v="7"/>
    <n v="2"/>
    <x v="8"/>
    <x v="0"/>
  </r>
  <r>
    <n v="854"/>
    <n v="3877633592"/>
    <x v="1"/>
    <x v="5"/>
    <s v="No answer provided"/>
    <s v="Somewhat likely"/>
    <n v="3"/>
    <x v="1"/>
    <n v="1"/>
    <x v="2"/>
    <x v="1"/>
    <n v="11"/>
    <x v="6"/>
    <x v="0"/>
  </r>
  <r>
    <n v="855"/>
    <n v="3877633421"/>
    <x v="0"/>
    <x v="1"/>
    <s v="weather.com"/>
    <s v="Very unlikely"/>
    <n v="1"/>
    <x v="0"/>
    <n v="2"/>
    <x v="2"/>
    <x v="2"/>
    <n v="6"/>
    <x v="7"/>
    <x v="4"/>
  </r>
  <r>
    <n v="856"/>
    <n v="3877632920"/>
    <x v="0"/>
    <x v="1"/>
    <s v="weather.gov"/>
    <s v="Somewhat likely"/>
    <n v="3"/>
    <x v="0"/>
    <n v="2"/>
    <x v="2"/>
    <x v="0"/>
    <n v="4"/>
    <x v="5"/>
    <x v="19"/>
  </r>
  <r>
    <n v="857"/>
    <n v="3877632727"/>
    <x v="0"/>
    <x v="2"/>
    <s v="No answer provided"/>
    <s v="Somewhat likely"/>
    <n v="3"/>
    <x v="3"/>
    <n v="3"/>
    <x v="2"/>
    <x v="1"/>
    <n v="11"/>
    <x v="4"/>
    <x v="0"/>
  </r>
  <r>
    <n v="858"/>
    <n v="3877631626"/>
    <x v="0"/>
    <x v="2"/>
    <s v="No answer provided"/>
    <s v="Somewhat likely"/>
    <n v="3"/>
    <x v="0"/>
    <n v="2"/>
    <x v="2"/>
    <x v="2"/>
    <n v="6"/>
    <x v="4"/>
    <x v="0"/>
  </r>
  <r>
    <n v="859"/>
    <n v="3877630928"/>
    <x v="0"/>
    <x v="7"/>
    <s v="No answer provided"/>
    <s v="Very likely"/>
    <n v="4"/>
    <x v="1"/>
    <n v="1"/>
    <x v="2"/>
    <x v="1"/>
    <n v="11"/>
    <x v="3"/>
    <x v="0"/>
  </r>
  <r>
    <n v="860"/>
    <n v="3877627989"/>
    <x v="0"/>
    <x v="5"/>
    <s v="No answer provided"/>
    <s v="Very likely"/>
    <n v="4"/>
    <x v="4"/>
    <n v="4"/>
    <x v="0"/>
    <x v="1"/>
    <n v="11"/>
    <x v="7"/>
    <x v="0"/>
  </r>
  <r>
    <n v="861"/>
    <n v="3877627031"/>
    <x v="0"/>
    <x v="4"/>
    <s v="No answer provided"/>
    <s v="Very likely"/>
    <n v="4"/>
    <x v="1"/>
    <n v="1"/>
    <x v="2"/>
    <x v="1"/>
    <n v="11"/>
    <x v="8"/>
    <x v="0"/>
  </r>
  <r>
    <n v="862"/>
    <n v="3877626831"/>
    <x v="0"/>
    <x v="8"/>
    <s v="No answer provided"/>
    <s v="Somewhat unlikely"/>
    <n v="2"/>
    <x v="3"/>
    <n v="3"/>
    <x v="2"/>
    <x v="1"/>
    <n v="11"/>
    <x v="4"/>
    <x v="0"/>
  </r>
  <r>
    <n v="863"/>
    <n v="3877626301"/>
    <x v="1"/>
    <x v="1"/>
    <s v="accuweather"/>
    <s v="Somewhat likely"/>
    <n v="3"/>
    <x v="1"/>
    <n v="1"/>
    <x v="2"/>
    <x v="1"/>
    <n v="11"/>
    <x v="7"/>
    <x v="2"/>
  </r>
  <r>
    <n v="864"/>
    <n v="3877625001"/>
    <x v="0"/>
    <x v="4"/>
    <s v="No answer provided"/>
    <s v="Very likely"/>
    <n v="4"/>
    <x v="0"/>
    <n v="2"/>
    <x v="2"/>
    <x v="8"/>
    <n v="5"/>
    <x v="4"/>
    <x v="0"/>
  </r>
  <r>
    <n v="865"/>
    <n v="3877624927"/>
    <x v="0"/>
    <x v="4"/>
    <s v="No answer provided"/>
    <s v="Somewhat likely"/>
    <n v="3"/>
    <x v="0"/>
    <n v="2"/>
    <x v="2"/>
    <x v="1"/>
    <n v="11"/>
    <x v="4"/>
    <x v="0"/>
  </r>
  <r>
    <n v="866"/>
    <n v="3877623695"/>
    <x v="0"/>
    <x v="0"/>
    <s v="No answer provided"/>
    <s v="Very likely"/>
    <n v="4"/>
    <x v="1"/>
    <n v="1"/>
    <x v="2"/>
    <x v="1"/>
    <n v="11"/>
    <x v="2"/>
    <x v="0"/>
  </r>
  <r>
    <n v="867"/>
    <n v="3877623020"/>
    <x v="1"/>
    <x v="0"/>
    <s v="No answer provided"/>
    <s v="Somewhat likely"/>
    <n v="3"/>
    <x v="0"/>
    <n v="2"/>
    <x v="2"/>
    <x v="0"/>
    <n v="4"/>
    <x v="3"/>
    <x v="0"/>
  </r>
  <r>
    <n v="868"/>
    <n v="3877622336"/>
    <x v="1"/>
    <x v="1"/>
    <s v="my phone has a pre-loaded app"/>
    <s v="Very likely"/>
    <n v="4"/>
    <x v="3"/>
    <n v="3"/>
    <x v="2"/>
    <x v="9"/>
    <n v="10"/>
    <x v="4"/>
    <x v="18"/>
  </r>
  <r>
    <n v="869"/>
    <n v="3877622039"/>
    <x v="0"/>
    <x v="2"/>
    <s v="No answer provided"/>
    <s v="Somewhat likely"/>
    <n v="3"/>
    <x v="1"/>
    <n v="1"/>
    <x v="2"/>
    <x v="1"/>
    <n v="11"/>
    <x v="5"/>
    <x v="0"/>
  </r>
  <r>
    <n v="870"/>
    <n v="3877621290"/>
    <x v="0"/>
    <x v="0"/>
    <s v="No answer provided"/>
    <s v="Very likely"/>
    <n v="4"/>
    <x v="4"/>
    <n v="4"/>
    <x v="2"/>
    <x v="8"/>
    <n v="5"/>
    <x v="5"/>
    <x v="0"/>
  </r>
  <r>
    <n v="871"/>
    <n v="3877620916"/>
    <x v="1"/>
    <x v="1"/>
    <s v="www.weather.gov"/>
    <s v="Somewhat likely"/>
    <n v="3"/>
    <x v="0"/>
    <n v="2"/>
    <x v="2"/>
    <x v="0"/>
    <n v="4"/>
    <x v="6"/>
    <x v="19"/>
  </r>
  <r>
    <n v="872"/>
    <n v="3877620216"/>
    <x v="0"/>
    <x v="4"/>
    <s v="No answer provided"/>
    <s v="Very unlikely"/>
    <n v="1"/>
    <x v="4"/>
    <n v="4"/>
    <x v="2"/>
    <x v="9"/>
    <n v="10"/>
    <x v="7"/>
    <x v="0"/>
  </r>
  <r>
    <n v="873"/>
    <n v="3877619244"/>
    <x v="0"/>
    <x v="5"/>
    <s v="No answer provided"/>
    <s v="Very unlikely"/>
    <n v="1"/>
    <x v="4"/>
    <n v="4"/>
    <x v="2"/>
    <x v="4"/>
    <n v="3"/>
    <x v="2"/>
    <x v="0"/>
  </r>
  <r>
    <n v="874"/>
    <n v="3877618703"/>
    <x v="0"/>
    <x v="0"/>
    <s v="No answer provided"/>
    <s v="Very likely"/>
    <n v="4"/>
    <x v="3"/>
    <n v="3"/>
    <x v="2"/>
    <x v="9"/>
    <n v="10"/>
    <x v="0"/>
    <x v="0"/>
  </r>
  <r>
    <n v="875"/>
    <n v="3877617187"/>
    <x v="0"/>
    <x v="1"/>
    <s v="weather.com"/>
    <s v="Somewhat unlikely"/>
    <n v="2"/>
    <x v="4"/>
    <n v="4"/>
    <x v="2"/>
    <x v="8"/>
    <n v="5"/>
    <x v="8"/>
    <x v="4"/>
  </r>
  <r>
    <n v="876"/>
    <n v="3877617097"/>
    <x v="0"/>
    <x v="5"/>
    <s v="No answer provided"/>
    <s v="Somewhat unlikely"/>
    <n v="2"/>
    <x v="0"/>
    <n v="2"/>
    <x v="2"/>
    <x v="0"/>
    <n v="4"/>
    <x v="7"/>
    <x v="0"/>
  </r>
  <r>
    <n v="877"/>
    <n v="3877615523"/>
    <x v="0"/>
    <x v="0"/>
    <s v="No answer provided"/>
    <s v="Somewhat likely"/>
    <n v="3"/>
    <x v="3"/>
    <n v="3"/>
    <x v="2"/>
    <x v="0"/>
    <n v="4"/>
    <x v="7"/>
    <x v="0"/>
  </r>
  <r>
    <n v="878"/>
    <n v="3877614060"/>
    <x v="0"/>
    <x v="1"/>
    <s v="Weather Underground"/>
    <s v="Very likely"/>
    <n v="4"/>
    <x v="1"/>
    <n v="1"/>
    <x v="2"/>
    <x v="1"/>
    <n v="11"/>
    <x v="2"/>
    <x v="8"/>
  </r>
  <r>
    <n v="879"/>
    <n v="3877613803"/>
    <x v="0"/>
    <x v="2"/>
    <s v="No answer provided"/>
    <s v="Very likely"/>
    <n v="4"/>
    <x v="1"/>
    <n v="1"/>
    <x v="2"/>
    <x v="4"/>
    <n v="3"/>
    <x v="2"/>
    <x v="0"/>
  </r>
  <r>
    <n v="880"/>
    <n v="3877613602"/>
    <x v="1"/>
    <x v="3"/>
    <s v="No answer provided"/>
    <s v="No answer provided"/>
    <s v="na"/>
    <x v="2"/>
    <s v="na"/>
    <x v="1"/>
    <x v="5"/>
    <s v="na"/>
    <x v="1"/>
    <x v="0"/>
  </r>
  <r>
    <n v="881"/>
    <n v="3877612849"/>
    <x v="0"/>
    <x v="4"/>
    <s v="No answer provided"/>
    <s v="Somewhat likely"/>
    <n v="3"/>
    <x v="4"/>
    <n v="4"/>
    <x v="2"/>
    <x v="3"/>
    <n v="8"/>
    <x v="4"/>
    <x v="0"/>
  </r>
  <r>
    <n v="882"/>
    <n v="3877612172"/>
    <x v="0"/>
    <x v="5"/>
    <s v="No answer provided"/>
    <s v="Very unlikely"/>
    <n v="1"/>
    <x v="3"/>
    <n v="3"/>
    <x v="2"/>
    <x v="0"/>
    <n v="4"/>
    <x v="9"/>
    <x v="0"/>
  </r>
  <r>
    <n v="883"/>
    <n v="3877611589"/>
    <x v="0"/>
    <x v="4"/>
    <s v="No answer provided"/>
    <s v="Somewhat likely"/>
    <n v="3"/>
    <x v="4"/>
    <n v="4"/>
    <x v="2"/>
    <x v="1"/>
    <n v="11"/>
    <x v="9"/>
    <x v="0"/>
  </r>
  <r>
    <n v="884"/>
    <n v="3877611244"/>
    <x v="0"/>
    <x v="4"/>
    <s v="No answer provided"/>
    <s v="Somewhat likely"/>
    <n v="3"/>
    <x v="3"/>
    <n v="3"/>
    <x v="0"/>
    <x v="8"/>
    <n v="5"/>
    <x v="9"/>
    <x v="0"/>
  </r>
  <r>
    <n v="885"/>
    <n v="3877608503"/>
    <x v="1"/>
    <x v="5"/>
    <s v="No answer provided"/>
    <s v="Somewhat likely"/>
    <n v="3"/>
    <x v="3"/>
    <n v="3"/>
    <x v="0"/>
    <x v="2"/>
    <n v="6"/>
    <x v="0"/>
    <x v="0"/>
  </r>
  <r>
    <n v="886"/>
    <n v="3877608111"/>
    <x v="0"/>
    <x v="2"/>
    <s v="No answer provided"/>
    <s v="Very likely"/>
    <n v="4"/>
    <x v="3"/>
    <n v="3"/>
    <x v="2"/>
    <x v="8"/>
    <n v="5"/>
    <x v="3"/>
    <x v="0"/>
  </r>
  <r>
    <n v="887"/>
    <n v="3877607322"/>
    <x v="0"/>
    <x v="5"/>
    <s v="No answer provided"/>
    <s v="Very unlikely"/>
    <n v="1"/>
    <x v="3"/>
    <n v="3"/>
    <x v="2"/>
    <x v="11"/>
    <n v="7"/>
    <x v="4"/>
    <x v="0"/>
  </r>
  <r>
    <n v="888"/>
    <n v="3877606832"/>
    <x v="1"/>
    <x v="0"/>
    <s v="No answer provided"/>
    <s v="Very unlikely"/>
    <n v="1"/>
    <x v="1"/>
    <n v="1"/>
    <x v="2"/>
    <x v="6"/>
    <n v="1"/>
    <x v="7"/>
    <x v="0"/>
  </r>
  <r>
    <n v="889"/>
    <n v="3877606205"/>
    <x v="0"/>
    <x v="1"/>
    <s v="The Weather Channel app"/>
    <s v="Very likely"/>
    <n v="4"/>
    <x v="3"/>
    <n v="3"/>
    <x v="0"/>
    <x v="1"/>
    <n v="11"/>
    <x v="0"/>
    <x v="4"/>
  </r>
  <r>
    <n v="890"/>
    <n v="3877606053"/>
    <x v="0"/>
    <x v="6"/>
    <s v="No answer provided"/>
    <s v="Somewhat likely"/>
    <n v="3"/>
    <x v="4"/>
    <n v="4"/>
    <x v="2"/>
    <x v="8"/>
    <n v="5"/>
    <x v="0"/>
    <x v="0"/>
  </r>
  <r>
    <n v="891"/>
    <n v="3877605415"/>
    <x v="0"/>
    <x v="5"/>
    <s v="No answer provided"/>
    <s v="Very unlikely"/>
    <n v="1"/>
    <x v="0"/>
    <n v="2"/>
    <x v="2"/>
    <x v="4"/>
    <n v="3"/>
    <x v="8"/>
    <x v="0"/>
  </r>
  <r>
    <n v="892"/>
    <n v="3877605085"/>
    <x v="0"/>
    <x v="1"/>
    <s v="Weather &amp; Clock widget"/>
    <s v="Very likely"/>
    <n v="4"/>
    <x v="1"/>
    <n v="1"/>
    <x v="2"/>
    <x v="0"/>
    <n v="4"/>
    <x v="0"/>
    <x v="18"/>
  </r>
  <r>
    <n v="893"/>
    <n v="3877604945"/>
    <x v="0"/>
    <x v="5"/>
    <s v="No answer provided"/>
    <s v="Very likely"/>
    <n v="4"/>
    <x v="3"/>
    <n v="3"/>
    <x v="2"/>
    <x v="6"/>
    <n v="1"/>
    <x v="7"/>
    <x v="0"/>
  </r>
  <r>
    <n v="894"/>
    <n v="3877604719"/>
    <x v="0"/>
    <x v="4"/>
    <s v="No answer provided"/>
    <s v="Somewhat likely"/>
    <n v="3"/>
    <x v="3"/>
    <n v="3"/>
    <x v="2"/>
    <x v="1"/>
    <n v="11"/>
    <x v="5"/>
    <x v="0"/>
  </r>
  <r>
    <n v="895"/>
    <n v="3877603245"/>
    <x v="0"/>
    <x v="0"/>
    <s v="No answer provided"/>
    <s v="Very unlikely"/>
    <n v="1"/>
    <x v="0"/>
    <n v="2"/>
    <x v="2"/>
    <x v="8"/>
    <n v="5"/>
    <x v="7"/>
    <x v="0"/>
  </r>
  <r>
    <n v="896"/>
    <n v="3877602149"/>
    <x v="0"/>
    <x v="1"/>
    <s v="Weather.com"/>
    <s v="Very likely"/>
    <n v="4"/>
    <x v="4"/>
    <n v="4"/>
    <x v="0"/>
    <x v="10"/>
    <n v="9"/>
    <x v="6"/>
    <x v="4"/>
  </r>
  <r>
    <n v="897"/>
    <n v="3877602108"/>
    <x v="0"/>
    <x v="2"/>
    <s v="No answer provided"/>
    <s v="Very likely"/>
    <n v="4"/>
    <x v="0"/>
    <n v="2"/>
    <x v="2"/>
    <x v="0"/>
    <n v="4"/>
    <x v="9"/>
    <x v="0"/>
  </r>
  <r>
    <n v="898"/>
    <n v="3877601790"/>
    <x v="0"/>
    <x v="0"/>
    <s v="No answer provided"/>
    <s v="Very likely"/>
    <n v="4"/>
    <x v="0"/>
    <n v="2"/>
    <x v="2"/>
    <x v="8"/>
    <n v="5"/>
    <x v="3"/>
    <x v="0"/>
  </r>
  <r>
    <n v="899"/>
    <n v="3877600406"/>
    <x v="0"/>
    <x v="2"/>
    <s v="No answer provided"/>
    <s v="Somewhat unlikely"/>
    <n v="2"/>
    <x v="1"/>
    <n v="1"/>
    <x v="2"/>
    <x v="4"/>
    <n v="3"/>
    <x v="0"/>
    <x v="0"/>
  </r>
  <r>
    <n v="900"/>
    <n v="3877599363"/>
    <x v="0"/>
    <x v="0"/>
    <s v="No answer provided"/>
    <s v="Very likely"/>
    <n v="4"/>
    <x v="4"/>
    <n v="4"/>
    <x v="0"/>
    <x v="4"/>
    <n v="3"/>
    <x v="6"/>
    <x v="0"/>
  </r>
  <r>
    <n v="901"/>
    <n v="3877599184"/>
    <x v="1"/>
    <x v="4"/>
    <s v="No answer provided"/>
    <s v="Very unlikely"/>
    <n v="1"/>
    <x v="0"/>
    <n v="2"/>
    <x v="2"/>
    <x v="11"/>
    <n v="7"/>
    <x v="0"/>
    <x v="0"/>
  </r>
  <r>
    <n v="902"/>
    <n v="3877598945"/>
    <x v="0"/>
    <x v="2"/>
    <s v="No answer provided"/>
    <s v="Very likely"/>
    <n v="4"/>
    <x v="0"/>
    <n v="2"/>
    <x v="2"/>
    <x v="11"/>
    <n v="7"/>
    <x v="3"/>
    <x v="0"/>
  </r>
  <r>
    <n v="903"/>
    <n v="3877598520"/>
    <x v="0"/>
    <x v="5"/>
    <s v="No answer provided"/>
    <s v="Very unlikely"/>
    <n v="1"/>
    <x v="3"/>
    <n v="3"/>
    <x v="0"/>
    <x v="2"/>
    <n v="6"/>
    <x v="6"/>
    <x v="0"/>
  </r>
  <r>
    <n v="904"/>
    <n v="3877595167"/>
    <x v="0"/>
    <x v="0"/>
    <s v="No answer provided"/>
    <s v="Very likely"/>
    <n v="4"/>
    <x v="4"/>
    <n v="4"/>
    <x v="2"/>
    <x v="8"/>
    <n v="5"/>
    <x v="6"/>
    <x v="0"/>
  </r>
  <r>
    <n v="905"/>
    <n v="3877594682"/>
    <x v="0"/>
    <x v="7"/>
    <s v="No answer provided"/>
    <s v="Somewhat likely"/>
    <n v="3"/>
    <x v="4"/>
    <n v="4"/>
    <x v="0"/>
    <x v="4"/>
    <n v="3"/>
    <x v="6"/>
    <x v="0"/>
  </r>
  <r>
    <n v="906"/>
    <n v="3877592670"/>
    <x v="0"/>
    <x v="5"/>
    <s v="No answer provided"/>
    <s v="Very likely"/>
    <n v="4"/>
    <x v="3"/>
    <n v="3"/>
    <x v="2"/>
    <x v="10"/>
    <n v="9"/>
    <x v="2"/>
    <x v="0"/>
  </r>
  <r>
    <n v="907"/>
    <n v="3877591670"/>
    <x v="0"/>
    <x v="2"/>
    <s v="No answer provided"/>
    <s v="Very likely"/>
    <n v="4"/>
    <x v="3"/>
    <n v="3"/>
    <x v="2"/>
    <x v="0"/>
    <n v="4"/>
    <x v="3"/>
    <x v="0"/>
  </r>
  <r>
    <n v="908"/>
    <n v="3877591495"/>
    <x v="0"/>
    <x v="5"/>
    <s v="No answer provided"/>
    <s v="Very unlikely"/>
    <n v="1"/>
    <x v="0"/>
    <n v="2"/>
    <x v="2"/>
    <x v="8"/>
    <n v="5"/>
    <x v="5"/>
    <x v="0"/>
  </r>
  <r>
    <n v="909"/>
    <n v="3877591297"/>
    <x v="1"/>
    <x v="0"/>
    <s v="No answer provided"/>
    <s v="Somewhat likely"/>
    <n v="3"/>
    <x v="3"/>
    <n v="3"/>
    <x v="2"/>
    <x v="11"/>
    <n v="7"/>
    <x v="4"/>
    <x v="0"/>
  </r>
  <r>
    <n v="910"/>
    <n v="3877586222"/>
    <x v="0"/>
    <x v="1"/>
    <s v="Weather.com"/>
    <s v="Very likely"/>
    <n v="4"/>
    <x v="0"/>
    <n v="2"/>
    <x v="2"/>
    <x v="2"/>
    <n v="6"/>
    <x v="5"/>
    <x v="4"/>
  </r>
  <r>
    <n v="911"/>
    <n v="3877585955"/>
    <x v="0"/>
    <x v="0"/>
    <s v="No answer provided"/>
    <s v="Somewhat likely"/>
    <n v="3"/>
    <x v="0"/>
    <n v="2"/>
    <x v="2"/>
    <x v="1"/>
    <n v="11"/>
    <x v="8"/>
    <x v="0"/>
  </r>
  <r>
    <n v="912"/>
    <n v="3877584768"/>
    <x v="0"/>
    <x v="1"/>
    <s v="yahoo weather app"/>
    <s v="Very likely"/>
    <n v="4"/>
    <x v="3"/>
    <n v="3"/>
    <x v="2"/>
    <x v="8"/>
    <n v="5"/>
    <x v="3"/>
    <x v="6"/>
  </r>
  <r>
    <n v="913"/>
    <n v="3877584496"/>
    <x v="1"/>
    <x v="1"/>
    <s v="Www.weather.com"/>
    <s v="Very unlikely"/>
    <n v="1"/>
    <x v="0"/>
    <n v="2"/>
    <x v="2"/>
    <x v="7"/>
    <n v="2"/>
    <x v="2"/>
    <x v="4"/>
  </r>
  <r>
    <n v="914"/>
    <n v="3877580938"/>
    <x v="0"/>
    <x v="6"/>
    <s v="No answer provided"/>
    <s v="Somewhat likely"/>
    <n v="3"/>
    <x v="3"/>
    <n v="3"/>
    <x v="2"/>
    <x v="4"/>
    <n v="3"/>
    <x v="7"/>
    <x v="0"/>
  </r>
  <r>
    <n v="915"/>
    <n v="3877579781"/>
    <x v="0"/>
    <x v="2"/>
    <s v="No answer provided"/>
    <s v="Very unlikely"/>
    <n v="1"/>
    <x v="0"/>
    <n v="2"/>
    <x v="0"/>
    <x v="4"/>
    <n v="3"/>
    <x v="9"/>
    <x v="0"/>
  </r>
  <r>
    <n v="916"/>
    <n v="3877579062"/>
    <x v="0"/>
    <x v="2"/>
    <s v="No answer provided"/>
    <s v="Very unlikely"/>
    <n v="1"/>
    <x v="3"/>
    <n v="3"/>
    <x v="2"/>
    <x v="8"/>
    <n v="5"/>
    <x v="4"/>
    <x v="0"/>
  </r>
  <r>
    <n v="917"/>
    <n v="3877576778"/>
    <x v="1"/>
    <x v="5"/>
    <s v="No answer provided"/>
    <s v="Very likely"/>
    <n v="4"/>
    <x v="3"/>
    <n v="3"/>
    <x v="2"/>
    <x v="7"/>
    <n v="2"/>
    <x v="6"/>
    <x v="0"/>
  </r>
  <r>
    <n v="918"/>
    <n v="3877573011"/>
    <x v="0"/>
    <x v="5"/>
    <s v="No answer provided"/>
    <s v="Somewhat unlikely"/>
    <n v="2"/>
    <x v="3"/>
    <n v="3"/>
    <x v="2"/>
    <x v="4"/>
    <n v="3"/>
    <x v="9"/>
    <x v="0"/>
  </r>
  <r>
    <n v="919"/>
    <n v="3877572488"/>
    <x v="0"/>
    <x v="1"/>
    <s v="weather app on iphone"/>
    <s v="Very likely"/>
    <n v="4"/>
    <x v="0"/>
    <n v="2"/>
    <x v="2"/>
    <x v="11"/>
    <n v="7"/>
    <x v="0"/>
    <x v="1"/>
  </r>
  <r>
    <n v="920"/>
    <n v="3877572480"/>
    <x v="1"/>
    <x v="0"/>
    <s v="No answer provided"/>
    <s v="Very likely"/>
    <n v="4"/>
    <x v="1"/>
    <n v="1"/>
    <x v="2"/>
    <x v="2"/>
    <n v="6"/>
    <x v="0"/>
    <x v="0"/>
  </r>
  <r>
    <n v="921"/>
    <n v="3877571848"/>
    <x v="1"/>
    <x v="0"/>
    <s v="No answer provided"/>
    <s v="Somewhat likely"/>
    <n v="3"/>
    <x v="3"/>
    <n v="3"/>
    <x v="2"/>
    <x v="2"/>
    <n v="6"/>
    <x v="6"/>
    <x v="0"/>
  </r>
  <r>
    <n v="922"/>
    <n v="3877568315"/>
    <x v="0"/>
    <x v="2"/>
    <s v="No answer provided"/>
    <s v="Very unlikely"/>
    <n v="1"/>
    <x v="0"/>
    <n v="2"/>
    <x v="2"/>
    <x v="4"/>
    <n v="3"/>
    <x v="0"/>
    <x v="0"/>
  </r>
  <r>
    <n v="923"/>
    <n v="3877568116"/>
    <x v="1"/>
    <x v="4"/>
    <s v="No answer provided"/>
    <s v="Very unlikely"/>
    <n v="1"/>
    <x v="4"/>
    <n v="4"/>
    <x v="2"/>
    <x v="2"/>
    <n v="6"/>
    <x v="3"/>
    <x v="0"/>
  </r>
  <r>
    <n v="924"/>
    <n v="3877568054"/>
    <x v="0"/>
    <x v="2"/>
    <s v="No answer provided"/>
    <s v="Very likely"/>
    <n v="4"/>
    <x v="3"/>
    <n v="3"/>
    <x v="2"/>
    <x v="1"/>
    <n v="11"/>
    <x v="4"/>
    <x v="0"/>
  </r>
  <r>
    <n v="925"/>
    <n v="3877568053"/>
    <x v="0"/>
    <x v="0"/>
    <s v="No answer provided"/>
    <s v="Very likely"/>
    <n v="4"/>
    <x v="0"/>
    <n v="2"/>
    <x v="2"/>
    <x v="1"/>
    <n v="11"/>
    <x v="0"/>
    <x v="0"/>
  </r>
  <r>
    <n v="926"/>
    <n v="3877566926"/>
    <x v="0"/>
    <x v="5"/>
    <s v="No answer provided"/>
    <s v="Somewhat likely"/>
    <n v="3"/>
    <x v="4"/>
    <n v="4"/>
    <x v="2"/>
    <x v="1"/>
    <n v="11"/>
    <x v="4"/>
    <x v="0"/>
  </r>
  <r>
    <n v="927"/>
    <n v="3877551536"/>
    <x v="1"/>
    <x v="3"/>
    <s v="No answer provided"/>
    <s v="No answer provided"/>
    <s v="na"/>
    <x v="2"/>
    <s v="na"/>
    <x v="1"/>
    <x v="5"/>
    <s v="na"/>
    <x v="1"/>
    <x v="0"/>
  </r>
  <r>
    <n v="928"/>
    <n v="3877548893"/>
    <x v="0"/>
    <x v="3"/>
    <s v="No answer provided"/>
    <s v="No answer provided"/>
    <s v="na"/>
    <x v="2"/>
    <s v="na"/>
    <x v="1"/>
    <x v="5"/>
    <s v="na"/>
    <x v="1"/>
    <x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99">
  <r>
    <x v="0"/>
    <x v="0"/>
    <x v="0"/>
    <x v="0"/>
    <n v="1"/>
  </r>
  <r>
    <x v="1"/>
    <x v="1"/>
    <x v="1"/>
    <x v="1"/>
    <n v="1"/>
  </r>
  <r>
    <x v="2"/>
    <x v="1"/>
    <x v="1"/>
    <x v="1"/>
    <n v="1"/>
  </r>
  <r>
    <x v="3"/>
    <x v="2"/>
    <x v="0"/>
    <x v="0"/>
    <n v="17"/>
  </r>
  <r>
    <x v="4"/>
    <x v="2"/>
    <x v="1"/>
    <x v="0"/>
    <n v="1"/>
  </r>
  <r>
    <x v="5"/>
    <x v="2"/>
    <x v="0"/>
    <x v="0"/>
    <n v="1"/>
  </r>
  <r>
    <x v="6"/>
    <x v="3"/>
    <x v="0"/>
    <x v="0"/>
    <n v="1"/>
  </r>
  <r>
    <x v="7"/>
    <x v="4"/>
    <x v="1"/>
    <x v="2"/>
    <n v="1"/>
  </r>
  <r>
    <x v="8"/>
    <x v="4"/>
    <x v="1"/>
    <x v="2"/>
    <n v="1"/>
  </r>
  <r>
    <x v="9"/>
    <x v="4"/>
    <x v="1"/>
    <x v="2"/>
    <n v="1"/>
  </r>
  <r>
    <x v="10"/>
    <x v="4"/>
    <x v="1"/>
    <x v="2"/>
    <n v="1"/>
  </r>
  <r>
    <x v="11"/>
    <x v="4"/>
    <x v="1"/>
    <x v="2"/>
    <n v="1"/>
  </r>
  <r>
    <x v="12"/>
    <x v="3"/>
    <x v="2"/>
    <x v="0"/>
    <n v="1"/>
  </r>
  <r>
    <x v="13"/>
    <x v="3"/>
    <x v="1"/>
    <x v="1"/>
    <n v="1"/>
  </r>
  <r>
    <x v="14"/>
    <x v="5"/>
    <x v="1"/>
    <x v="0"/>
    <n v="1"/>
  </r>
  <r>
    <x v="15"/>
    <x v="4"/>
    <x v="1"/>
    <x v="2"/>
    <n v="1"/>
  </r>
  <r>
    <x v="16"/>
    <x v="6"/>
    <x v="1"/>
    <x v="0"/>
    <n v="1"/>
  </r>
  <r>
    <x v="17"/>
    <x v="6"/>
    <x v="1"/>
    <x v="0"/>
    <n v="1"/>
  </r>
  <r>
    <x v="18"/>
    <x v="6"/>
    <x v="1"/>
    <x v="0"/>
    <n v="1"/>
  </r>
  <r>
    <x v="19"/>
    <x v="6"/>
    <x v="0"/>
    <x v="0"/>
    <n v="1"/>
  </r>
  <r>
    <x v="20"/>
    <x v="3"/>
    <x v="2"/>
    <x v="0"/>
    <n v="1"/>
  </r>
  <r>
    <x v="21"/>
    <x v="3"/>
    <x v="1"/>
    <x v="1"/>
    <n v="1"/>
  </r>
  <r>
    <x v="22"/>
    <x v="3"/>
    <x v="1"/>
    <x v="1"/>
    <n v="1"/>
  </r>
  <r>
    <x v="23"/>
    <x v="5"/>
    <x v="3"/>
    <x v="0"/>
    <n v="1"/>
  </r>
  <r>
    <x v="24"/>
    <x v="7"/>
    <x v="0"/>
    <x v="0"/>
    <n v="3"/>
  </r>
  <r>
    <x v="25"/>
    <x v="7"/>
    <x v="0"/>
    <x v="0"/>
    <n v="1"/>
  </r>
  <r>
    <x v="26"/>
    <x v="7"/>
    <x v="0"/>
    <x v="0"/>
    <n v="1"/>
  </r>
  <r>
    <x v="27"/>
    <x v="6"/>
    <x v="0"/>
    <x v="0"/>
    <n v="1"/>
  </r>
  <r>
    <x v="28"/>
    <x v="6"/>
    <x v="1"/>
    <x v="2"/>
    <n v="2"/>
  </r>
  <r>
    <x v="29"/>
    <x v="4"/>
    <x v="1"/>
    <x v="2"/>
    <n v="2"/>
  </r>
  <r>
    <x v="30"/>
    <x v="4"/>
    <x v="1"/>
    <x v="2"/>
    <n v="3"/>
  </r>
  <r>
    <x v="31"/>
    <x v="4"/>
    <x v="1"/>
    <x v="2"/>
    <n v="1"/>
  </r>
  <r>
    <x v="32"/>
    <x v="8"/>
    <x v="0"/>
    <x v="0"/>
    <n v="1"/>
  </r>
  <r>
    <x v="33"/>
    <x v="8"/>
    <x v="0"/>
    <x v="0"/>
    <n v="1"/>
  </r>
  <r>
    <x v="34"/>
    <x v="5"/>
    <x v="3"/>
    <x v="0"/>
    <n v="1"/>
  </r>
  <r>
    <x v="35"/>
    <x v="2"/>
    <x v="0"/>
    <x v="0"/>
    <n v="1"/>
  </r>
  <r>
    <x v="36"/>
    <x v="5"/>
    <x v="3"/>
    <x v="0"/>
    <n v="1"/>
  </r>
  <r>
    <x v="37"/>
    <x v="6"/>
    <x v="1"/>
    <x v="0"/>
    <n v="1"/>
  </r>
  <r>
    <x v="38"/>
    <x v="6"/>
    <x v="1"/>
    <x v="0"/>
    <n v="1"/>
  </r>
  <r>
    <x v="39"/>
    <x v="9"/>
    <x v="0"/>
    <x v="0"/>
    <n v="1"/>
  </r>
  <r>
    <x v="40"/>
    <x v="9"/>
    <x v="0"/>
    <x v="0"/>
    <n v="2"/>
  </r>
  <r>
    <x v="41"/>
    <x v="6"/>
    <x v="1"/>
    <x v="1"/>
    <n v="1"/>
  </r>
  <r>
    <x v="42"/>
    <x v="10"/>
    <x v="0"/>
    <x v="0"/>
    <n v="1"/>
  </r>
  <r>
    <x v="43"/>
    <x v="10"/>
    <x v="1"/>
    <x v="0"/>
    <n v="1"/>
  </r>
  <r>
    <x v="44"/>
    <x v="10"/>
    <x v="0"/>
    <x v="0"/>
    <n v="1"/>
  </r>
  <r>
    <x v="45"/>
    <x v="8"/>
    <x v="1"/>
    <x v="0"/>
    <n v="1"/>
  </r>
  <r>
    <x v="46"/>
    <x v="6"/>
    <x v="1"/>
    <x v="0"/>
    <n v="1"/>
  </r>
  <r>
    <x v="47"/>
    <x v="6"/>
    <x v="1"/>
    <x v="0"/>
    <n v="1"/>
  </r>
  <r>
    <x v="48"/>
    <x v="8"/>
    <x v="0"/>
    <x v="0"/>
    <n v="1"/>
  </r>
  <r>
    <x v="49"/>
    <x v="5"/>
    <x v="3"/>
    <x v="0"/>
    <n v="1"/>
  </r>
  <r>
    <x v="50"/>
    <x v="4"/>
    <x v="1"/>
    <x v="2"/>
    <n v="1"/>
  </r>
  <r>
    <x v="51"/>
    <x v="4"/>
    <x v="1"/>
    <x v="2"/>
    <n v="1"/>
  </r>
  <r>
    <x v="52"/>
    <x v="11"/>
    <x v="0"/>
    <x v="0"/>
    <n v="4"/>
  </r>
  <r>
    <x v="53"/>
    <x v="11"/>
    <x v="0"/>
    <x v="0"/>
    <n v="1"/>
  </r>
  <r>
    <x v="54"/>
    <x v="11"/>
    <x v="1"/>
    <x v="0"/>
    <n v="7"/>
  </r>
  <r>
    <x v="55"/>
    <x v="11"/>
    <x v="1"/>
    <x v="0"/>
    <n v="2"/>
  </r>
  <r>
    <x v="56"/>
    <x v="11"/>
    <x v="1"/>
    <x v="0"/>
    <n v="1"/>
  </r>
  <r>
    <x v="57"/>
    <x v="11"/>
    <x v="1"/>
    <x v="2"/>
    <n v="1"/>
  </r>
  <r>
    <x v="58"/>
    <x v="4"/>
    <x v="1"/>
    <x v="2"/>
    <n v="1"/>
  </r>
  <r>
    <x v="59"/>
    <x v="4"/>
    <x v="1"/>
    <x v="2"/>
    <n v="1"/>
  </r>
  <r>
    <x v="60"/>
    <x v="6"/>
    <x v="1"/>
    <x v="0"/>
    <n v="1"/>
  </r>
  <r>
    <x v="61"/>
    <x v="6"/>
    <x v="1"/>
    <x v="0"/>
    <n v="2"/>
  </r>
  <r>
    <x v="62"/>
    <x v="4"/>
    <x v="1"/>
    <x v="2"/>
    <n v="1"/>
  </r>
  <r>
    <x v="63"/>
    <x v="12"/>
    <x v="0"/>
    <x v="0"/>
    <n v="8"/>
  </r>
  <r>
    <x v="64"/>
    <x v="12"/>
    <x v="1"/>
    <x v="0"/>
    <n v="2"/>
  </r>
  <r>
    <x v="65"/>
    <x v="11"/>
    <x v="0"/>
    <x v="0"/>
    <n v="4"/>
  </r>
  <r>
    <x v="66"/>
    <x v="11"/>
    <x v="1"/>
    <x v="0"/>
    <n v="5"/>
  </r>
  <r>
    <x v="67"/>
    <x v="11"/>
    <x v="1"/>
    <x v="1"/>
    <n v="1"/>
  </r>
  <r>
    <x v="68"/>
    <x v="11"/>
    <x v="1"/>
    <x v="2"/>
    <n v="1"/>
  </r>
  <r>
    <x v="69"/>
    <x v="11"/>
    <x v="1"/>
    <x v="2"/>
    <n v="1"/>
  </r>
  <r>
    <x v="70"/>
    <x v="11"/>
    <x v="1"/>
    <x v="0"/>
    <n v="1"/>
  </r>
  <r>
    <x v="71"/>
    <x v="11"/>
    <x v="0"/>
    <x v="0"/>
    <n v="1"/>
  </r>
  <r>
    <x v="72"/>
    <x v="6"/>
    <x v="1"/>
    <x v="1"/>
    <n v="1"/>
  </r>
  <r>
    <x v="73"/>
    <x v="6"/>
    <x v="1"/>
    <x v="1"/>
    <n v="1"/>
  </r>
  <r>
    <x v="74"/>
    <x v="13"/>
    <x v="0"/>
    <x v="0"/>
    <n v="1"/>
  </r>
  <r>
    <x v="75"/>
    <x v="6"/>
    <x v="1"/>
    <x v="1"/>
    <n v="1"/>
  </r>
  <r>
    <x v="76"/>
    <x v="0"/>
    <x v="0"/>
    <x v="0"/>
    <n v="6"/>
  </r>
  <r>
    <x v="77"/>
    <x v="0"/>
    <x v="1"/>
    <x v="0"/>
    <n v="1"/>
  </r>
  <r>
    <x v="78"/>
    <x v="0"/>
    <x v="0"/>
    <x v="0"/>
    <n v="1"/>
  </r>
  <r>
    <x v="79"/>
    <x v="11"/>
    <x v="0"/>
    <x v="0"/>
    <n v="13"/>
  </r>
  <r>
    <x v="80"/>
    <x v="9"/>
    <x v="0"/>
    <x v="0"/>
    <n v="1"/>
  </r>
  <r>
    <x v="81"/>
    <x v="12"/>
    <x v="0"/>
    <x v="0"/>
    <n v="10"/>
  </r>
  <r>
    <x v="82"/>
    <x v="12"/>
    <x v="1"/>
    <x v="0"/>
    <n v="1"/>
  </r>
  <r>
    <x v="83"/>
    <x v="12"/>
    <x v="1"/>
    <x v="0"/>
    <n v="1"/>
  </r>
  <r>
    <x v="84"/>
    <x v="12"/>
    <x v="0"/>
    <x v="0"/>
    <n v="1"/>
  </r>
  <r>
    <x v="85"/>
    <x v="12"/>
    <x v="0"/>
    <x v="0"/>
    <n v="1"/>
  </r>
  <r>
    <x v="86"/>
    <x v="13"/>
    <x v="0"/>
    <x v="0"/>
    <n v="1"/>
  </r>
  <r>
    <x v="87"/>
    <x v="0"/>
    <x v="0"/>
    <x v="0"/>
    <n v="1"/>
  </r>
  <r>
    <x v="88"/>
    <x v="0"/>
    <x v="0"/>
    <x v="0"/>
    <n v="1"/>
  </r>
  <r>
    <x v="89"/>
    <x v="0"/>
    <x v="0"/>
    <x v="0"/>
    <n v="1"/>
  </r>
  <r>
    <x v="90"/>
    <x v="11"/>
    <x v="0"/>
    <x v="0"/>
    <n v="1"/>
  </r>
  <r>
    <x v="91"/>
    <x v="9"/>
    <x v="0"/>
    <x v="0"/>
    <n v="1"/>
  </r>
  <r>
    <x v="92"/>
    <x v="0"/>
    <x v="0"/>
    <x v="0"/>
    <n v="1"/>
  </r>
  <r>
    <x v="93"/>
    <x v="4"/>
    <x v="0"/>
    <x v="0"/>
    <n v="1"/>
  </r>
  <r>
    <x v="94"/>
    <x v="4"/>
    <x v="0"/>
    <x v="0"/>
    <n v="2"/>
  </r>
  <r>
    <x v="95"/>
    <x v="4"/>
    <x v="1"/>
    <x v="0"/>
    <n v="1"/>
  </r>
  <r>
    <x v="96"/>
    <x v="4"/>
    <x v="1"/>
    <x v="2"/>
    <n v="1"/>
  </r>
  <r>
    <x v="97"/>
    <x v="6"/>
    <x v="1"/>
    <x v="1"/>
    <n v="1"/>
  </r>
  <r>
    <x v="98"/>
    <x v="13"/>
    <x v="0"/>
    <x v="0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PivotTable9" cacheId="13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N4:S8" firstHeaderRow="1" firstDataRow="2" firstDataCol="1"/>
  <pivotFields count="13">
    <pivotField showAll="0"/>
    <pivotField showAll="0"/>
    <pivotField axis="axisRow" dataField="1" showAll="0" sortType="descending">
      <items count="3">
        <item x="0"/>
        <item x="1"/>
        <item t="default"/>
      </items>
    </pivotField>
    <pivotField showAll="0"/>
    <pivotField showAll="0"/>
    <pivotField showAll="0"/>
    <pivotField showAll="0"/>
    <pivotField axis="axisCol" showAll="0">
      <items count="6">
        <item x="1"/>
        <item x="0"/>
        <item x="3"/>
        <item x="4"/>
        <item h="1" x="2"/>
        <item t="default"/>
      </items>
    </pivotField>
    <pivotField showAll="0"/>
    <pivotField showAll="0"/>
    <pivotField showAll="0"/>
    <pivotField showAll="0"/>
    <pivotField showAll="0" sortType="ascending">
      <items count="11">
        <item x="6"/>
        <item x="9"/>
        <item x="2"/>
        <item x="7"/>
        <item x="8"/>
        <item h="1" x="1"/>
        <item x="4"/>
        <item x="0"/>
        <item x="5"/>
        <item x="3"/>
        <item t="default"/>
      </items>
    </pivotField>
  </pivotFields>
  <rowFields count="1">
    <field x="2"/>
  </rowFields>
  <rowItems count="3">
    <i>
      <x/>
    </i>
    <i>
      <x v="1"/>
    </i>
    <i t="grand">
      <x/>
    </i>
  </rowItems>
  <colFields count="1">
    <field x="7"/>
  </colFields>
  <colItems count="5">
    <i>
      <x/>
    </i>
    <i>
      <x v="1"/>
    </i>
    <i>
      <x v="2"/>
    </i>
    <i>
      <x v="3"/>
    </i>
    <i t="grand">
      <x/>
    </i>
  </colItems>
  <dataFields count="1">
    <dataField name="Count of Q1: Do you typically check a daily weather report?" fld="2" subtotal="count" showDataAs="percentOfCol" baseField="0" baseItem="0" numFmtId="9"/>
  </dataFields>
  <conditionalFormats count="1">
    <conditionalFormat priority="1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" count="1">
              <x v="0"/>
            </reference>
          </references>
        </pivotArea>
      </pivotAreas>
    </conditionalFormat>
  </conditionalFormat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5" cacheId="43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78:G101" firstHeaderRow="1" firstDataRow="3" firstDataCol="1"/>
  <pivotFields count="14">
    <pivotField dataField="1" showAll="0"/>
    <pivotField dataField="1" showAll="0"/>
    <pivotField axis="axisCol" showAll="0" sortType="descending">
      <items count="3">
        <item x="0"/>
        <item x="1"/>
        <item t="default"/>
      </items>
    </pivotField>
    <pivotField axis="axisRow" showAll="0">
      <items count="10">
        <item x="1"/>
        <item x="4"/>
        <item x="5"/>
        <item x="8"/>
        <item x="6"/>
        <item x="3"/>
        <item x="7"/>
        <item x="0"/>
        <item x="2"/>
        <item t="default"/>
      </items>
    </pivotField>
    <pivotField showAll="0"/>
    <pivotField showAll="0"/>
    <pivotField showAll="0"/>
    <pivotField showAll="0">
      <items count="6">
        <item x="1"/>
        <item x="0"/>
        <item x="3"/>
        <item x="4"/>
        <item x="2"/>
        <item t="default"/>
      </items>
    </pivotField>
    <pivotField showAll="0"/>
    <pivotField showAll="0">
      <items count="4">
        <item x="2"/>
        <item x="0"/>
        <item x="1"/>
        <item t="default"/>
      </items>
    </pivotField>
    <pivotField showAll="0">
      <items count="13">
        <item x="6"/>
        <item x="7"/>
        <item x="2"/>
        <item x="11"/>
        <item x="3"/>
        <item x="10"/>
        <item x="9"/>
        <item x="4"/>
        <item x="0"/>
        <item x="8"/>
        <item x="5"/>
        <item x="1"/>
        <item t="default"/>
      </items>
    </pivotField>
    <pivotField showAll="0"/>
    <pivotField showAll="0" sortType="ascending">
      <items count="11">
        <item x="6"/>
        <item x="9"/>
        <item x="2"/>
        <item x="7"/>
        <item x="8"/>
        <item x="1"/>
        <item x="4"/>
        <item x="0"/>
        <item x="5"/>
        <item x="3"/>
        <item t="default"/>
      </items>
    </pivotField>
    <pivotField axis="axisRow" showAll="0" defaultSubtotal="0">
      <items count="21">
        <item x="2"/>
        <item x="3"/>
        <item x="1"/>
        <item x="7"/>
        <item x="11"/>
        <item x="16"/>
        <item x="19"/>
        <item h="1" x="0"/>
        <item x="12"/>
        <item x="13"/>
        <item x="17"/>
        <item x="18"/>
        <item x="10"/>
        <item x="9"/>
        <item x="14"/>
        <item x="15"/>
        <item x="4"/>
        <item x="8"/>
        <item x="5"/>
        <item x="6"/>
        <item m="1" x="20"/>
      </items>
    </pivotField>
  </pivotFields>
  <rowFields count="2">
    <field x="3"/>
    <field x="13"/>
  </rowFields>
  <rowItems count="21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t="grand">
      <x/>
    </i>
  </rowItems>
  <colFields count="2">
    <field x="2"/>
    <field x="-2"/>
  </colFields>
  <colItems count="6">
    <i>
      <x/>
      <x/>
    </i>
    <i r="1" i="1">
      <x v="1"/>
    </i>
    <i>
      <x v="1"/>
      <x/>
    </i>
    <i r="1" i="1">
      <x v="1"/>
    </i>
    <i t="grand">
      <x/>
    </i>
    <i t="grand" i="1">
      <x/>
    </i>
  </colItems>
  <dataFields count="2">
    <dataField name="Count of Record ID" fld="0" subtotal="count" baseField="0" baseItem="0"/>
    <dataField name="Count of RespondentID" fld="1" subtotal="count" showDataAs="percentOfCol" baseField="0" baseItem="0" numFmtId="9"/>
  </dataFields>
  <conditionalFormats count="1">
    <conditionalFormat priority="2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3" count="9">
              <x v="0"/>
              <x v="1"/>
              <x v="2"/>
              <x v="3"/>
              <x v="4"/>
              <x v="5"/>
              <x v="6"/>
              <x v="7"/>
              <x v="8"/>
            </reference>
          </references>
        </pivotArea>
      </pivotAreas>
    </conditionalFormat>
  </conditionalFormat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13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45:L56" firstHeaderRow="1" firstDataRow="3" firstDataCol="1" rowPageCount="3" colPageCount="1"/>
  <pivotFields count="13">
    <pivotField showAll="0"/>
    <pivotField dataField="1" showAll="0">
      <items count="929">
        <item x="927"/>
        <item x="926"/>
        <item x="925"/>
        <item x="924"/>
        <item x="923"/>
        <item x="922"/>
        <item x="921"/>
        <item x="920"/>
        <item x="919"/>
        <item x="918"/>
        <item x="917"/>
        <item x="916"/>
        <item x="915"/>
        <item x="914"/>
        <item x="913"/>
        <item x="912"/>
        <item x="911"/>
        <item x="910"/>
        <item x="909"/>
        <item x="908"/>
        <item x="907"/>
        <item x="906"/>
        <item x="905"/>
        <item x="904"/>
        <item x="903"/>
        <item x="902"/>
        <item x="901"/>
        <item x="900"/>
        <item x="899"/>
        <item x="898"/>
        <item x="897"/>
        <item x="896"/>
        <item x="895"/>
        <item x="894"/>
        <item x="893"/>
        <item x="892"/>
        <item x="891"/>
        <item x="890"/>
        <item x="889"/>
        <item x="888"/>
        <item x="887"/>
        <item x="886"/>
        <item x="885"/>
        <item x="884"/>
        <item x="883"/>
        <item x="882"/>
        <item x="881"/>
        <item x="880"/>
        <item x="879"/>
        <item x="878"/>
        <item x="877"/>
        <item x="876"/>
        <item x="875"/>
        <item x="874"/>
        <item x="873"/>
        <item x="872"/>
        <item x="871"/>
        <item x="870"/>
        <item x="869"/>
        <item x="868"/>
        <item x="867"/>
        <item x="866"/>
        <item x="865"/>
        <item x="864"/>
        <item x="863"/>
        <item x="862"/>
        <item x="861"/>
        <item x="860"/>
        <item x="859"/>
        <item x="858"/>
        <item x="857"/>
        <item x="856"/>
        <item x="855"/>
        <item x="854"/>
        <item x="853"/>
        <item x="852"/>
        <item x="851"/>
        <item x="850"/>
        <item x="849"/>
        <item x="848"/>
        <item x="847"/>
        <item x="846"/>
        <item x="845"/>
        <item x="844"/>
        <item x="843"/>
        <item x="842"/>
        <item x="841"/>
        <item x="840"/>
        <item x="839"/>
        <item x="838"/>
        <item x="837"/>
        <item x="836"/>
        <item x="835"/>
        <item x="834"/>
        <item x="833"/>
        <item x="832"/>
        <item x="831"/>
        <item x="830"/>
        <item x="829"/>
        <item x="828"/>
        <item x="827"/>
        <item x="826"/>
        <item x="825"/>
        <item x="824"/>
        <item x="823"/>
        <item x="822"/>
        <item x="821"/>
        <item x="820"/>
        <item x="819"/>
        <item x="818"/>
        <item x="817"/>
        <item x="816"/>
        <item x="815"/>
        <item x="814"/>
        <item x="813"/>
        <item x="812"/>
        <item x="811"/>
        <item x="810"/>
        <item x="809"/>
        <item x="808"/>
        <item x="807"/>
        <item x="806"/>
        <item x="805"/>
        <item x="804"/>
        <item x="803"/>
        <item x="802"/>
        <item x="801"/>
        <item x="800"/>
        <item x="799"/>
        <item x="798"/>
        <item x="797"/>
        <item x="796"/>
        <item x="795"/>
        <item x="794"/>
        <item x="793"/>
        <item x="792"/>
        <item x="791"/>
        <item x="790"/>
        <item x="789"/>
        <item x="788"/>
        <item x="787"/>
        <item x="786"/>
        <item x="785"/>
        <item x="784"/>
        <item x="783"/>
        <item x="782"/>
        <item x="781"/>
        <item x="780"/>
        <item x="779"/>
        <item x="778"/>
        <item x="777"/>
        <item x="776"/>
        <item x="775"/>
        <item x="774"/>
        <item x="773"/>
        <item x="772"/>
        <item x="771"/>
        <item x="770"/>
        <item x="769"/>
        <item x="768"/>
        <item x="767"/>
        <item x="766"/>
        <item x="765"/>
        <item x="764"/>
        <item x="763"/>
        <item x="762"/>
        <item x="761"/>
        <item x="760"/>
        <item x="759"/>
        <item x="758"/>
        <item x="757"/>
        <item x="756"/>
        <item x="755"/>
        <item x="754"/>
        <item x="753"/>
        <item x="752"/>
        <item x="751"/>
        <item x="750"/>
        <item x="749"/>
        <item x="748"/>
        <item x="747"/>
        <item x="746"/>
        <item x="745"/>
        <item x="744"/>
        <item x="743"/>
        <item x="742"/>
        <item x="741"/>
        <item x="740"/>
        <item x="739"/>
        <item x="738"/>
        <item x="737"/>
        <item x="736"/>
        <item x="735"/>
        <item x="734"/>
        <item x="733"/>
        <item x="732"/>
        <item x="731"/>
        <item x="730"/>
        <item x="729"/>
        <item x="728"/>
        <item x="727"/>
        <item x="726"/>
        <item x="725"/>
        <item x="724"/>
        <item x="723"/>
        <item x="722"/>
        <item x="721"/>
        <item x="720"/>
        <item x="719"/>
        <item x="718"/>
        <item x="717"/>
        <item x="716"/>
        <item x="715"/>
        <item x="714"/>
        <item x="713"/>
        <item x="712"/>
        <item x="711"/>
        <item x="710"/>
        <item x="709"/>
        <item x="708"/>
        <item x="707"/>
        <item x="706"/>
        <item x="705"/>
        <item x="704"/>
        <item x="703"/>
        <item x="702"/>
        <item x="701"/>
        <item x="700"/>
        <item x="699"/>
        <item x="698"/>
        <item x="697"/>
        <item x="696"/>
        <item x="695"/>
        <item x="694"/>
        <item x="693"/>
        <item x="692"/>
        <item x="691"/>
        <item x="690"/>
        <item x="689"/>
        <item x="688"/>
        <item x="687"/>
        <item x="686"/>
        <item x="685"/>
        <item x="684"/>
        <item x="683"/>
        <item x="682"/>
        <item x="681"/>
        <item x="680"/>
        <item x="679"/>
        <item x="678"/>
        <item x="677"/>
        <item x="676"/>
        <item x="675"/>
        <item x="674"/>
        <item x="673"/>
        <item x="672"/>
        <item x="671"/>
        <item x="670"/>
        <item x="669"/>
        <item x="668"/>
        <item x="667"/>
        <item x="666"/>
        <item x="665"/>
        <item x="664"/>
        <item x="663"/>
        <item x="662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4"/>
        <item x="633"/>
        <item x="632"/>
        <item x="631"/>
        <item x="630"/>
        <item x="629"/>
        <item x="628"/>
        <item x="627"/>
        <item x="626"/>
        <item x="625"/>
        <item x="624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7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587"/>
        <item x="586"/>
        <item x="585"/>
        <item x="584"/>
        <item x="583"/>
        <item x="582"/>
        <item x="581"/>
        <item x="580"/>
        <item x="579"/>
        <item x="578"/>
        <item x="577"/>
        <item x="576"/>
        <item x="575"/>
        <item x="574"/>
        <item x="573"/>
        <item x="572"/>
        <item x="571"/>
        <item x="570"/>
        <item x="569"/>
        <item x="568"/>
        <item x="567"/>
        <item x="566"/>
        <item x="565"/>
        <item x="564"/>
        <item x="563"/>
        <item x="562"/>
        <item x="561"/>
        <item x="560"/>
        <item x="559"/>
        <item x="558"/>
        <item x="557"/>
        <item x="556"/>
        <item x="555"/>
        <item x="554"/>
        <item x="553"/>
        <item x="552"/>
        <item x="551"/>
        <item x="550"/>
        <item x="549"/>
        <item x="548"/>
        <item x="547"/>
        <item x="546"/>
        <item x="545"/>
        <item x="54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30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10"/>
        <item x="509"/>
        <item x="508"/>
        <item x="507"/>
        <item x="506"/>
        <item x="505"/>
        <item x="504"/>
        <item x="503"/>
        <item x="502"/>
        <item x="501"/>
        <item x="500"/>
        <item x="499"/>
        <item x="498"/>
        <item x="497"/>
        <item x="496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5"/>
        <item x="474"/>
        <item x="473"/>
        <item x="472"/>
        <item x="471"/>
        <item x="470"/>
        <item x="469"/>
        <item x="468"/>
        <item x="467"/>
        <item x="466"/>
        <item x="465"/>
        <item x="464"/>
        <item x="463"/>
        <item x="462"/>
        <item x="461"/>
        <item x="460"/>
        <item x="459"/>
        <item x="458"/>
        <item x="457"/>
        <item x="456"/>
        <item x="455"/>
        <item x="454"/>
        <item x="453"/>
        <item x="452"/>
        <item x="451"/>
        <item x="450"/>
        <item x="449"/>
        <item x="448"/>
        <item x="447"/>
        <item x="446"/>
        <item x="445"/>
        <item x="444"/>
        <item x="443"/>
        <item x="442"/>
        <item x="441"/>
        <item x="440"/>
        <item x="439"/>
        <item x="438"/>
        <item x="437"/>
        <item x="436"/>
        <item x="435"/>
        <item x="434"/>
        <item x="433"/>
        <item x="432"/>
        <item x="431"/>
        <item x="430"/>
        <item x="429"/>
        <item x="428"/>
        <item x="427"/>
        <item x="426"/>
        <item x="425"/>
        <item x="424"/>
        <item x="423"/>
        <item x="422"/>
        <item x="421"/>
        <item x="420"/>
        <item x="419"/>
        <item x="418"/>
        <item x="417"/>
        <item x="416"/>
        <item x="415"/>
        <item x="414"/>
        <item x="413"/>
        <item x="412"/>
        <item x="411"/>
        <item x="410"/>
        <item x="409"/>
        <item x="408"/>
        <item x="407"/>
        <item x="406"/>
        <item x="405"/>
        <item x="404"/>
        <item x="403"/>
        <item x="402"/>
        <item x="401"/>
        <item x="400"/>
        <item x="399"/>
        <item x="398"/>
        <item x="397"/>
        <item x="396"/>
        <item x="395"/>
        <item x="394"/>
        <item x="393"/>
        <item x="392"/>
        <item x="391"/>
        <item x="390"/>
        <item x="389"/>
        <item x="388"/>
        <item x="387"/>
        <item x="386"/>
        <item x="385"/>
        <item x="384"/>
        <item x="383"/>
        <item x="382"/>
        <item x="381"/>
        <item x="380"/>
        <item x="379"/>
        <item x="378"/>
        <item x="377"/>
        <item x="376"/>
        <item x="375"/>
        <item x="374"/>
        <item x="373"/>
        <item x="372"/>
        <item x="371"/>
        <item x="370"/>
        <item x="369"/>
        <item x="368"/>
        <item x="367"/>
        <item x="366"/>
        <item x="365"/>
        <item x="364"/>
        <item x="363"/>
        <item x="362"/>
        <item x="361"/>
        <item x="360"/>
        <item x="359"/>
        <item x="358"/>
        <item x="357"/>
        <item x="356"/>
        <item x="355"/>
        <item x="354"/>
        <item x="353"/>
        <item x="352"/>
        <item x="351"/>
        <item x="350"/>
        <item x="349"/>
        <item x="348"/>
        <item x="347"/>
        <item x="346"/>
        <item x="345"/>
        <item x="344"/>
        <item x="343"/>
        <item x="342"/>
        <item x="341"/>
        <item x="340"/>
        <item x="339"/>
        <item x="338"/>
        <item x="337"/>
        <item x="336"/>
        <item x="335"/>
        <item x="334"/>
        <item x="333"/>
        <item x="332"/>
        <item x="331"/>
        <item x="330"/>
        <item x="329"/>
        <item x="328"/>
        <item x="327"/>
        <item x="326"/>
        <item x="325"/>
        <item x="324"/>
        <item x="323"/>
        <item x="322"/>
        <item x="321"/>
        <item x="320"/>
        <item x="319"/>
        <item x="318"/>
        <item x="317"/>
        <item x="316"/>
        <item x="315"/>
        <item x="314"/>
        <item x="313"/>
        <item x="312"/>
        <item x="311"/>
        <item x="310"/>
        <item x="309"/>
        <item x="308"/>
        <item x="307"/>
        <item x="306"/>
        <item x="305"/>
        <item x="304"/>
        <item x="303"/>
        <item x="302"/>
        <item x="301"/>
        <item x="300"/>
        <item x="299"/>
        <item x="298"/>
        <item x="297"/>
        <item x="296"/>
        <item x="295"/>
        <item x="294"/>
        <item x="293"/>
        <item x="292"/>
        <item x="291"/>
        <item x="290"/>
        <item x="289"/>
        <item x="288"/>
        <item x="287"/>
        <item x="286"/>
        <item x="285"/>
        <item x="284"/>
        <item x="283"/>
        <item x="282"/>
        <item x="281"/>
        <item x="280"/>
        <item x="279"/>
        <item x="278"/>
        <item x="277"/>
        <item x="276"/>
        <item x="275"/>
        <item x="274"/>
        <item x="273"/>
        <item x="272"/>
        <item x="271"/>
        <item x="270"/>
        <item x="269"/>
        <item x="268"/>
        <item x="267"/>
        <item x="266"/>
        <item x="265"/>
        <item x="264"/>
        <item x="263"/>
        <item x="262"/>
        <item x="261"/>
        <item x="260"/>
        <item x="259"/>
        <item x="258"/>
        <item x="257"/>
        <item x="256"/>
        <item x="255"/>
        <item x="254"/>
        <item x="253"/>
        <item x="252"/>
        <item x="251"/>
        <item x="250"/>
        <item x="249"/>
        <item x="248"/>
        <item x="247"/>
        <item x="246"/>
        <item x="245"/>
        <item x="244"/>
        <item x="243"/>
        <item x="242"/>
        <item x="241"/>
        <item x="240"/>
        <item x="239"/>
        <item x="238"/>
        <item x="237"/>
        <item x="236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axis="axisCol" showAll="0" sortType="descending">
      <items count="3">
        <item x="0"/>
        <item x="1"/>
        <item t="default"/>
      </items>
    </pivotField>
    <pivotField axis="axisRow" showAll="0">
      <items count="10">
        <item x="1"/>
        <item x="4"/>
        <item x="5"/>
        <item x="8"/>
        <item x="6"/>
        <item x="3"/>
        <item x="7"/>
        <item x="0"/>
        <item x="2"/>
        <item t="default"/>
      </items>
    </pivotField>
    <pivotField showAll="0"/>
    <pivotField showAll="0"/>
    <pivotField showAll="0"/>
    <pivotField axis="axisCol" showAll="0">
      <items count="6">
        <item x="1"/>
        <item x="0"/>
        <item x="3"/>
        <item x="4"/>
        <item h="1" x="2"/>
        <item t="default"/>
      </items>
    </pivotField>
    <pivotField showAll="0"/>
    <pivotField axis="axisPage" showAll="0">
      <items count="4">
        <item x="2"/>
        <item x="0"/>
        <item x="1"/>
        <item t="default"/>
      </items>
    </pivotField>
    <pivotField axis="axisPage" showAll="0">
      <items count="13">
        <item x="6"/>
        <item x="7"/>
        <item x="2"/>
        <item x="11"/>
        <item x="3"/>
        <item x="10"/>
        <item x="9"/>
        <item x="4"/>
        <item x="0"/>
        <item x="8"/>
        <item x="5"/>
        <item x="1"/>
        <item t="default"/>
      </items>
    </pivotField>
    <pivotField showAll="0"/>
    <pivotField axis="axisPage" showAll="0" sortType="ascending">
      <items count="11">
        <item x="6"/>
        <item x="9"/>
        <item x="2"/>
        <item x="7"/>
        <item x="8"/>
        <item x="1"/>
        <item x="4"/>
        <item x="0"/>
        <item x="5"/>
        <item x="3"/>
        <item t="default"/>
      </items>
    </pivotField>
  </pivotFields>
  <rowFields count="1">
    <field x="3"/>
  </rowFields>
  <rowItems count="9">
    <i>
      <x/>
    </i>
    <i>
      <x v="1"/>
    </i>
    <i>
      <x v="2"/>
    </i>
    <i>
      <x v="3"/>
    </i>
    <i>
      <x v="4"/>
    </i>
    <i>
      <x v="6"/>
    </i>
    <i>
      <x v="7"/>
    </i>
    <i>
      <x v="8"/>
    </i>
    <i t="grand">
      <x/>
    </i>
  </rowItems>
  <colFields count="2">
    <field x="2"/>
    <field x="7"/>
  </colFields>
  <colItems count="11">
    <i>
      <x/>
      <x/>
    </i>
    <i r="1">
      <x v="1"/>
    </i>
    <i r="1">
      <x v="2"/>
    </i>
    <i r="1">
      <x v="3"/>
    </i>
    <i t="default">
      <x/>
    </i>
    <i>
      <x v="1"/>
      <x/>
    </i>
    <i r="1">
      <x v="1"/>
    </i>
    <i r="1">
      <x v="2"/>
    </i>
    <i r="1">
      <x v="3"/>
    </i>
    <i t="default">
      <x v="1"/>
    </i>
    <i t="grand">
      <x/>
    </i>
  </colItems>
  <pageFields count="3">
    <pageField fld="12" hier="-1"/>
    <pageField fld="9" hier="-1"/>
    <pageField fld="10" hier="-1"/>
  </pageFields>
  <dataFields count="1">
    <dataField name="Count of RespondentID" fld="1" subtotal="count" showDataAs="percentOfCol" baseField="0" baseItem="0" numFmtId="9"/>
  </dataFields>
  <conditionalFormats count="1">
    <conditionalFormat priority="3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3" count="9">
              <x v="0"/>
              <x v="1"/>
              <x v="2"/>
              <x v="3"/>
              <x v="4"/>
              <x v="5"/>
              <x v="6"/>
              <x v="7"/>
              <x v="8"/>
            </reference>
          </references>
        </pivotArea>
      </pivotAreas>
    </conditionalFormat>
  </conditionalFormat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3" cacheId="13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22:D33" firstHeaderRow="1" firstDataRow="2" firstDataCol="1" rowPageCount="4" colPageCount="1"/>
  <pivotFields count="13">
    <pivotField showAll="0"/>
    <pivotField dataField="1" showAll="0">
      <items count="929">
        <item x="927"/>
        <item x="926"/>
        <item x="925"/>
        <item x="924"/>
        <item x="923"/>
        <item x="922"/>
        <item x="921"/>
        <item x="920"/>
        <item x="919"/>
        <item x="918"/>
        <item x="917"/>
        <item x="916"/>
        <item x="915"/>
        <item x="914"/>
        <item x="913"/>
        <item x="912"/>
        <item x="911"/>
        <item x="910"/>
        <item x="909"/>
        <item x="908"/>
        <item x="907"/>
        <item x="906"/>
        <item x="905"/>
        <item x="904"/>
        <item x="903"/>
        <item x="902"/>
        <item x="901"/>
        <item x="900"/>
        <item x="899"/>
        <item x="898"/>
        <item x="897"/>
        <item x="896"/>
        <item x="895"/>
        <item x="894"/>
        <item x="893"/>
        <item x="892"/>
        <item x="891"/>
        <item x="890"/>
        <item x="889"/>
        <item x="888"/>
        <item x="887"/>
        <item x="886"/>
        <item x="885"/>
        <item x="884"/>
        <item x="883"/>
        <item x="882"/>
        <item x="881"/>
        <item x="880"/>
        <item x="879"/>
        <item x="878"/>
        <item x="877"/>
        <item x="876"/>
        <item x="875"/>
        <item x="874"/>
        <item x="873"/>
        <item x="872"/>
        <item x="871"/>
        <item x="870"/>
        <item x="869"/>
        <item x="868"/>
        <item x="867"/>
        <item x="866"/>
        <item x="865"/>
        <item x="864"/>
        <item x="863"/>
        <item x="862"/>
        <item x="861"/>
        <item x="860"/>
        <item x="859"/>
        <item x="858"/>
        <item x="857"/>
        <item x="856"/>
        <item x="855"/>
        <item x="854"/>
        <item x="853"/>
        <item x="852"/>
        <item x="851"/>
        <item x="850"/>
        <item x="849"/>
        <item x="848"/>
        <item x="847"/>
        <item x="846"/>
        <item x="845"/>
        <item x="844"/>
        <item x="843"/>
        <item x="842"/>
        <item x="841"/>
        <item x="840"/>
        <item x="839"/>
        <item x="838"/>
        <item x="837"/>
        <item x="836"/>
        <item x="835"/>
        <item x="834"/>
        <item x="833"/>
        <item x="832"/>
        <item x="831"/>
        <item x="830"/>
        <item x="829"/>
        <item x="828"/>
        <item x="827"/>
        <item x="826"/>
        <item x="825"/>
        <item x="824"/>
        <item x="823"/>
        <item x="822"/>
        <item x="821"/>
        <item x="820"/>
        <item x="819"/>
        <item x="818"/>
        <item x="817"/>
        <item x="816"/>
        <item x="815"/>
        <item x="814"/>
        <item x="813"/>
        <item x="812"/>
        <item x="811"/>
        <item x="810"/>
        <item x="809"/>
        <item x="808"/>
        <item x="807"/>
        <item x="806"/>
        <item x="805"/>
        <item x="804"/>
        <item x="803"/>
        <item x="802"/>
        <item x="801"/>
        <item x="800"/>
        <item x="799"/>
        <item x="798"/>
        <item x="797"/>
        <item x="796"/>
        <item x="795"/>
        <item x="794"/>
        <item x="793"/>
        <item x="792"/>
        <item x="791"/>
        <item x="790"/>
        <item x="789"/>
        <item x="788"/>
        <item x="787"/>
        <item x="786"/>
        <item x="785"/>
        <item x="784"/>
        <item x="783"/>
        <item x="782"/>
        <item x="781"/>
        <item x="780"/>
        <item x="779"/>
        <item x="778"/>
        <item x="777"/>
        <item x="776"/>
        <item x="775"/>
        <item x="774"/>
        <item x="773"/>
        <item x="772"/>
        <item x="771"/>
        <item x="770"/>
        <item x="769"/>
        <item x="768"/>
        <item x="767"/>
        <item x="766"/>
        <item x="765"/>
        <item x="764"/>
        <item x="763"/>
        <item x="762"/>
        <item x="761"/>
        <item x="760"/>
        <item x="759"/>
        <item x="758"/>
        <item x="757"/>
        <item x="756"/>
        <item x="755"/>
        <item x="754"/>
        <item x="753"/>
        <item x="752"/>
        <item x="751"/>
        <item x="750"/>
        <item x="749"/>
        <item x="748"/>
        <item x="747"/>
        <item x="746"/>
        <item x="745"/>
        <item x="744"/>
        <item x="743"/>
        <item x="742"/>
        <item x="741"/>
        <item x="740"/>
        <item x="739"/>
        <item x="738"/>
        <item x="737"/>
        <item x="736"/>
        <item x="735"/>
        <item x="734"/>
        <item x="733"/>
        <item x="732"/>
        <item x="731"/>
        <item x="730"/>
        <item x="729"/>
        <item x="728"/>
        <item x="727"/>
        <item x="726"/>
        <item x="725"/>
        <item x="724"/>
        <item x="723"/>
        <item x="722"/>
        <item x="721"/>
        <item x="720"/>
        <item x="719"/>
        <item x="718"/>
        <item x="717"/>
        <item x="716"/>
        <item x="715"/>
        <item x="714"/>
        <item x="713"/>
        <item x="712"/>
        <item x="711"/>
        <item x="710"/>
        <item x="709"/>
        <item x="708"/>
        <item x="707"/>
        <item x="706"/>
        <item x="705"/>
        <item x="704"/>
        <item x="703"/>
        <item x="702"/>
        <item x="701"/>
        <item x="700"/>
        <item x="699"/>
        <item x="698"/>
        <item x="697"/>
        <item x="696"/>
        <item x="695"/>
        <item x="694"/>
        <item x="693"/>
        <item x="692"/>
        <item x="691"/>
        <item x="690"/>
        <item x="689"/>
        <item x="688"/>
        <item x="687"/>
        <item x="686"/>
        <item x="685"/>
        <item x="684"/>
        <item x="683"/>
        <item x="682"/>
        <item x="681"/>
        <item x="680"/>
        <item x="679"/>
        <item x="678"/>
        <item x="677"/>
        <item x="676"/>
        <item x="675"/>
        <item x="674"/>
        <item x="673"/>
        <item x="672"/>
        <item x="671"/>
        <item x="670"/>
        <item x="669"/>
        <item x="668"/>
        <item x="667"/>
        <item x="666"/>
        <item x="665"/>
        <item x="664"/>
        <item x="663"/>
        <item x="662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4"/>
        <item x="633"/>
        <item x="632"/>
        <item x="631"/>
        <item x="630"/>
        <item x="629"/>
        <item x="628"/>
        <item x="627"/>
        <item x="626"/>
        <item x="625"/>
        <item x="624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7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587"/>
        <item x="586"/>
        <item x="585"/>
        <item x="584"/>
        <item x="583"/>
        <item x="582"/>
        <item x="581"/>
        <item x="580"/>
        <item x="579"/>
        <item x="578"/>
        <item x="577"/>
        <item x="576"/>
        <item x="575"/>
        <item x="574"/>
        <item x="573"/>
        <item x="572"/>
        <item x="571"/>
        <item x="570"/>
        <item x="569"/>
        <item x="568"/>
        <item x="567"/>
        <item x="566"/>
        <item x="565"/>
        <item x="564"/>
        <item x="563"/>
        <item x="562"/>
        <item x="561"/>
        <item x="560"/>
        <item x="559"/>
        <item x="558"/>
        <item x="557"/>
        <item x="556"/>
        <item x="555"/>
        <item x="554"/>
        <item x="553"/>
        <item x="552"/>
        <item x="551"/>
        <item x="550"/>
        <item x="549"/>
        <item x="548"/>
        <item x="547"/>
        <item x="546"/>
        <item x="545"/>
        <item x="54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30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10"/>
        <item x="509"/>
        <item x="508"/>
        <item x="507"/>
        <item x="506"/>
        <item x="505"/>
        <item x="504"/>
        <item x="503"/>
        <item x="502"/>
        <item x="501"/>
        <item x="500"/>
        <item x="499"/>
        <item x="498"/>
        <item x="497"/>
        <item x="496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5"/>
        <item x="474"/>
        <item x="473"/>
        <item x="472"/>
        <item x="471"/>
        <item x="470"/>
        <item x="469"/>
        <item x="468"/>
        <item x="467"/>
        <item x="466"/>
        <item x="465"/>
        <item x="464"/>
        <item x="463"/>
        <item x="462"/>
        <item x="461"/>
        <item x="460"/>
        <item x="459"/>
        <item x="458"/>
        <item x="457"/>
        <item x="456"/>
        <item x="455"/>
        <item x="454"/>
        <item x="453"/>
        <item x="452"/>
        <item x="451"/>
        <item x="450"/>
        <item x="449"/>
        <item x="448"/>
        <item x="447"/>
        <item x="446"/>
        <item x="445"/>
        <item x="444"/>
        <item x="443"/>
        <item x="442"/>
        <item x="441"/>
        <item x="440"/>
        <item x="439"/>
        <item x="438"/>
        <item x="437"/>
        <item x="436"/>
        <item x="435"/>
        <item x="434"/>
        <item x="433"/>
        <item x="432"/>
        <item x="431"/>
        <item x="430"/>
        <item x="429"/>
        <item x="428"/>
        <item x="427"/>
        <item x="426"/>
        <item x="425"/>
        <item x="424"/>
        <item x="423"/>
        <item x="422"/>
        <item x="421"/>
        <item x="420"/>
        <item x="419"/>
        <item x="418"/>
        <item x="417"/>
        <item x="416"/>
        <item x="415"/>
        <item x="414"/>
        <item x="413"/>
        <item x="412"/>
        <item x="411"/>
        <item x="410"/>
        <item x="409"/>
        <item x="408"/>
        <item x="407"/>
        <item x="406"/>
        <item x="405"/>
        <item x="404"/>
        <item x="403"/>
        <item x="402"/>
        <item x="401"/>
        <item x="400"/>
        <item x="399"/>
        <item x="398"/>
        <item x="397"/>
        <item x="396"/>
        <item x="395"/>
        <item x="394"/>
        <item x="393"/>
        <item x="392"/>
        <item x="391"/>
        <item x="390"/>
        <item x="389"/>
        <item x="388"/>
        <item x="387"/>
        <item x="386"/>
        <item x="385"/>
        <item x="384"/>
        <item x="383"/>
        <item x="382"/>
        <item x="381"/>
        <item x="380"/>
        <item x="379"/>
        <item x="378"/>
        <item x="377"/>
        <item x="376"/>
        <item x="375"/>
        <item x="374"/>
        <item x="373"/>
        <item x="372"/>
        <item x="371"/>
        <item x="370"/>
        <item x="369"/>
        <item x="368"/>
        <item x="367"/>
        <item x="366"/>
        <item x="365"/>
        <item x="364"/>
        <item x="363"/>
        <item x="362"/>
        <item x="361"/>
        <item x="360"/>
        <item x="359"/>
        <item x="358"/>
        <item x="357"/>
        <item x="356"/>
        <item x="355"/>
        <item x="354"/>
        <item x="353"/>
        <item x="352"/>
        <item x="351"/>
        <item x="350"/>
        <item x="349"/>
        <item x="348"/>
        <item x="347"/>
        <item x="346"/>
        <item x="345"/>
        <item x="344"/>
        <item x="343"/>
        <item x="342"/>
        <item x="341"/>
        <item x="340"/>
        <item x="339"/>
        <item x="338"/>
        <item x="337"/>
        <item x="336"/>
        <item x="335"/>
        <item x="334"/>
        <item x="333"/>
        <item x="332"/>
        <item x="331"/>
        <item x="330"/>
        <item x="329"/>
        <item x="328"/>
        <item x="327"/>
        <item x="326"/>
        <item x="325"/>
        <item x="324"/>
        <item x="323"/>
        <item x="322"/>
        <item x="321"/>
        <item x="320"/>
        <item x="319"/>
        <item x="318"/>
        <item x="317"/>
        <item x="316"/>
        <item x="315"/>
        <item x="314"/>
        <item x="313"/>
        <item x="312"/>
        <item x="311"/>
        <item x="310"/>
        <item x="309"/>
        <item x="308"/>
        <item x="307"/>
        <item x="306"/>
        <item x="305"/>
        <item x="304"/>
        <item x="303"/>
        <item x="302"/>
        <item x="301"/>
        <item x="300"/>
        <item x="299"/>
        <item x="298"/>
        <item x="297"/>
        <item x="296"/>
        <item x="295"/>
        <item x="294"/>
        <item x="293"/>
        <item x="292"/>
        <item x="291"/>
        <item x="290"/>
        <item x="289"/>
        <item x="288"/>
        <item x="287"/>
        <item x="286"/>
        <item x="285"/>
        <item x="284"/>
        <item x="283"/>
        <item x="282"/>
        <item x="281"/>
        <item x="280"/>
        <item x="279"/>
        <item x="278"/>
        <item x="277"/>
        <item x="276"/>
        <item x="275"/>
        <item x="274"/>
        <item x="273"/>
        <item x="272"/>
        <item x="271"/>
        <item x="270"/>
        <item x="269"/>
        <item x="268"/>
        <item x="267"/>
        <item x="266"/>
        <item x="265"/>
        <item x="264"/>
        <item x="263"/>
        <item x="262"/>
        <item x="261"/>
        <item x="260"/>
        <item x="259"/>
        <item x="258"/>
        <item x="257"/>
        <item x="256"/>
        <item x="255"/>
        <item x="254"/>
        <item x="253"/>
        <item x="252"/>
        <item x="251"/>
        <item x="250"/>
        <item x="249"/>
        <item x="248"/>
        <item x="247"/>
        <item x="246"/>
        <item x="245"/>
        <item x="244"/>
        <item x="243"/>
        <item x="242"/>
        <item x="241"/>
        <item x="240"/>
        <item x="239"/>
        <item x="238"/>
        <item x="237"/>
        <item x="236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axis="axisCol" showAll="0" sortType="descending">
      <items count="3">
        <item x="0"/>
        <item x="1"/>
        <item t="default"/>
      </items>
    </pivotField>
    <pivotField axis="axisRow" showAll="0">
      <items count="10">
        <item x="1"/>
        <item x="4"/>
        <item x="5"/>
        <item x="8"/>
        <item x="6"/>
        <item x="3"/>
        <item x="7"/>
        <item x="0"/>
        <item x="2"/>
        <item t="default"/>
      </items>
    </pivotField>
    <pivotField showAll="0"/>
    <pivotField showAll="0"/>
    <pivotField showAll="0"/>
    <pivotField axis="axisPage" showAll="0">
      <items count="6">
        <item x="1"/>
        <item x="0"/>
        <item x="3"/>
        <item x="4"/>
        <item x="2"/>
        <item t="default"/>
      </items>
    </pivotField>
    <pivotField showAll="0"/>
    <pivotField axis="axisPage" showAll="0">
      <items count="4">
        <item x="2"/>
        <item x="0"/>
        <item x="1"/>
        <item t="default"/>
      </items>
    </pivotField>
    <pivotField axis="axisPage" showAll="0">
      <items count="13">
        <item x="6"/>
        <item x="7"/>
        <item x="2"/>
        <item x="11"/>
        <item x="3"/>
        <item x="10"/>
        <item x="9"/>
        <item x="4"/>
        <item x="0"/>
        <item x="8"/>
        <item x="5"/>
        <item x="1"/>
        <item t="default"/>
      </items>
    </pivotField>
    <pivotField showAll="0"/>
    <pivotField axis="axisPage" showAll="0" sortType="ascending">
      <items count="11">
        <item x="6"/>
        <item x="9"/>
        <item x="2"/>
        <item x="7"/>
        <item x="8"/>
        <item x="1"/>
        <item x="4"/>
        <item x="0"/>
        <item x="5"/>
        <item x="3"/>
        <item t="default"/>
      </items>
    </pivotField>
  </pivotFields>
  <rowFields count="1">
    <field x="3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2"/>
  </colFields>
  <colItems count="3">
    <i>
      <x/>
    </i>
    <i>
      <x v="1"/>
    </i>
    <i t="grand">
      <x/>
    </i>
  </colItems>
  <pageFields count="4">
    <pageField fld="12" hier="-1"/>
    <pageField fld="7" hier="-1"/>
    <pageField fld="9" hier="-1"/>
    <pageField fld="10" hier="-1"/>
  </pageFields>
  <dataFields count="1">
    <dataField name="Count of RespondentID" fld="1" subtotal="count" showDataAs="percentOfCol" baseField="0" baseItem="0" numFmtId="9"/>
  </dataFields>
  <conditionalFormats count="1">
    <conditionalFormat priority="4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3" count="9">
              <x v="0"/>
              <x v="1"/>
              <x v="2"/>
              <x v="3"/>
              <x v="4"/>
              <x v="5"/>
              <x v="6"/>
              <x v="7"/>
              <x v="8"/>
            </reference>
          </references>
        </pivotArea>
      </pivotAreas>
    </conditionalFormat>
  </conditionalFormat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2" cacheId="13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4:K8" firstHeaderRow="1" firstDataRow="2" firstDataCol="1"/>
  <pivotFields count="13">
    <pivotField showAll="0"/>
    <pivotField showAll="0"/>
    <pivotField axis="axisRow" dataField="1" showAll="0" sortType="descending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 sortType="ascending">
      <items count="11">
        <item x="6"/>
        <item x="9"/>
        <item x="2"/>
        <item x="7"/>
        <item x="8"/>
        <item h="1" x="1"/>
        <item x="4"/>
        <item x="0"/>
        <item x="5"/>
        <item x="3"/>
        <item t="default"/>
      </items>
    </pivotField>
  </pivotFields>
  <rowFields count="1">
    <field x="2"/>
  </rowFields>
  <rowItems count="3">
    <i>
      <x/>
    </i>
    <i>
      <x v="1"/>
    </i>
    <i t="grand">
      <x/>
    </i>
  </rowItems>
  <colFields count="1">
    <field x="12"/>
  </colFields>
  <colItems count="10">
    <i>
      <x/>
    </i>
    <i>
      <x v="1"/>
    </i>
    <i>
      <x v="2"/>
    </i>
    <i>
      <x v="3"/>
    </i>
    <i>
      <x v="4"/>
    </i>
    <i>
      <x v="6"/>
    </i>
    <i>
      <x v="7"/>
    </i>
    <i>
      <x v="8"/>
    </i>
    <i>
      <x v="9"/>
    </i>
    <i t="grand">
      <x/>
    </i>
  </colItems>
  <dataFields count="1">
    <dataField name="Count of Q1: Do you typically check a daily weather report?" fld="2" subtotal="count" showDataAs="percentOfCol" baseField="0" baseItem="0" numFmtId="9"/>
  </dataFields>
  <conditionalFormats count="1">
    <conditionalFormat priority="6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" count="1">
              <x v="0"/>
            </reference>
          </references>
        </pivotArea>
      </pivotAreas>
    </conditionalFormat>
  </conditionalFormat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8" cacheId="48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158:B162" firstHeaderRow="1" firstDataRow="1" firstDataCol="1"/>
  <pivotFields count="5">
    <pivotField showAll="0" defaultSubtotal="0"/>
    <pivotField showAll="0" sortType="descending">
      <items count="15">
        <item x="2"/>
        <item x="7"/>
        <item x="8"/>
        <item x="9"/>
        <item x="10"/>
        <item x="5"/>
        <item x="3"/>
        <item x="13"/>
        <item x="11"/>
        <item x="0"/>
        <item x="12"/>
        <item x="1"/>
        <item x="4"/>
        <item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sortType="descending" defaultSubtotal="0">
      <items count="4">
        <item x="1"/>
        <item x="3"/>
        <item x="2"/>
        <item x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showAll="0" defaultSubtotal="0">
      <items count="3">
        <item x="1"/>
        <item x="2"/>
        <item x="0"/>
      </items>
    </pivotField>
    <pivotField dataField="1" showAll="0"/>
  </pivotFields>
  <rowFields count="1">
    <field x="3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Count" fld="4" baseField="0" baseItem="0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PivotTable7" cacheId="48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141:B146" firstHeaderRow="1" firstDataRow="1" firstDataCol="1"/>
  <pivotFields count="5">
    <pivotField showAll="0" defaultSubtotal="0"/>
    <pivotField showAll="0" sortType="descending">
      <items count="15">
        <item x="2"/>
        <item x="7"/>
        <item x="8"/>
        <item x="9"/>
        <item x="10"/>
        <item x="5"/>
        <item x="3"/>
        <item x="13"/>
        <item x="11"/>
        <item x="0"/>
        <item x="12"/>
        <item x="1"/>
        <item x="4"/>
        <item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showAll="0" sortType="descending" defaultSubtotal="0">
      <items count="4">
        <item x="1"/>
        <item x="3"/>
        <item x="2"/>
        <item x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dataField="1" showAll="0"/>
  </pivotFields>
  <rowFields count="1">
    <field x="2"/>
  </rowFields>
  <rowItems count="5">
    <i>
      <x v="3"/>
    </i>
    <i>
      <x/>
    </i>
    <i>
      <x v="1"/>
    </i>
    <i>
      <x v="2"/>
    </i>
    <i t="grand">
      <x/>
    </i>
  </rowItems>
  <colItems count="1">
    <i/>
  </colItems>
  <dataFields count="1">
    <dataField name="Sum of Count" fld="4" baseField="0" baseItem="0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PivotTable6" cacheId="48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114:B129" firstHeaderRow="1" firstDataRow="1" firstDataCol="1"/>
  <pivotFields count="5">
    <pivotField showAll="0" defaultSubtotal="0"/>
    <pivotField axis="axisRow" showAll="0" sortType="descending">
      <items count="15">
        <item x="2"/>
        <item x="7"/>
        <item x="8"/>
        <item x="9"/>
        <item x="10"/>
        <item x="5"/>
        <item x="3"/>
        <item x="13"/>
        <item x="11"/>
        <item x="0"/>
        <item x="12"/>
        <item x="1"/>
        <item x="4"/>
        <item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dataField="1" showAll="0"/>
  </pivotFields>
  <rowFields count="1">
    <field x="1"/>
  </rowFields>
  <rowItems count="15">
    <i>
      <x v="8"/>
    </i>
    <i>
      <x v="10"/>
    </i>
    <i>
      <x v="12"/>
    </i>
    <i>
      <x/>
    </i>
    <i>
      <x v="13"/>
    </i>
    <i>
      <x v="9"/>
    </i>
    <i>
      <x v="6"/>
    </i>
    <i>
      <x v="1"/>
    </i>
    <i>
      <x v="5"/>
    </i>
    <i>
      <x v="3"/>
    </i>
    <i>
      <x v="2"/>
    </i>
    <i>
      <x v="7"/>
    </i>
    <i>
      <x v="4"/>
    </i>
    <i>
      <x v="11"/>
    </i>
    <i t="grand">
      <x/>
    </i>
  </rowItems>
  <colItems count="1">
    <i/>
  </colItems>
  <dataFields count="1">
    <dataField name="Sum of Count" fld="4" baseField="0" baseItem="0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PivotTable1" cacheId="48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B103" firstHeaderRow="1" firstDataRow="1" firstDataCol="1"/>
  <pivotFields count="5">
    <pivotField axis="axisRow" showAll="0" sortType="descending" defaultSubtotal="0">
      <items count="9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sortType="descending">
      <items count="15">
        <item x="2"/>
        <item x="7"/>
        <item x="8"/>
        <item x="9"/>
        <item x="10"/>
        <item x="5"/>
        <item x="3"/>
        <item x="13"/>
        <item x="11"/>
        <item x="0"/>
        <item x="12"/>
        <item x="1"/>
        <item x="4"/>
        <item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dataField="1" showAll="0"/>
  </pivotFields>
  <rowFields count="1">
    <field x="0"/>
  </rowFields>
  <rowItems count="100">
    <i>
      <x v="3"/>
    </i>
    <i>
      <x v="79"/>
    </i>
    <i>
      <x v="81"/>
    </i>
    <i>
      <x v="63"/>
    </i>
    <i>
      <x v="54"/>
    </i>
    <i>
      <x v="76"/>
    </i>
    <i>
      <x v="66"/>
    </i>
    <i>
      <x v="65"/>
    </i>
    <i>
      <x v="52"/>
    </i>
    <i>
      <x v="24"/>
    </i>
    <i>
      <x v="30"/>
    </i>
    <i>
      <x v="55"/>
    </i>
    <i>
      <x v="28"/>
    </i>
    <i>
      <x v="29"/>
    </i>
    <i>
      <x v="64"/>
    </i>
    <i>
      <x v="40"/>
    </i>
    <i>
      <x v="61"/>
    </i>
    <i>
      <x v="94"/>
    </i>
    <i>
      <x v="17"/>
    </i>
    <i>
      <x v="13"/>
    </i>
    <i>
      <x v="57"/>
    </i>
    <i>
      <x v="19"/>
    </i>
    <i>
      <x v="73"/>
    </i>
    <i>
      <x v="20"/>
    </i>
    <i>
      <x v="89"/>
    </i>
    <i>
      <x v="21"/>
    </i>
    <i>
      <x v="10"/>
    </i>
    <i>
      <x v="22"/>
    </i>
    <i>
      <x v="69"/>
    </i>
    <i>
      <x v="23"/>
    </i>
    <i>
      <x v="77"/>
    </i>
    <i>
      <x v="2"/>
    </i>
    <i>
      <x v="85"/>
    </i>
    <i>
      <x v="25"/>
    </i>
    <i>
      <x v="18"/>
    </i>
    <i>
      <x v="26"/>
    </i>
    <i>
      <x v="59"/>
    </i>
    <i>
      <x v="27"/>
    </i>
    <i>
      <x v="11"/>
    </i>
    <i>
      <x v="1"/>
    </i>
    <i>
      <x v="67"/>
    </i>
    <i>
      <x v="4"/>
    </i>
    <i>
      <x v="71"/>
    </i>
    <i>
      <x v="5"/>
    </i>
    <i>
      <x v="75"/>
    </i>
    <i>
      <x v="31"/>
    </i>
    <i>
      <x v="16"/>
    </i>
    <i>
      <x v="32"/>
    </i>
    <i>
      <x v="83"/>
    </i>
    <i>
      <x v="33"/>
    </i>
    <i>
      <x v="87"/>
    </i>
    <i>
      <x v="34"/>
    </i>
    <i>
      <x v="91"/>
    </i>
    <i>
      <x v="35"/>
    </i>
    <i>
      <x v="56"/>
    </i>
    <i>
      <x v="36"/>
    </i>
    <i>
      <x v="58"/>
    </i>
    <i>
      <x v="37"/>
    </i>
    <i>
      <x v="60"/>
    </i>
    <i>
      <x v="38"/>
    </i>
    <i>
      <x v="62"/>
    </i>
    <i>
      <x v="39"/>
    </i>
    <i>
      <x v="12"/>
    </i>
    <i>
      <x v="6"/>
    </i>
    <i>
      <x v="14"/>
    </i>
    <i>
      <x v="41"/>
    </i>
    <i>
      <x v="68"/>
    </i>
    <i>
      <x v="42"/>
    </i>
    <i>
      <x v="70"/>
    </i>
    <i>
      <x v="43"/>
    </i>
    <i>
      <x v="72"/>
    </i>
    <i>
      <x v="44"/>
    </i>
    <i>
      <x v="74"/>
    </i>
    <i>
      <x v="45"/>
    </i>
    <i>
      <x v="15"/>
    </i>
    <i>
      <x v="93"/>
    </i>
    <i>
      <x v="78"/>
    </i>
    <i>
      <x v="95"/>
    </i>
    <i>
      <x v="80"/>
    </i>
    <i>
      <x v="97"/>
    </i>
    <i>
      <x v="82"/>
    </i>
    <i>
      <x/>
    </i>
    <i>
      <x v="84"/>
    </i>
    <i>
      <x v="50"/>
    </i>
    <i>
      <x v="86"/>
    </i>
    <i>
      <x v="51"/>
    </i>
    <i>
      <x v="88"/>
    </i>
    <i>
      <x v="7"/>
    </i>
    <i>
      <x v="90"/>
    </i>
    <i>
      <x v="53"/>
    </i>
    <i>
      <x v="92"/>
    </i>
    <i>
      <x v="8"/>
    </i>
    <i>
      <x v="9"/>
    </i>
    <i>
      <x v="46"/>
    </i>
    <i>
      <x v="96"/>
    </i>
    <i>
      <x v="47"/>
    </i>
    <i>
      <x v="98"/>
    </i>
    <i>
      <x v="48"/>
    </i>
    <i>
      <x v="49"/>
    </i>
    <i t="grand">
      <x/>
    </i>
  </rowItems>
  <colItems count="1">
    <i/>
  </colItems>
  <dataFields count="1">
    <dataField name="Sum of Count" fld="4" baseField="0" baseItem="0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licer_Q5__Age" sourceName="Q5: Age">
  <pivotTables>
    <pivotTable tabId="7" name="PivotTable5"/>
  </pivotTables>
  <data>
    <tabular pivotCacheId="1">
      <items count="5">
        <i x="1" s="1"/>
        <i x="0" s="1"/>
        <i x="3" s="1"/>
        <i x="4" s="1"/>
        <i x="2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licer_US_Region" sourceName="US Region">
  <pivotTables>
    <pivotTable tabId="7" name="PivotTable5"/>
  </pivotTables>
  <data>
    <tabular pivotCacheId="1">
      <items count="10">
        <i x="6" s="1"/>
        <i x="9" s="1"/>
        <i x="2" s="1"/>
        <i x="7" s="1"/>
        <i x="8" s="1"/>
        <i x="1" s="1"/>
        <i x="4" s="1"/>
        <i x="0" s="1"/>
        <i x="5" s="1"/>
        <i x="3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licer_Q6__What_is_your_gender?" sourceName="Q6: What is your gender?">
  <pivotTables>
    <pivotTable tabId="7" name="PivotTable5"/>
  </pivotTables>
  <data>
    <tabular pivotCacheId="1">
      <items count="3">
        <i x="2" s="1"/>
        <i x="0" s="1"/>
        <i x="1" s="1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licer_Q7__How_much_total_combined_money_did_all_members_of_your_HOUSEHOLD_earn_last_year?" sourceName="Q7: How much total combined money did all members of your HOUSEHOLD earn last year?">
  <pivotTables>
    <pivotTable tabId="7" name="PivotTable5"/>
  </pivotTables>
  <data>
    <tabular pivotCacheId="1">
      <items count="12">
        <i x="6" s="1"/>
        <i x="7" s="1"/>
        <i x="2" s="1"/>
        <i x="11" s="1"/>
        <i x="3" s="1"/>
        <i x="10" s="1"/>
        <i x="9" s="1"/>
        <i x="4" s="1"/>
        <i x="0" s="1"/>
        <i x="8" s="1"/>
        <i x="1" s="1"/>
        <i x="5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Q5: Age" cache="Slicer_Q5__Age" caption="Q5: Age" rowHeight="251883"/>
  <slicer name="US Region" cache="Slicer_US_Region" caption="US Region" rowHeight="251883"/>
  <slicer name="Q6: What is your gender?" cache="Slicer_Q6__What_is_your_gender?" caption="Q6: What is your gender?" rowHeight="251883"/>
  <slicer name="Q7: How much total combined money did all members of your HOUSEHOLD earn last year?" cache="Slicer_Q7__How_much_total_combined_money_did_all_members_of_your_HOUSEHOLD_earn_last_year?" caption="Q7: How much total combined money did all members of your HOUSEHOLD earn last year?" startItem="3" rowHeight="251883"/>
</slicer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4" Type="http://schemas.openxmlformats.org/officeDocument/2006/relationships/pivotTable" Target="../pivotTables/pivotTable4.xml"/><Relationship Id="rId5" Type="http://schemas.openxmlformats.org/officeDocument/2006/relationships/pivotTable" Target="../pivotTables/pivotTable5.xml"/><Relationship Id="rId6" Type="http://schemas.openxmlformats.org/officeDocument/2006/relationships/drawing" Target="../drawings/drawing1.xml"/><Relationship Id="rId7" Type="http://schemas.microsoft.com/office/2007/relationships/slicer" Target="../slicers/slicer1.xml"/><Relationship Id="rId1" Type="http://schemas.openxmlformats.org/officeDocument/2006/relationships/pivotTable" Target="../pivotTables/pivotTable1.xml"/><Relationship Id="rId2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8.xml"/><Relationship Id="rId4" Type="http://schemas.openxmlformats.org/officeDocument/2006/relationships/pivotTable" Target="../pivotTables/pivotTable9.xml"/><Relationship Id="rId5" Type="http://schemas.openxmlformats.org/officeDocument/2006/relationships/drawing" Target="../drawings/drawing2.xml"/><Relationship Id="rId1" Type="http://schemas.openxmlformats.org/officeDocument/2006/relationships/pivotTable" Target="../pivotTables/pivotTable6.xml"/><Relationship Id="rId2" Type="http://schemas.openxmlformats.org/officeDocument/2006/relationships/pivotTable" Target="../pivotTables/pivot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929"/>
  <sheetViews>
    <sheetView tabSelected="1" workbookViewId="0">
      <selection activeCell="M8" sqref="M8"/>
    </sheetView>
  </sheetViews>
  <sheetFormatPr baseColWidth="10" defaultRowHeight="16" x14ac:dyDescent="0.2"/>
  <cols>
    <col min="2" max="2" width="12.6640625" bestFit="1" customWidth="1"/>
    <col min="3" max="3" width="18.1640625" customWidth="1"/>
    <col min="4" max="4" width="44.33203125" bestFit="1" customWidth="1"/>
    <col min="5" max="5" width="25.5" customWidth="1"/>
    <col min="6" max="6" width="35" customWidth="1"/>
    <col min="7" max="7" width="11.1640625" bestFit="1" customWidth="1"/>
    <col min="8" max="8" width="22.5" bestFit="1" customWidth="1"/>
    <col min="9" max="9" width="12.1640625" bestFit="1" customWidth="1"/>
    <col min="10" max="10" width="18.5" bestFit="1" customWidth="1"/>
    <col min="11" max="11" width="22.6640625" customWidth="1"/>
    <col min="12" max="12" width="20.6640625" bestFit="1" customWidth="1"/>
    <col min="13" max="13" width="17.5" bestFit="1" customWidth="1"/>
  </cols>
  <sheetData>
    <row r="1" spans="1:16" s="1" customFormat="1" x14ac:dyDescent="0.2">
      <c r="A1" s="1" t="s">
        <v>175</v>
      </c>
      <c r="B1" s="1" t="s">
        <v>0</v>
      </c>
      <c r="C1" s="1" t="s">
        <v>165</v>
      </c>
      <c r="D1" s="1" t="s">
        <v>166</v>
      </c>
      <c r="E1" s="1" t="s">
        <v>167</v>
      </c>
      <c r="F1" s="1" t="s">
        <v>168</v>
      </c>
      <c r="G1" s="1" t="s">
        <v>169</v>
      </c>
      <c r="H1" s="1" t="s">
        <v>170</v>
      </c>
      <c r="I1" s="1" t="s">
        <v>171</v>
      </c>
      <c r="J1" s="1" t="s">
        <v>172</v>
      </c>
      <c r="K1" s="1" t="s">
        <v>173</v>
      </c>
      <c r="L1" s="1" t="s">
        <v>174</v>
      </c>
      <c r="M1" s="1" t="s">
        <v>5</v>
      </c>
      <c r="N1" s="1" t="s">
        <v>311</v>
      </c>
      <c r="O1" s="1" t="s">
        <v>293</v>
      </c>
      <c r="P1" s="1" t="s">
        <v>312</v>
      </c>
    </row>
    <row r="2" spans="1:16" x14ac:dyDescent="0.2">
      <c r="A2">
        <v>1</v>
      </c>
      <c r="B2">
        <v>3887201482</v>
      </c>
      <c r="C2" t="s">
        <v>6</v>
      </c>
      <c r="D2" t="s">
        <v>7</v>
      </c>
      <c r="E2" t="s">
        <v>8</v>
      </c>
      <c r="F2" t="s">
        <v>9</v>
      </c>
      <c r="G2" s="2">
        <f>VLOOKUP(F2,mappings!$G$2:$H$6,2,FALSE)</f>
        <v>4</v>
      </c>
      <c r="H2" t="s">
        <v>161</v>
      </c>
      <c r="I2" s="2">
        <f>VLOOKUP(H2,mappings!$D$2:$E$6,2,FALSE)</f>
        <v>2</v>
      </c>
      <c r="J2" t="s">
        <v>10</v>
      </c>
      <c r="K2" t="s">
        <v>11</v>
      </c>
      <c r="L2" s="2">
        <f>VLOOKUP(K2,mappings!$A$2:$B$13,2,FALSE)</f>
        <v>4</v>
      </c>
      <c r="M2" t="s">
        <v>12</v>
      </c>
      <c r="N2" t="str">
        <f>VLOOKUP(E2,mappings!$L$1:$M$110,2,FALSE)</f>
        <v>No answer provided</v>
      </c>
      <c r="O2" t="str">
        <f>VLOOKUP(E2,mappings!L:O,3,FALSE)</f>
        <v>No answer provided</v>
      </c>
      <c r="P2" t="str">
        <f>VLOOKUP(E2,mappings!L:P,4,FALSE)</f>
        <v>No answer provided</v>
      </c>
    </row>
    <row r="3" spans="1:16" x14ac:dyDescent="0.2">
      <c r="A3">
        <v>2</v>
      </c>
      <c r="B3">
        <v>3887159451</v>
      </c>
      <c r="C3" t="s">
        <v>6</v>
      </c>
      <c r="D3" t="s">
        <v>7</v>
      </c>
      <c r="E3" t="s">
        <v>8</v>
      </c>
      <c r="F3" t="s">
        <v>9</v>
      </c>
      <c r="G3" s="2">
        <f>VLOOKUP(F3,mappings!$G$2:$H$6,2,FALSE)</f>
        <v>4</v>
      </c>
      <c r="H3" t="s">
        <v>162</v>
      </c>
      <c r="I3" s="2">
        <f>VLOOKUP(H3,mappings!$D$2:$E$6,2,FALSE)</f>
        <v>1</v>
      </c>
      <c r="J3" t="s">
        <v>10</v>
      </c>
      <c r="K3" t="s">
        <v>13</v>
      </c>
      <c r="L3" s="2">
        <f>VLOOKUP(K3,mappings!$A$2:$B$13,2,FALSE)</f>
        <v>11</v>
      </c>
      <c r="M3" t="s">
        <v>8</v>
      </c>
      <c r="N3" t="str">
        <f>VLOOKUP(E3,mappings!$L$1:$M$110,2,FALSE)</f>
        <v>No answer provided</v>
      </c>
      <c r="O3" t="str">
        <f>VLOOKUP(E3,mappings!L:O,3,FALSE)</f>
        <v>No answer provided</v>
      </c>
      <c r="P3" t="str">
        <f>VLOOKUP(E3,mappings!L:P,4,FALSE)</f>
        <v>No answer provided</v>
      </c>
    </row>
    <row r="4" spans="1:16" x14ac:dyDescent="0.2">
      <c r="A4">
        <v>3</v>
      </c>
      <c r="B4">
        <v>3887152228</v>
      </c>
      <c r="C4" t="s">
        <v>6</v>
      </c>
      <c r="D4" t="s">
        <v>7</v>
      </c>
      <c r="E4" t="s">
        <v>8</v>
      </c>
      <c r="F4" t="s">
        <v>9</v>
      </c>
      <c r="G4" s="2">
        <f>VLOOKUP(F4,mappings!$G$2:$H$6,2,FALSE)</f>
        <v>4</v>
      </c>
      <c r="H4" t="s">
        <v>161</v>
      </c>
      <c r="I4" s="2">
        <f>VLOOKUP(H4,mappings!$D$2:$E$6,2,FALSE)</f>
        <v>2</v>
      </c>
      <c r="J4" t="s">
        <v>10</v>
      </c>
      <c r="K4" t="s">
        <v>14</v>
      </c>
      <c r="L4" s="2">
        <f>VLOOKUP(K4,mappings!$A$2:$B$13,2,FALSE)</f>
        <v>6</v>
      </c>
      <c r="M4" t="s">
        <v>15</v>
      </c>
      <c r="N4" t="str">
        <f>VLOOKUP(E4,mappings!$L$1:$M$110,2,FALSE)</f>
        <v>No answer provided</v>
      </c>
      <c r="O4" t="str">
        <f>VLOOKUP(E4,mappings!L:O,3,FALSE)</f>
        <v>No answer provided</v>
      </c>
      <c r="P4" t="str">
        <f>VLOOKUP(E4,mappings!L:P,4,FALSE)</f>
        <v>No answer provided</v>
      </c>
    </row>
    <row r="5" spans="1:16" x14ac:dyDescent="0.2">
      <c r="A5">
        <v>4</v>
      </c>
      <c r="B5">
        <v>3887145426</v>
      </c>
      <c r="C5" t="s">
        <v>6</v>
      </c>
      <c r="D5" t="s">
        <v>7</v>
      </c>
      <c r="E5" t="s">
        <v>8</v>
      </c>
      <c r="F5" t="s">
        <v>16</v>
      </c>
      <c r="G5" s="2">
        <f>VLOOKUP(F5,mappings!$G$2:$H$6,2,FALSE)</f>
        <v>3</v>
      </c>
      <c r="H5" t="s">
        <v>161</v>
      </c>
      <c r="I5" s="2">
        <f>VLOOKUP(H5,mappings!$D$2:$E$6,2,FALSE)</f>
        <v>2</v>
      </c>
      <c r="J5" t="s">
        <v>10</v>
      </c>
      <c r="K5" t="s">
        <v>13</v>
      </c>
      <c r="L5" s="2">
        <f>VLOOKUP(K5,mappings!$A$2:$B$13,2,FALSE)</f>
        <v>11</v>
      </c>
      <c r="M5" t="s">
        <v>8</v>
      </c>
      <c r="N5" t="str">
        <f>VLOOKUP(E5,mappings!$L$1:$M$110,2,FALSE)</f>
        <v>No answer provided</v>
      </c>
      <c r="O5" t="str">
        <f>VLOOKUP(E5,mappings!L:O,3,FALSE)</f>
        <v>No answer provided</v>
      </c>
      <c r="P5" t="str">
        <f>VLOOKUP(E5,mappings!L:P,4,FALSE)</f>
        <v>No answer provided</v>
      </c>
    </row>
    <row r="6" spans="1:16" x14ac:dyDescent="0.2">
      <c r="A6">
        <v>5</v>
      </c>
      <c r="B6">
        <v>3887021873</v>
      </c>
      <c r="C6" t="s">
        <v>6</v>
      </c>
      <c r="D6" t="s">
        <v>1</v>
      </c>
      <c r="E6" t="s">
        <v>17</v>
      </c>
      <c r="F6" t="s">
        <v>9</v>
      </c>
      <c r="G6" s="2">
        <f>VLOOKUP(F6,mappings!$G$2:$H$6,2,FALSE)</f>
        <v>4</v>
      </c>
      <c r="H6" t="s">
        <v>161</v>
      </c>
      <c r="I6" s="2">
        <f>VLOOKUP(H6,mappings!$D$2:$E$6,2,FALSE)</f>
        <v>2</v>
      </c>
      <c r="J6" t="s">
        <v>10</v>
      </c>
      <c r="K6" t="s">
        <v>18</v>
      </c>
      <c r="L6" s="2">
        <f>VLOOKUP(K6,mappings!$A$2:$B$13,2,FALSE)</f>
        <v>8</v>
      </c>
      <c r="M6" t="s">
        <v>15</v>
      </c>
      <c r="N6" t="str">
        <f>VLOOKUP(E6,mappings!$L$1:$M$110,2,FALSE)</f>
        <v>Yahoo</v>
      </c>
      <c r="O6" t="str">
        <f>VLOOKUP(E6,mappings!L:O,3,FALSE)</f>
        <v>App</v>
      </c>
      <c r="P6" t="str">
        <f>VLOOKUP(E6,mappings!L:P,4,FALSE)</f>
        <v>Apple</v>
      </c>
    </row>
    <row r="7" spans="1:16" x14ac:dyDescent="0.2">
      <c r="A7">
        <v>6</v>
      </c>
      <c r="B7">
        <v>3886937140</v>
      </c>
      <c r="C7" t="s">
        <v>6</v>
      </c>
      <c r="D7" t="s">
        <v>1</v>
      </c>
      <c r="E7" t="s">
        <v>19</v>
      </c>
      <c r="F7" t="s">
        <v>16</v>
      </c>
      <c r="G7" s="2">
        <f>VLOOKUP(F7,mappings!$G$2:$H$6,2,FALSE)</f>
        <v>3</v>
      </c>
      <c r="H7" t="s">
        <v>162</v>
      </c>
      <c r="I7" s="2">
        <f>VLOOKUP(H7,mappings!$D$2:$E$6,2,FALSE)</f>
        <v>1</v>
      </c>
      <c r="J7" t="s">
        <v>10</v>
      </c>
      <c r="K7" t="s">
        <v>14</v>
      </c>
      <c r="L7" s="2">
        <f>VLOOKUP(K7,mappings!$A$2:$B$13,2,FALSE)</f>
        <v>6</v>
      </c>
      <c r="M7" t="s">
        <v>20</v>
      </c>
      <c r="N7" t="str">
        <f>VLOOKUP(E7,mappings!$L$1:$M$110,2,FALSE)</f>
        <v>AccuWeather</v>
      </c>
      <c r="O7" t="str">
        <f>VLOOKUP(E7,mappings!L:O,3,FALSE)</f>
        <v>App</v>
      </c>
      <c r="P7" t="str">
        <f>VLOOKUP(E7,mappings!L:P,4,FALSE)</f>
        <v>Other or unkown</v>
      </c>
    </row>
    <row r="8" spans="1:16" x14ac:dyDescent="0.2">
      <c r="A8">
        <v>7</v>
      </c>
      <c r="B8">
        <v>3886923931</v>
      </c>
      <c r="C8" t="s">
        <v>6</v>
      </c>
      <c r="D8" t="s">
        <v>21</v>
      </c>
      <c r="E8" t="s">
        <v>8</v>
      </c>
      <c r="F8" t="s">
        <v>22</v>
      </c>
      <c r="G8" s="2">
        <f>VLOOKUP(F8,mappings!$G$2:$H$6,2,FALSE)</f>
        <v>1</v>
      </c>
      <c r="H8" t="s">
        <v>161</v>
      </c>
      <c r="I8" s="2">
        <f>VLOOKUP(H8,mappings!$D$2:$E$6,2,FALSE)</f>
        <v>2</v>
      </c>
      <c r="J8" t="s">
        <v>10</v>
      </c>
      <c r="K8" t="s">
        <v>23</v>
      </c>
      <c r="L8" s="2">
        <f>VLOOKUP(K8,mappings!$A$2:$B$13,2,FALSE)</f>
        <v>3</v>
      </c>
      <c r="M8" t="s">
        <v>20</v>
      </c>
      <c r="N8" t="str">
        <f>VLOOKUP(E8,mappings!$L$1:$M$110,2,FALSE)</f>
        <v>No answer provided</v>
      </c>
      <c r="O8" t="str">
        <f>VLOOKUP(E8,mappings!L:O,3,FALSE)</f>
        <v>No answer provided</v>
      </c>
      <c r="P8" t="str">
        <f>VLOOKUP(E8,mappings!L:P,4,FALSE)</f>
        <v>No answer provided</v>
      </c>
    </row>
    <row r="9" spans="1:16" s="6" customFormat="1" x14ac:dyDescent="0.2">
      <c r="A9" s="6">
        <v>8</v>
      </c>
      <c r="B9" s="6">
        <v>3886913587</v>
      </c>
      <c r="C9" s="6" t="s">
        <v>6</v>
      </c>
      <c r="D9" s="6" t="s">
        <v>8</v>
      </c>
      <c r="E9" s="6" t="s">
        <v>8</v>
      </c>
      <c r="F9" s="6" t="s">
        <v>8</v>
      </c>
      <c r="G9" s="7" t="str">
        <f>VLOOKUP(F9,mappings!$G$2:$H$6,2,FALSE)</f>
        <v>na</v>
      </c>
      <c r="H9" s="6" t="s">
        <v>8</v>
      </c>
      <c r="I9" s="7" t="str">
        <f>VLOOKUP(H9,mappings!$D$2:$E$6,2,FALSE)</f>
        <v>na</v>
      </c>
      <c r="J9" s="6" t="s">
        <v>8</v>
      </c>
      <c r="K9" s="6" t="s">
        <v>8</v>
      </c>
      <c r="L9" s="7" t="str">
        <f>VLOOKUP(K9,mappings!$A$2:$B$13,2,FALSE)</f>
        <v>na</v>
      </c>
      <c r="M9" s="6" t="s">
        <v>8</v>
      </c>
      <c r="N9" t="str">
        <f>VLOOKUP(E9,mappings!$L$1:$M$110,2,FALSE)</f>
        <v>No answer provided</v>
      </c>
      <c r="O9" t="str">
        <f>VLOOKUP(E9,mappings!L:O,3,FALSE)</f>
        <v>No answer provided</v>
      </c>
      <c r="P9" t="str">
        <f>VLOOKUP(E9,mappings!L:P,4,FALSE)</f>
        <v>No answer provided</v>
      </c>
    </row>
    <row r="10" spans="1:16" x14ac:dyDescent="0.2">
      <c r="A10">
        <v>9</v>
      </c>
      <c r="B10">
        <v>3886889048</v>
      </c>
      <c r="C10" t="s">
        <v>6</v>
      </c>
      <c r="D10" t="s">
        <v>21</v>
      </c>
      <c r="E10" t="s">
        <v>8</v>
      </c>
      <c r="F10" t="s">
        <v>9</v>
      </c>
      <c r="G10" s="2">
        <f>VLOOKUP(F10,mappings!$G$2:$H$6,2,FALSE)</f>
        <v>4</v>
      </c>
      <c r="H10" t="s">
        <v>161</v>
      </c>
      <c r="I10" s="2">
        <f>VLOOKUP(H10,mappings!$D$2:$E$6,2,FALSE)</f>
        <v>2</v>
      </c>
      <c r="J10" t="s">
        <v>10</v>
      </c>
      <c r="K10" t="s">
        <v>13</v>
      </c>
      <c r="L10" s="2">
        <f>VLOOKUP(K10,mappings!$A$2:$B$13,2,FALSE)</f>
        <v>11</v>
      </c>
      <c r="M10" t="s">
        <v>24</v>
      </c>
      <c r="N10" t="str">
        <f>VLOOKUP(E10,mappings!$L$1:$M$110,2,FALSE)</f>
        <v>No answer provided</v>
      </c>
      <c r="O10" t="str">
        <f>VLOOKUP(E10,mappings!L:O,3,FALSE)</f>
        <v>No answer provided</v>
      </c>
      <c r="P10" t="str">
        <f>VLOOKUP(E10,mappings!L:P,4,FALSE)</f>
        <v>No answer provided</v>
      </c>
    </row>
    <row r="11" spans="1:16" x14ac:dyDescent="0.2">
      <c r="A11">
        <v>10</v>
      </c>
      <c r="B11">
        <v>3886848806</v>
      </c>
      <c r="C11" t="s">
        <v>6</v>
      </c>
      <c r="D11" t="s">
        <v>7</v>
      </c>
      <c r="E11" t="s">
        <v>8</v>
      </c>
      <c r="F11" t="s">
        <v>9</v>
      </c>
      <c r="G11" s="2">
        <f>VLOOKUP(F11,mappings!$G$2:$H$6,2,FALSE)</f>
        <v>4</v>
      </c>
      <c r="H11" t="s">
        <v>161</v>
      </c>
      <c r="I11" s="2">
        <f>VLOOKUP(H11,mappings!$D$2:$E$6,2,FALSE)</f>
        <v>2</v>
      </c>
      <c r="J11" t="s">
        <v>10</v>
      </c>
      <c r="K11" t="s">
        <v>18</v>
      </c>
      <c r="L11" s="2">
        <f>VLOOKUP(K11,mappings!$A$2:$B$13,2,FALSE)</f>
        <v>8</v>
      </c>
      <c r="M11" t="s">
        <v>25</v>
      </c>
      <c r="N11" t="str">
        <f>VLOOKUP(E11,mappings!$L$1:$M$110,2,FALSE)</f>
        <v>No answer provided</v>
      </c>
      <c r="O11" t="str">
        <f>VLOOKUP(E11,mappings!L:O,3,FALSE)</f>
        <v>No answer provided</v>
      </c>
      <c r="P11" t="str">
        <f>VLOOKUP(E11,mappings!L:P,4,FALSE)</f>
        <v>No answer provided</v>
      </c>
    </row>
    <row r="12" spans="1:16" x14ac:dyDescent="0.2">
      <c r="A12">
        <v>11</v>
      </c>
      <c r="B12">
        <v>3886782609</v>
      </c>
      <c r="C12" t="s">
        <v>26</v>
      </c>
      <c r="D12" t="s">
        <v>27</v>
      </c>
      <c r="E12" t="s">
        <v>8</v>
      </c>
      <c r="F12" t="s">
        <v>28</v>
      </c>
      <c r="G12" s="2">
        <f>VLOOKUP(F12,mappings!$G$2:$H$6,2,FALSE)</f>
        <v>2</v>
      </c>
      <c r="H12" t="s">
        <v>162</v>
      </c>
      <c r="I12" s="2">
        <f>VLOOKUP(H12,mappings!$D$2:$E$6,2,FALSE)</f>
        <v>1</v>
      </c>
      <c r="J12" t="s">
        <v>10</v>
      </c>
      <c r="K12" t="s">
        <v>29</v>
      </c>
      <c r="L12" s="2">
        <f>VLOOKUP(K12,mappings!$A$2:$B$13,2,FALSE)</f>
        <v>1</v>
      </c>
      <c r="M12" t="s">
        <v>24</v>
      </c>
      <c r="N12" t="str">
        <f>VLOOKUP(E12,mappings!$L$1:$M$110,2,FALSE)</f>
        <v>No answer provided</v>
      </c>
      <c r="O12" t="str">
        <f>VLOOKUP(E12,mappings!L:O,3,FALSE)</f>
        <v>No answer provided</v>
      </c>
      <c r="P12" t="str">
        <f>VLOOKUP(E12,mappings!L:P,4,FALSE)</f>
        <v>No answer provided</v>
      </c>
    </row>
    <row r="13" spans="1:16" x14ac:dyDescent="0.2">
      <c r="A13">
        <v>12</v>
      </c>
      <c r="B13">
        <v>3886416355</v>
      </c>
      <c r="C13" t="s">
        <v>26</v>
      </c>
      <c r="D13" t="s">
        <v>7</v>
      </c>
      <c r="E13" t="s">
        <v>8</v>
      </c>
      <c r="F13" t="s">
        <v>16</v>
      </c>
      <c r="G13" s="2">
        <f>VLOOKUP(F13,mappings!$G$2:$H$6,2,FALSE)</f>
        <v>3</v>
      </c>
      <c r="H13" t="s">
        <v>161</v>
      </c>
      <c r="I13" s="2">
        <f>VLOOKUP(H13,mappings!$D$2:$E$6,2,FALSE)</f>
        <v>2</v>
      </c>
      <c r="J13" t="s">
        <v>10</v>
      </c>
      <c r="K13" t="s">
        <v>14</v>
      </c>
      <c r="L13" s="2">
        <f>VLOOKUP(K13,mappings!$A$2:$B$13,2,FALSE)</f>
        <v>6</v>
      </c>
      <c r="M13" t="s">
        <v>30</v>
      </c>
      <c r="N13" t="str">
        <f>VLOOKUP(E13,mappings!$L$1:$M$110,2,FALSE)</f>
        <v>No answer provided</v>
      </c>
      <c r="O13" t="str">
        <f>VLOOKUP(E13,mappings!L:O,3,FALSE)</f>
        <v>No answer provided</v>
      </c>
      <c r="P13" t="str">
        <f>VLOOKUP(E13,mappings!L:P,4,FALSE)</f>
        <v>No answer provided</v>
      </c>
    </row>
    <row r="14" spans="1:16" s="6" customFormat="1" x14ac:dyDescent="0.2">
      <c r="A14" s="6">
        <v>13</v>
      </c>
      <c r="B14" s="6">
        <v>3886356706</v>
      </c>
      <c r="C14" s="6" t="s">
        <v>26</v>
      </c>
      <c r="D14" s="6" t="s">
        <v>8</v>
      </c>
      <c r="E14" s="6" t="s">
        <v>8</v>
      </c>
      <c r="F14" s="6" t="s">
        <v>8</v>
      </c>
      <c r="G14" s="7" t="str">
        <f>VLOOKUP(F14,mappings!$G$2:$H$6,2,FALSE)</f>
        <v>na</v>
      </c>
      <c r="H14" s="6" t="s">
        <v>8</v>
      </c>
      <c r="I14" s="7" t="str">
        <f>VLOOKUP(H14,mappings!$D$2:$E$6,2,FALSE)</f>
        <v>na</v>
      </c>
      <c r="J14" s="6" t="s">
        <v>8</v>
      </c>
      <c r="K14" s="6" t="s">
        <v>8</v>
      </c>
      <c r="L14" s="7" t="str">
        <f>VLOOKUP(K14,mappings!$A$2:$B$13,2,FALSE)</f>
        <v>na</v>
      </c>
      <c r="M14" s="6" t="s">
        <v>8</v>
      </c>
      <c r="N14" t="str">
        <f>VLOOKUP(E14,mappings!$L$1:$M$110,2,FALSE)</f>
        <v>No answer provided</v>
      </c>
      <c r="O14" t="str">
        <f>VLOOKUP(E14,mappings!L:O,3,FALSE)</f>
        <v>No answer provided</v>
      </c>
      <c r="P14" t="str">
        <f>VLOOKUP(E14,mappings!L:P,4,FALSE)</f>
        <v>No answer provided</v>
      </c>
    </row>
    <row r="15" spans="1:16" x14ac:dyDescent="0.2">
      <c r="A15">
        <v>14</v>
      </c>
      <c r="B15">
        <v>3886328736</v>
      </c>
      <c r="C15" t="s">
        <v>6</v>
      </c>
      <c r="D15" t="s">
        <v>31</v>
      </c>
      <c r="E15" t="s">
        <v>8</v>
      </c>
      <c r="F15" t="s">
        <v>9</v>
      </c>
      <c r="G15" s="2">
        <f>VLOOKUP(F15,mappings!$G$2:$H$6,2,FALSE)</f>
        <v>4</v>
      </c>
      <c r="H15" t="s">
        <v>161</v>
      </c>
      <c r="I15" s="2">
        <f>VLOOKUP(H15,mappings!$D$2:$E$6,2,FALSE)</f>
        <v>2</v>
      </c>
      <c r="J15" t="s">
        <v>10</v>
      </c>
      <c r="K15" t="s">
        <v>29</v>
      </c>
      <c r="L15" s="2">
        <f>VLOOKUP(K15,mappings!$A$2:$B$13,2,FALSE)</f>
        <v>1</v>
      </c>
      <c r="M15" t="s">
        <v>15</v>
      </c>
      <c r="N15" t="str">
        <f>VLOOKUP(E15,mappings!$L$1:$M$110,2,FALSE)</f>
        <v>No answer provided</v>
      </c>
      <c r="O15" t="str">
        <f>VLOOKUP(E15,mappings!L:O,3,FALSE)</f>
        <v>No answer provided</v>
      </c>
      <c r="P15" t="str">
        <f>VLOOKUP(E15,mappings!L:P,4,FALSE)</f>
        <v>No answer provided</v>
      </c>
    </row>
    <row r="16" spans="1:16" x14ac:dyDescent="0.2">
      <c r="A16">
        <v>15</v>
      </c>
      <c r="B16">
        <v>3886284495</v>
      </c>
      <c r="C16" t="s">
        <v>26</v>
      </c>
      <c r="D16" t="s">
        <v>21</v>
      </c>
      <c r="E16" t="s">
        <v>8</v>
      </c>
      <c r="F16" t="s">
        <v>22</v>
      </c>
      <c r="G16" s="2">
        <f>VLOOKUP(F16,mappings!$G$2:$H$6,2,FALSE)</f>
        <v>1</v>
      </c>
      <c r="H16" t="s">
        <v>162</v>
      </c>
      <c r="I16" s="2">
        <f>VLOOKUP(H16,mappings!$D$2:$E$6,2,FALSE)</f>
        <v>1</v>
      </c>
      <c r="J16" t="s">
        <v>10</v>
      </c>
      <c r="K16" t="s">
        <v>32</v>
      </c>
      <c r="L16" s="2">
        <f>VLOOKUP(K16,mappings!$A$2:$B$13,2,FALSE)</f>
        <v>2</v>
      </c>
      <c r="M16" t="s">
        <v>15</v>
      </c>
      <c r="N16" t="str">
        <f>VLOOKUP(E16,mappings!$L$1:$M$110,2,FALSE)</f>
        <v>No answer provided</v>
      </c>
      <c r="O16" t="str">
        <f>VLOOKUP(E16,mappings!L:O,3,FALSE)</f>
        <v>No answer provided</v>
      </c>
      <c r="P16" t="str">
        <f>VLOOKUP(E16,mappings!L:P,4,FALSE)</f>
        <v>No answer provided</v>
      </c>
    </row>
    <row r="17" spans="1:16" x14ac:dyDescent="0.2">
      <c r="A17">
        <v>16</v>
      </c>
      <c r="B17">
        <v>3886283555</v>
      </c>
      <c r="C17" t="s">
        <v>6</v>
      </c>
      <c r="D17" t="s">
        <v>27</v>
      </c>
      <c r="E17" t="s">
        <v>8</v>
      </c>
      <c r="F17" t="s">
        <v>16</v>
      </c>
      <c r="G17" s="2">
        <f>VLOOKUP(F17,mappings!$G$2:$H$6,2,FALSE)</f>
        <v>3</v>
      </c>
      <c r="H17" t="s">
        <v>162</v>
      </c>
      <c r="I17" s="2">
        <f>VLOOKUP(H17,mappings!$D$2:$E$6,2,FALSE)</f>
        <v>1</v>
      </c>
      <c r="J17" t="s">
        <v>10</v>
      </c>
      <c r="K17" t="s">
        <v>33</v>
      </c>
      <c r="L17" s="2">
        <f>VLOOKUP(K17,mappings!$A$2:$B$13,2,FALSE)</f>
        <v>5</v>
      </c>
      <c r="M17" t="s">
        <v>15</v>
      </c>
      <c r="N17" t="str">
        <f>VLOOKUP(E17,mappings!$L$1:$M$110,2,FALSE)</f>
        <v>No answer provided</v>
      </c>
      <c r="O17" t="str">
        <f>VLOOKUP(E17,mappings!L:O,3,FALSE)</f>
        <v>No answer provided</v>
      </c>
      <c r="P17" t="str">
        <f>VLOOKUP(E17,mappings!L:P,4,FALSE)</f>
        <v>No answer provided</v>
      </c>
    </row>
    <row r="18" spans="1:16" x14ac:dyDescent="0.2">
      <c r="A18">
        <v>17</v>
      </c>
      <c r="B18">
        <v>3886272525</v>
      </c>
      <c r="C18" t="s">
        <v>6</v>
      </c>
      <c r="D18" t="s">
        <v>7</v>
      </c>
      <c r="E18" t="s">
        <v>8</v>
      </c>
      <c r="F18" t="s">
        <v>9</v>
      </c>
      <c r="G18" s="2">
        <f>VLOOKUP(F18,mappings!$G$2:$H$6,2,FALSE)</f>
        <v>4</v>
      </c>
      <c r="H18" t="s">
        <v>161</v>
      </c>
      <c r="I18" s="2">
        <f>VLOOKUP(H18,mappings!$D$2:$E$6,2,FALSE)</f>
        <v>2</v>
      </c>
      <c r="J18" t="s">
        <v>10</v>
      </c>
      <c r="K18" t="s">
        <v>32</v>
      </c>
      <c r="L18" s="2">
        <f>VLOOKUP(K18,mappings!$A$2:$B$13,2,FALSE)</f>
        <v>2</v>
      </c>
      <c r="M18" t="s">
        <v>34</v>
      </c>
      <c r="N18" t="str">
        <f>VLOOKUP(E18,mappings!$L$1:$M$110,2,FALSE)</f>
        <v>No answer provided</v>
      </c>
      <c r="O18" t="str">
        <f>VLOOKUP(E18,mappings!L:O,3,FALSE)</f>
        <v>No answer provided</v>
      </c>
      <c r="P18" t="str">
        <f>VLOOKUP(E18,mappings!L:P,4,FALSE)</f>
        <v>No answer provided</v>
      </c>
    </row>
    <row r="19" spans="1:16" x14ac:dyDescent="0.2">
      <c r="A19">
        <v>18</v>
      </c>
      <c r="B19">
        <v>3886261814</v>
      </c>
      <c r="C19" t="s">
        <v>6</v>
      </c>
      <c r="D19" t="s">
        <v>1</v>
      </c>
      <c r="E19" t="s">
        <v>35</v>
      </c>
      <c r="F19" t="s">
        <v>9</v>
      </c>
      <c r="G19" s="2">
        <f>VLOOKUP(F19,mappings!$G$2:$H$6,2,FALSE)</f>
        <v>4</v>
      </c>
      <c r="H19" t="s">
        <v>161</v>
      </c>
      <c r="I19" s="2">
        <f>VLOOKUP(H19,mappings!$D$2:$E$6,2,FALSE)</f>
        <v>2</v>
      </c>
      <c r="J19" t="s">
        <v>10</v>
      </c>
      <c r="K19" t="s">
        <v>23</v>
      </c>
      <c r="L19" s="2">
        <f>VLOOKUP(K19,mappings!$A$2:$B$13,2,FALSE)</f>
        <v>3</v>
      </c>
      <c r="M19" t="s">
        <v>15</v>
      </c>
      <c r="N19" t="str">
        <f>VLOOKUP(E19,mappings!$L$1:$M$110,2,FALSE)</f>
        <v>Other or unknown</v>
      </c>
      <c r="O19" t="str">
        <f>VLOOKUP(E19,mappings!L:O,3,FALSE)</f>
        <v>App</v>
      </c>
      <c r="P19" t="str">
        <f>VLOOKUP(E19,mappings!L:P,4,FALSE)</f>
        <v>Android</v>
      </c>
    </row>
    <row r="20" spans="1:16" x14ac:dyDescent="0.2">
      <c r="A20">
        <v>19</v>
      </c>
      <c r="B20">
        <v>3886258514</v>
      </c>
      <c r="C20" t="s">
        <v>6</v>
      </c>
      <c r="D20" t="s">
        <v>31</v>
      </c>
      <c r="E20" t="s">
        <v>8</v>
      </c>
      <c r="F20" t="s">
        <v>22</v>
      </c>
      <c r="G20" s="2">
        <f>VLOOKUP(F20,mappings!$G$2:$H$6,2,FALSE)</f>
        <v>1</v>
      </c>
      <c r="H20" t="s">
        <v>161</v>
      </c>
      <c r="I20" s="2">
        <f>VLOOKUP(H20,mappings!$D$2:$E$6,2,FALSE)</f>
        <v>2</v>
      </c>
      <c r="J20" t="s">
        <v>36</v>
      </c>
      <c r="K20" t="s">
        <v>23</v>
      </c>
      <c r="L20" s="2">
        <f>VLOOKUP(K20,mappings!$A$2:$B$13,2,FALSE)</f>
        <v>3</v>
      </c>
      <c r="M20" t="s">
        <v>20</v>
      </c>
      <c r="N20" t="str">
        <f>VLOOKUP(E20,mappings!$L$1:$M$110,2,FALSE)</f>
        <v>No answer provided</v>
      </c>
      <c r="O20" t="str">
        <f>VLOOKUP(E20,mappings!L:O,3,FALSE)</f>
        <v>No answer provided</v>
      </c>
      <c r="P20" t="str">
        <f>VLOOKUP(E20,mappings!L:P,4,FALSE)</f>
        <v>No answer provided</v>
      </c>
    </row>
    <row r="21" spans="1:16" x14ac:dyDescent="0.2">
      <c r="A21">
        <v>20</v>
      </c>
      <c r="B21">
        <v>3886256409</v>
      </c>
      <c r="C21" t="s">
        <v>26</v>
      </c>
      <c r="D21" t="s">
        <v>7</v>
      </c>
      <c r="E21" t="s">
        <v>8</v>
      </c>
      <c r="F21" t="s">
        <v>9</v>
      </c>
      <c r="G21" s="2">
        <f>VLOOKUP(F21,mappings!$G$2:$H$6,2,FALSE)</f>
        <v>4</v>
      </c>
      <c r="H21" t="s">
        <v>162</v>
      </c>
      <c r="I21" s="2">
        <f>VLOOKUP(H21,mappings!$D$2:$E$6,2,FALSE)</f>
        <v>1</v>
      </c>
      <c r="J21" t="s">
        <v>10</v>
      </c>
      <c r="K21" t="s">
        <v>23</v>
      </c>
      <c r="L21" s="2">
        <f>VLOOKUP(K21,mappings!$A$2:$B$13,2,FALSE)</f>
        <v>3</v>
      </c>
      <c r="M21" t="s">
        <v>12</v>
      </c>
      <c r="N21" t="str">
        <f>VLOOKUP(E21,mappings!$L$1:$M$110,2,FALSE)</f>
        <v>No answer provided</v>
      </c>
      <c r="O21" t="str">
        <f>VLOOKUP(E21,mappings!L:O,3,FALSE)</f>
        <v>No answer provided</v>
      </c>
      <c r="P21" t="str">
        <f>VLOOKUP(E21,mappings!L:P,4,FALSE)</f>
        <v>No answer provided</v>
      </c>
    </row>
    <row r="22" spans="1:16" x14ac:dyDescent="0.2">
      <c r="A22">
        <v>21</v>
      </c>
      <c r="B22">
        <v>3886226091</v>
      </c>
      <c r="C22" t="s">
        <v>6</v>
      </c>
      <c r="D22" t="s">
        <v>7</v>
      </c>
      <c r="E22" t="s">
        <v>8</v>
      </c>
      <c r="F22" t="s">
        <v>28</v>
      </c>
      <c r="G22" s="2">
        <f>VLOOKUP(F22,mappings!$G$2:$H$6,2,FALSE)</f>
        <v>2</v>
      </c>
      <c r="H22" t="s">
        <v>162</v>
      </c>
      <c r="I22" s="2">
        <f>VLOOKUP(H22,mappings!$D$2:$E$6,2,FALSE)</f>
        <v>1</v>
      </c>
      <c r="J22" t="s">
        <v>10</v>
      </c>
      <c r="K22" t="s">
        <v>23</v>
      </c>
      <c r="L22" s="2">
        <f>VLOOKUP(K22,mappings!$A$2:$B$13,2,FALSE)</f>
        <v>3</v>
      </c>
      <c r="M22" t="s">
        <v>12</v>
      </c>
      <c r="N22" t="str">
        <f>VLOOKUP(E22,mappings!$L$1:$M$110,2,FALSE)</f>
        <v>No answer provided</v>
      </c>
      <c r="O22" t="str">
        <f>VLOOKUP(E22,mappings!L:O,3,FALSE)</f>
        <v>No answer provided</v>
      </c>
      <c r="P22" t="str">
        <f>VLOOKUP(E22,mappings!L:P,4,FALSE)</f>
        <v>No answer provided</v>
      </c>
    </row>
    <row r="23" spans="1:16" x14ac:dyDescent="0.2">
      <c r="A23">
        <v>22</v>
      </c>
      <c r="B23">
        <v>3886201383</v>
      </c>
      <c r="C23" t="s">
        <v>6</v>
      </c>
      <c r="D23" t="s">
        <v>31</v>
      </c>
      <c r="E23" t="s">
        <v>8</v>
      </c>
      <c r="F23" t="s">
        <v>9</v>
      </c>
      <c r="G23" s="2">
        <f>VLOOKUP(F23,mappings!$G$2:$H$6,2,FALSE)</f>
        <v>4</v>
      </c>
      <c r="H23" t="s">
        <v>161</v>
      </c>
      <c r="I23" s="2">
        <f>VLOOKUP(H23,mappings!$D$2:$E$6,2,FALSE)</f>
        <v>2</v>
      </c>
      <c r="J23" t="s">
        <v>10</v>
      </c>
      <c r="K23" t="s">
        <v>18</v>
      </c>
      <c r="L23" s="2">
        <f>VLOOKUP(K23,mappings!$A$2:$B$13,2,FALSE)</f>
        <v>8</v>
      </c>
      <c r="M23" t="s">
        <v>20</v>
      </c>
      <c r="N23" t="str">
        <f>VLOOKUP(E23,mappings!$L$1:$M$110,2,FALSE)</f>
        <v>No answer provided</v>
      </c>
      <c r="O23" t="str">
        <f>VLOOKUP(E23,mappings!L:O,3,FALSE)</f>
        <v>No answer provided</v>
      </c>
      <c r="P23" t="str">
        <f>VLOOKUP(E23,mappings!L:P,4,FALSE)</f>
        <v>No answer provided</v>
      </c>
    </row>
    <row r="24" spans="1:16" x14ac:dyDescent="0.2">
      <c r="A24">
        <v>23</v>
      </c>
      <c r="B24">
        <v>3886197152</v>
      </c>
      <c r="C24" t="s">
        <v>6</v>
      </c>
      <c r="D24" t="s">
        <v>21</v>
      </c>
      <c r="E24" t="s">
        <v>8</v>
      </c>
      <c r="F24" t="s">
        <v>22</v>
      </c>
      <c r="G24" s="2">
        <f>VLOOKUP(F24,mappings!$G$2:$H$6,2,FALSE)</f>
        <v>1</v>
      </c>
      <c r="H24" t="s">
        <v>161</v>
      </c>
      <c r="I24" s="2">
        <f>VLOOKUP(H24,mappings!$D$2:$E$6,2,FALSE)</f>
        <v>2</v>
      </c>
      <c r="J24" t="s">
        <v>10</v>
      </c>
      <c r="K24" t="s">
        <v>13</v>
      </c>
      <c r="L24" s="2">
        <f>VLOOKUP(K24,mappings!$A$2:$B$13,2,FALSE)</f>
        <v>11</v>
      </c>
      <c r="M24" t="s">
        <v>34</v>
      </c>
      <c r="N24" t="str">
        <f>VLOOKUP(E24,mappings!$L$1:$M$110,2,FALSE)</f>
        <v>No answer provided</v>
      </c>
      <c r="O24" t="str">
        <f>VLOOKUP(E24,mappings!L:O,3,FALSE)</f>
        <v>No answer provided</v>
      </c>
      <c r="P24" t="str">
        <f>VLOOKUP(E24,mappings!L:P,4,FALSE)</f>
        <v>No answer provided</v>
      </c>
    </row>
    <row r="25" spans="1:16" x14ac:dyDescent="0.2">
      <c r="A25">
        <v>24</v>
      </c>
      <c r="B25">
        <v>3886132282</v>
      </c>
      <c r="C25" t="s">
        <v>6</v>
      </c>
      <c r="D25" t="s">
        <v>7</v>
      </c>
      <c r="E25" t="s">
        <v>8</v>
      </c>
      <c r="F25" t="s">
        <v>9</v>
      </c>
      <c r="G25" s="2">
        <f>VLOOKUP(F25,mappings!$G$2:$H$6,2,FALSE)</f>
        <v>4</v>
      </c>
      <c r="H25" t="s">
        <v>161</v>
      </c>
      <c r="I25" s="2">
        <f>VLOOKUP(H25,mappings!$D$2:$E$6,2,FALSE)</f>
        <v>2</v>
      </c>
      <c r="J25" t="s">
        <v>10</v>
      </c>
      <c r="K25" t="s">
        <v>23</v>
      </c>
      <c r="L25" s="2">
        <f>VLOOKUP(K25,mappings!$A$2:$B$13,2,FALSE)</f>
        <v>3</v>
      </c>
      <c r="M25" t="s">
        <v>30</v>
      </c>
      <c r="N25" t="str">
        <f>VLOOKUP(E25,mappings!$L$1:$M$110,2,FALSE)</f>
        <v>No answer provided</v>
      </c>
      <c r="O25" t="str">
        <f>VLOOKUP(E25,mappings!L:O,3,FALSE)</f>
        <v>No answer provided</v>
      </c>
      <c r="P25" t="str">
        <f>VLOOKUP(E25,mappings!L:P,4,FALSE)</f>
        <v>No answer provided</v>
      </c>
    </row>
    <row r="26" spans="1:16" s="6" customFormat="1" x14ac:dyDescent="0.2">
      <c r="A26" s="6">
        <v>25</v>
      </c>
      <c r="B26" s="6">
        <v>3886121810</v>
      </c>
      <c r="C26" s="6" t="s">
        <v>26</v>
      </c>
      <c r="D26" s="6" t="s">
        <v>8</v>
      </c>
      <c r="E26" s="6" t="s">
        <v>8</v>
      </c>
      <c r="F26" s="6" t="s">
        <v>8</v>
      </c>
      <c r="G26" s="7" t="str">
        <f>VLOOKUP(F26,mappings!$G$2:$H$6,2,FALSE)</f>
        <v>na</v>
      </c>
      <c r="H26" s="6" t="s">
        <v>8</v>
      </c>
      <c r="I26" s="7" t="str">
        <f>VLOOKUP(H26,mappings!$D$2:$E$6,2,FALSE)</f>
        <v>na</v>
      </c>
      <c r="J26" s="6" t="s">
        <v>8</v>
      </c>
      <c r="K26" s="6" t="s">
        <v>8</v>
      </c>
      <c r="L26" s="7" t="str">
        <f>VLOOKUP(K26,mappings!$A$2:$B$13,2,FALSE)</f>
        <v>na</v>
      </c>
      <c r="M26" s="6" t="s">
        <v>8</v>
      </c>
      <c r="N26" t="str">
        <f>VLOOKUP(E26,mappings!$L$1:$M$110,2,FALSE)</f>
        <v>No answer provided</v>
      </c>
      <c r="O26" t="str">
        <f>VLOOKUP(E26,mappings!L:O,3,FALSE)</f>
        <v>No answer provided</v>
      </c>
      <c r="P26" t="str">
        <f>VLOOKUP(E26,mappings!L:P,4,FALSE)</f>
        <v>No answer provided</v>
      </c>
    </row>
    <row r="27" spans="1:16" x14ac:dyDescent="0.2">
      <c r="A27">
        <v>26</v>
      </c>
      <c r="B27">
        <v>3886114640</v>
      </c>
      <c r="C27" t="s">
        <v>6</v>
      </c>
      <c r="D27" t="s">
        <v>1</v>
      </c>
      <c r="E27" t="s">
        <v>37</v>
      </c>
      <c r="F27" t="s">
        <v>22</v>
      </c>
      <c r="G27" s="2">
        <f>VLOOKUP(F27,mappings!$G$2:$H$6,2,FALSE)</f>
        <v>1</v>
      </c>
      <c r="H27" t="s">
        <v>161</v>
      </c>
      <c r="I27" s="2">
        <f>VLOOKUP(H27,mappings!$D$2:$E$6,2,FALSE)</f>
        <v>2</v>
      </c>
      <c r="J27" t="s">
        <v>10</v>
      </c>
      <c r="K27" t="s">
        <v>33</v>
      </c>
      <c r="L27" s="2">
        <f>VLOOKUP(K27,mappings!$A$2:$B$13,2,FALSE)</f>
        <v>5</v>
      </c>
      <c r="M27" t="s">
        <v>15</v>
      </c>
      <c r="N27" t="str">
        <f>VLOOKUP(E27,mappings!$L$1:$M$110,2,FALSE)</f>
        <v>The Weather Channel</v>
      </c>
      <c r="O27" t="str">
        <f>VLOOKUP(E27,mappings!L:O,3,FALSE)</f>
        <v>Website</v>
      </c>
      <c r="P27" t="str">
        <f>VLOOKUP(E27,mappings!L:P,4,FALSE)</f>
        <v>Other or unkown</v>
      </c>
    </row>
    <row r="28" spans="1:16" x14ac:dyDescent="0.2">
      <c r="A28">
        <v>27</v>
      </c>
      <c r="B28">
        <v>3886112493</v>
      </c>
      <c r="C28" t="s">
        <v>6</v>
      </c>
      <c r="D28" t="s">
        <v>7</v>
      </c>
      <c r="E28" t="s">
        <v>8</v>
      </c>
      <c r="F28" t="s">
        <v>9</v>
      </c>
      <c r="G28" s="2">
        <f>VLOOKUP(F28,mappings!$G$2:$H$6,2,FALSE)</f>
        <v>4</v>
      </c>
      <c r="H28" t="s">
        <v>162</v>
      </c>
      <c r="I28" s="2">
        <f>VLOOKUP(H28,mappings!$D$2:$E$6,2,FALSE)</f>
        <v>1</v>
      </c>
      <c r="J28" t="s">
        <v>10</v>
      </c>
      <c r="K28" t="s">
        <v>32</v>
      </c>
      <c r="L28" s="2">
        <f>VLOOKUP(K28,mappings!$A$2:$B$13,2,FALSE)</f>
        <v>2</v>
      </c>
      <c r="M28" t="s">
        <v>30</v>
      </c>
      <c r="N28" t="str">
        <f>VLOOKUP(E28,mappings!$L$1:$M$110,2,FALSE)</f>
        <v>No answer provided</v>
      </c>
      <c r="O28" t="str">
        <f>VLOOKUP(E28,mappings!L:O,3,FALSE)</f>
        <v>No answer provided</v>
      </c>
      <c r="P28" t="str">
        <f>VLOOKUP(E28,mappings!L:P,4,FALSE)</f>
        <v>No answer provided</v>
      </c>
    </row>
    <row r="29" spans="1:16" x14ac:dyDescent="0.2">
      <c r="A29">
        <v>28</v>
      </c>
      <c r="B29">
        <v>3886110900</v>
      </c>
      <c r="C29" t="s">
        <v>6</v>
      </c>
      <c r="D29" t="s">
        <v>31</v>
      </c>
      <c r="E29" t="s">
        <v>8</v>
      </c>
      <c r="F29" t="s">
        <v>16</v>
      </c>
      <c r="G29" s="2">
        <f>VLOOKUP(F29,mappings!$G$2:$H$6,2,FALSE)</f>
        <v>3</v>
      </c>
      <c r="H29" t="s">
        <v>161</v>
      </c>
      <c r="I29" s="2">
        <f>VLOOKUP(H29,mappings!$D$2:$E$6,2,FALSE)</f>
        <v>2</v>
      </c>
      <c r="J29" t="s">
        <v>10</v>
      </c>
      <c r="K29" t="s">
        <v>23</v>
      </c>
      <c r="L29" s="2">
        <f>VLOOKUP(K29,mappings!$A$2:$B$13,2,FALSE)</f>
        <v>3</v>
      </c>
      <c r="M29" t="s">
        <v>38</v>
      </c>
      <c r="N29" t="str">
        <f>VLOOKUP(E29,mappings!$L$1:$M$110,2,FALSE)</f>
        <v>No answer provided</v>
      </c>
      <c r="O29" t="str">
        <f>VLOOKUP(E29,mappings!L:O,3,FALSE)</f>
        <v>No answer provided</v>
      </c>
      <c r="P29" t="str">
        <f>VLOOKUP(E29,mappings!L:P,4,FALSE)</f>
        <v>No answer provided</v>
      </c>
    </row>
    <row r="30" spans="1:16" x14ac:dyDescent="0.2">
      <c r="A30">
        <v>29</v>
      </c>
      <c r="B30">
        <v>3886102001</v>
      </c>
      <c r="C30" t="s">
        <v>6</v>
      </c>
      <c r="D30" t="s">
        <v>21</v>
      </c>
      <c r="E30" t="s">
        <v>8</v>
      </c>
      <c r="F30" t="s">
        <v>9</v>
      </c>
      <c r="G30" s="2">
        <f>VLOOKUP(F30,mappings!$G$2:$H$6,2,FALSE)</f>
        <v>4</v>
      </c>
      <c r="H30" t="s">
        <v>163</v>
      </c>
      <c r="I30" s="2">
        <f>VLOOKUP(H30,mappings!$D$2:$E$6,2,FALSE)</f>
        <v>3</v>
      </c>
      <c r="J30" t="s">
        <v>36</v>
      </c>
      <c r="K30" t="s">
        <v>39</v>
      </c>
      <c r="L30" s="2">
        <f>VLOOKUP(K30,mappings!$A$2:$B$13,2,FALSE)</f>
        <v>10</v>
      </c>
      <c r="M30" t="s">
        <v>34</v>
      </c>
      <c r="N30" t="str">
        <f>VLOOKUP(E30,mappings!$L$1:$M$110,2,FALSE)</f>
        <v>No answer provided</v>
      </c>
      <c r="O30" t="str">
        <f>VLOOKUP(E30,mappings!L:O,3,FALSE)</f>
        <v>No answer provided</v>
      </c>
      <c r="P30" t="str">
        <f>VLOOKUP(E30,mappings!L:P,4,FALSE)</f>
        <v>No answer provided</v>
      </c>
    </row>
    <row r="31" spans="1:16" x14ac:dyDescent="0.2">
      <c r="A31">
        <v>30</v>
      </c>
      <c r="B31">
        <v>3886098922</v>
      </c>
      <c r="C31" t="s">
        <v>26</v>
      </c>
      <c r="D31" t="s">
        <v>40</v>
      </c>
      <c r="E31" t="s">
        <v>8</v>
      </c>
      <c r="F31" t="s">
        <v>22</v>
      </c>
      <c r="G31" s="2">
        <f>VLOOKUP(F31,mappings!$G$2:$H$6,2,FALSE)</f>
        <v>1</v>
      </c>
      <c r="H31" t="s">
        <v>162</v>
      </c>
      <c r="I31" s="2">
        <f>VLOOKUP(H31,mappings!$D$2:$E$6,2,FALSE)</f>
        <v>1</v>
      </c>
      <c r="J31" t="s">
        <v>10</v>
      </c>
      <c r="K31" t="s">
        <v>29</v>
      </c>
      <c r="L31" s="2">
        <f>VLOOKUP(K31,mappings!$A$2:$B$13,2,FALSE)</f>
        <v>1</v>
      </c>
      <c r="M31" t="s">
        <v>25</v>
      </c>
      <c r="N31" t="str">
        <f>VLOOKUP(E31,mappings!$L$1:$M$110,2,FALSE)</f>
        <v>No answer provided</v>
      </c>
      <c r="O31" t="str">
        <f>VLOOKUP(E31,mappings!L:O,3,FALSE)</f>
        <v>No answer provided</v>
      </c>
      <c r="P31" t="str">
        <f>VLOOKUP(E31,mappings!L:P,4,FALSE)</f>
        <v>No answer provided</v>
      </c>
    </row>
    <row r="32" spans="1:16" x14ac:dyDescent="0.2">
      <c r="A32">
        <v>31</v>
      </c>
      <c r="B32">
        <v>3886095863</v>
      </c>
      <c r="C32" t="s">
        <v>6</v>
      </c>
      <c r="D32" t="s">
        <v>21</v>
      </c>
      <c r="E32" t="s">
        <v>8</v>
      </c>
      <c r="F32" t="s">
        <v>28</v>
      </c>
      <c r="G32" s="2">
        <f>VLOOKUP(F32,mappings!$G$2:$H$6,2,FALSE)</f>
        <v>2</v>
      </c>
      <c r="H32" t="s">
        <v>163</v>
      </c>
      <c r="I32" s="2">
        <f>VLOOKUP(H32,mappings!$D$2:$E$6,2,FALSE)</f>
        <v>3</v>
      </c>
      <c r="J32" t="s">
        <v>36</v>
      </c>
      <c r="K32" t="s">
        <v>32</v>
      </c>
      <c r="L32" s="2">
        <f>VLOOKUP(K32,mappings!$A$2:$B$13,2,FALSE)</f>
        <v>2</v>
      </c>
      <c r="M32" t="s">
        <v>30</v>
      </c>
      <c r="N32" t="str">
        <f>VLOOKUP(E32,mappings!$L$1:$M$110,2,FALSE)</f>
        <v>No answer provided</v>
      </c>
      <c r="O32" t="str">
        <f>VLOOKUP(E32,mappings!L:O,3,FALSE)</f>
        <v>No answer provided</v>
      </c>
      <c r="P32" t="str">
        <f>VLOOKUP(E32,mappings!L:P,4,FALSE)</f>
        <v>No answer provided</v>
      </c>
    </row>
    <row r="33" spans="1:16" x14ac:dyDescent="0.2">
      <c r="A33">
        <v>32</v>
      </c>
      <c r="B33">
        <v>3886067670</v>
      </c>
      <c r="C33" t="s">
        <v>6</v>
      </c>
      <c r="D33" t="s">
        <v>41</v>
      </c>
      <c r="E33" t="s">
        <v>8</v>
      </c>
      <c r="F33" t="s">
        <v>16</v>
      </c>
      <c r="G33" s="2">
        <f>VLOOKUP(F33,mappings!$G$2:$H$6,2,FALSE)</f>
        <v>3</v>
      </c>
      <c r="H33" t="s">
        <v>161</v>
      </c>
      <c r="I33" s="2">
        <f>VLOOKUP(H33,mappings!$D$2:$E$6,2,FALSE)</f>
        <v>2</v>
      </c>
      <c r="J33" t="s">
        <v>10</v>
      </c>
      <c r="K33" t="s">
        <v>23</v>
      </c>
      <c r="L33" s="2">
        <f>VLOOKUP(K33,mappings!$A$2:$B$13,2,FALSE)</f>
        <v>3</v>
      </c>
      <c r="M33" t="s">
        <v>15</v>
      </c>
      <c r="N33" t="str">
        <f>VLOOKUP(E33,mappings!$L$1:$M$110,2,FALSE)</f>
        <v>No answer provided</v>
      </c>
      <c r="O33" t="str">
        <f>VLOOKUP(E33,mappings!L:O,3,FALSE)</f>
        <v>No answer provided</v>
      </c>
      <c r="P33" t="str">
        <f>VLOOKUP(E33,mappings!L:P,4,FALSE)</f>
        <v>No answer provided</v>
      </c>
    </row>
    <row r="34" spans="1:16" x14ac:dyDescent="0.2">
      <c r="A34">
        <v>33</v>
      </c>
      <c r="B34">
        <v>3886043003</v>
      </c>
      <c r="C34" t="s">
        <v>26</v>
      </c>
      <c r="D34" t="s">
        <v>7</v>
      </c>
      <c r="E34" t="s">
        <v>8</v>
      </c>
      <c r="F34" t="s">
        <v>16</v>
      </c>
      <c r="G34" s="2">
        <f>VLOOKUP(F34,mappings!$G$2:$H$6,2,FALSE)</f>
        <v>3</v>
      </c>
      <c r="H34" t="s">
        <v>162</v>
      </c>
      <c r="I34" s="2">
        <f>VLOOKUP(H34,mappings!$D$2:$E$6,2,FALSE)</f>
        <v>1</v>
      </c>
      <c r="J34" t="s">
        <v>10</v>
      </c>
      <c r="K34" t="s">
        <v>29</v>
      </c>
      <c r="L34" s="2">
        <f>VLOOKUP(K34,mappings!$A$2:$B$13,2,FALSE)</f>
        <v>1</v>
      </c>
      <c r="M34" t="s">
        <v>25</v>
      </c>
      <c r="N34" t="str">
        <f>VLOOKUP(E34,mappings!$L$1:$M$110,2,FALSE)</f>
        <v>No answer provided</v>
      </c>
      <c r="O34" t="str">
        <f>VLOOKUP(E34,mappings!L:O,3,FALSE)</f>
        <v>No answer provided</v>
      </c>
      <c r="P34" t="str">
        <f>VLOOKUP(E34,mappings!L:P,4,FALSE)</f>
        <v>No answer provided</v>
      </c>
    </row>
    <row r="35" spans="1:16" x14ac:dyDescent="0.2">
      <c r="A35">
        <v>34</v>
      </c>
      <c r="B35">
        <v>3886040050</v>
      </c>
      <c r="C35" t="s">
        <v>6</v>
      </c>
      <c r="D35" t="s">
        <v>27</v>
      </c>
      <c r="E35" t="s">
        <v>8</v>
      </c>
      <c r="F35" t="s">
        <v>9</v>
      </c>
      <c r="G35" s="2">
        <f>VLOOKUP(F35,mappings!$G$2:$H$6,2,FALSE)</f>
        <v>4</v>
      </c>
      <c r="H35" t="s">
        <v>162</v>
      </c>
      <c r="I35" s="2">
        <f>VLOOKUP(H35,mappings!$D$2:$E$6,2,FALSE)</f>
        <v>1</v>
      </c>
      <c r="J35" t="s">
        <v>10</v>
      </c>
      <c r="K35" t="s">
        <v>29</v>
      </c>
      <c r="L35" s="2">
        <f>VLOOKUP(K35,mappings!$A$2:$B$13,2,FALSE)</f>
        <v>1</v>
      </c>
      <c r="M35" t="s">
        <v>42</v>
      </c>
      <c r="N35" t="str">
        <f>VLOOKUP(E35,mappings!$L$1:$M$110,2,FALSE)</f>
        <v>No answer provided</v>
      </c>
      <c r="O35" t="str">
        <f>VLOOKUP(E35,mappings!L:O,3,FALSE)</f>
        <v>No answer provided</v>
      </c>
      <c r="P35" t="str">
        <f>VLOOKUP(E35,mappings!L:P,4,FALSE)</f>
        <v>No answer provided</v>
      </c>
    </row>
    <row r="36" spans="1:16" x14ac:dyDescent="0.2">
      <c r="A36">
        <v>35</v>
      </c>
      <c r="B36">
        <v>3886031017</v>
      </c>
      <c r="C36" t="s">
        <v>6</v>
      </c>
      <c r="D36" t="s">
        <v>7</v>
      </c>
      <c r="E36" t="s">
        <v>8</v>
      </c>
      <c r="F36" t="s">
        <v>9</v>
      </c>
      <c r="G36" s="2">
        <f>VLOOKUP(F36,mappings!$G$2:$H$6,2,FALSE)</f>
        <v>4</v>
      </c>
      <c r="H36" t="s">
        <v>43</v>
      </c>
      <c r="I36" s="2">
        <f>VLOOKUP(H36,mappings!$D$2:$E$6,2,FALSE)</f>
        <v>4</v>
      </c>
      <c r="J36" t="s">
        <v>36</v>
      </c>
      <c r="K36" t="s">
        <v>11</v>
      </c>
      <c r="L36" s="2">
        <f>VLOOKUP(K36,mappings!$A$2:$B$13,2,FALSE)</f>
        <v>4</v>
      </c>
      <c r="M36" t="s">
        <v>12</v>
      </c>
      <c r="N36" t="str">
        <f>VLOOKUP(E36,mappings!$L$1:$M$110,2,FALSE)</f>
        <v>No answer provided</v>
      </c>
      <c r="O36" t="str">
        <f>VLOOKUP(E36,mappings!L:O,3,FALSE)</f>
        <v>No answer provided</v>
      </c>
      <c r="P36" t="str">
        <f>VLOOKUP(E36,mappings!L:P,4,FALSE)</f>
        <v>No answer provided</v>
      </c>
    </row>
    <row r="37" spans="1:16" x14ac:dyDescent="0.2">
      <c r="A37">
        <v>36</v>
      </c>
      <c r="B37">
        <v>3886019381</v>
      </c>
      <c r="C37" t="s">
        <v>26</v>
      </c>
      <c r="D37" t="s">
        <v>27</v>
      </c>
      <c r="E37" t="s">
        <v>8</v>
      </c>
      <c r="F37" t="s">
        <v>16</v>
      </c>
      <c r="G37" s="2">
        <f>VLOOKUP(F37,mappings!$G$2:$H$6,2,FALSE)</f>
        <v>3</v>
      </c>
      <c r="H37" t="s">
        <v>162</v>
      </c>
      <c r="I37" s="2">
        <f>VLOOKUP(H37,mappings!$D$2:$E$6,2,FALSE)</f>
        <v>1</v>
      </c>
      <c r="J37" t="s">
        <v>10</v>
      </c>
      <c r="K37" t="s">
        <v>33</v>
      </c>
      <c r="L37" s="2">
        <f>VLOOKUP(K37,mappings!$A$2:$B$13,2,FALSE)</f>
        <v>5</v>
      </c>
      <c r="M37" t="s">
        <v>24</v>
      </c>
      <c r="N37" t="str">
        <f>VLOOKUP(E37,mappings!$L$1:$M$110,2,FALSE)</f>
        <v>No answer provided</v>
      </c>
      <c r="O37" t="str">
        <f>VLOOKUP(E37,mappings!L:O,3,FALSE)</f>
        <v>No answer provided</v>
      </c>
      <c r="P37" t="str">
        <f>VLOOKUP(E37,mappings!L:P,4,FALSE)</f>
        <v>No answer provided</v>
      </c>
    </row>
    <row r="38" spans="1:16" x14ac:dyDescent="0.2">
      <c r="A38">
        <v>37</v>
      </c>
      <c r="B38">
        <v>3886018765</v>
      </c>
      <c r="C38" t="s">
        <v>6</v>
      </c>
      <c r="D38" t="s">
        <v>7</v>
      </c>
      <c r="E38" t="s">
        <v>8</v>
      </c>
      <c r="F38" t="s">
        <v>9</v>
      </c>
      <c r="G38" s="2">
        <f>VLOOKUP(F38,mappings!$G$2:$H$6,2,FALSE)</f>
        <v>4</v>
      </c>
      <c r="H38" t="s">
        <v>162</v>
      </c>
      <c r="I38" s="2">
        <f>VLOOKUP(H38,mappings!$D$2:$E$6,2,FALSE)</f>
        <v>1</v>
      </c>
      <c r="J38" t="s">
        <v>10</v>
      </c>
      <c r="K38" t="s">
        <v>11</v>
      </c>
      <c r="L38" s="2">
        <f>VLOOKUP(K38,mappings!$A$2:$B$13,2,FALSE)</f>
        <v>4</v>
      </c>
      <c r="M38" t="s">
        <v>20</v>
      </c>
      <c r="N38" t="str">
        <f>VLOOKUP(E38,mappings!$L$1:$M$110,2,FALSE)</f>
        <v>No answer provided</v>
      </c>
      <c r="O38" t="str">
        <f>VLOOKUP(E38,mappings!L:O,3,FALSE)</f>
        <v>No answer provided</v>
      </c>
      <c r="P38" t="str">
        <f>VLOOKUP(E38,mappings!L:P,4,FALSE)</f>
        <v>No answer provided</v>
      </c>
    </row>
    <row r="39" spans="1:16" x14ac:dyDescent="0.2">
      <c r="A39">
        <v>38</v>
      </c>
      <c r="B39">
        <v>3886007951</v>
      </c>
      <c r="C39" t="s">
        <v>6</v>
      </c>
      <c r="D39" t="s">
        <v>1</v>
      </c>
      <c r="E39" t="s">
        <v>44</v>
      </c>
      <c r="F39" t="s">
        <v>9</v>
      </c>
      <c r="G39" s="2">
        <f>VLOOKUP(F39,mappings!$G$2:$H$6,2,FALSE)</f>
        <v>4</v>
      </c>
      <c r="H39" t="s">
        <v>161</v>
      </c>
      <c r="I39" s="2">
        <f>VLOOKUP(H39,mappings!$D$2:$E$6,2,FALSE)</f>
        <v>2</v>
      </c>
      <c r="J39" t="s">
        <v>10</v>
      </c>
      <c r="K39" t="s">
        <v>23</v>
      </c>
      <c r="L39" s="2">
        <f>VLOOKUP(K39,mappings!$A$2:$B$13,2,FALSE)</f>
        <v>3</v>
      </c>
      <c r="M39" t="s">
        <v>34</v>
      </c>
      <c r="N39" t="str">
        <f>VLOOKUP(E39,mappings!$L$1:$M$110,2,FALSE)</f>
        <v>Weatherbug</v>
      </c>
      <c r="O39" t="str">
        <f>VLOOKUP(E39,mappings!L:O,3,FALSE)</f>
        <v>Website</v>
      </c>
      <c r="P39" t="str">
        <f>VLOOKUP(E39,mappings!L:P,4,FALSE)</f>
        <v>Other or unkown</v>
      </c>
    </row>
    <row r="40" spans="1:16" x14ac:dyDescent="0.2">
      <c r="A40">
        <v>39</v>
      </c>
      <c r="B40">
        <v>3885984891</v>
      </c>
      <c r="C40" t="s">
        <v>6</v>
      </c>
      <c r="D40" t="s">
        <v>7</v>
      </c>
      <c r="E40" t="s">
        <v>8</v>
      </c>
      <c r="F40" t="s">
        <v>9</v>
      </c>
      <c r="G40" s="2">
        <f>VLOOKUP(F40,mappings!$G$2:$H$6,2,FALSE)</f>
        <v>4</v>
      </c>
      <c r="H40" t="s">
        <v>163</v>
      </c>
      <c r="I40" s="2">
        <f>VLOOKUP(H40,mappings!$D$2:$E$6,2,FALSE)</f>
        <v>3</v>
      </c>
      <c r="J40" t="s">
        <v>36</v>
      </c>
      <c r="K40" t="s">
        <v>11</v>
      </c>
      <c r="L40" s="2">
        <f>VLOOKUP(K40,mappings!$A$2:$B$13,2,FALSE)</f>
        <v>4</v>
      </c>
      <c r="M40" t="s">
        <v>24</v>
      </c>
      <c r="N40" t="str">
        <f>VLOOKUP(E40,mappings!$L$1:$M$110,2,FALSE)</f>
        <v>No answer provided</v>
      </c>
      <c r="O40" t="str">
        <f>VLOOKUP(E40,mappings!L:O,3,FALSE)</f>
        <v>No answer provided</v>
      </c>
      <c r="P40" t="str">
        <f>VLOOKUP(E40,mappings!L:P,4,FALSE)</f>
        <v>No answer provided</v>
      </c>
    </row>
    <row r="41" spans="1:16" x14ac:dyDescent="0.2">
      <c r="A41">
        <v>40</v>
      </c>
      <c r="B41">
        <v>3885983629</v>
      </c>
      <c r="C41" t="s">
        <v>6</v>
      </c>
      <c r="D41" t="s">
        <v>21</v>
      </c>
      <c r="E41" t="s">
        <v>8</v>
      </c>
      <c r="F41" t="s">
        <v>9</v>
      </c>
      <c r="G41" s="2">
        <f>VLOOKUP(F41,mappings!$G$2:$H$6,2,FALSE)</f>
        <v>4</v>
      </c>
      <c r="H41" t="s">
        <v>43</v>
      </c>
      <c r="I41" s="2">
        <f>VLOOKUP(H41,mappings!$D$2:$E$6,2,FALSE)</f>
        <v>4</v>
      </c>
      <c r="J41" t="s">
        <v>10</v>
      </c>
      <c r="K41" t="s">
        <v>13</v>
      </c>
      <c r="L41" s="2">
        <f>VLOOKUP(K41,mappings!$A$2:$B$13,2,FALSE)</f>
        <v>11</v>
      </c>
      <c r="M41" t="s">
        <v>12</v>
      </c>
      <c r="N41" t="str">
        <f>VLOOKUP(E41,mappings!$L$1:$M$110,2,FALSE)</f>
        <v>No answer provided</v>
      </c>
      <c r="O41" t="str">
        <f>VLOOKUP(E41,mappings!L:O,3,FALSE)</f>
        <v>No answer provided</v>
      </c>
      <c r="P41" t="str">
        <f>VLOOKUP(E41,mappings!L:P,4,FALSE)</f>
        <v>No answer provided</v>
      </c>
    </row>
    <row r="42" spans="1:16" x14ac:dyDescent="0.2">
      <c r="A42">
        <v>41</v>
      </c>
      <c r="B42">
        <v>3885983248</v>
      </c>
      <c r="C42" t="s">
        <v>6</v>
      </c>
      <c r="D42" t="s">
        <v>21</v>
      </c>
      <c r="E42" t="s">
        <v>8</v>
      </c>
      <c r="F42" t="s">
        <v>9</v>
      </c>
      <c r="G42" s="2">
        <f>VLOOKUP(F42,mappings!$G$2:$H$6,2,FALSE)</f>
        <v>4</v>
      </c>
      <c r="H42" t="s">
        <v>161</v>
      </c>
      <c r="I42" s="2">
        <f>VLOOKUP(H42,mappings!$D$2:$E$6,2,FALSE)</f>
        <v>2</v>
      </c>
      <c r="J42" t="s">
        <v>10</v>
      </c>
      <c r="K42" t="s">
        <v>13</v>
      </c>
      <c r="L42" s="2">
        <f>VLOOKUP(K42,mappings!$A$2:$B$13,2,FALSE)</f>
        <v>11</v>
      </c>
      <c r="M42" t="s">
        <v>15</v>
      </c>
      <c r="N42" t="str">
        <f>VLOOKUP(E42,mappings!$L$1:$M$110,2,FALSE)</f>
        <v>No answer provided</v>
      </c>
      <c r="O42" t="str">
        <f>VLOOKUP(E42,mappings!L:O,3,FALSE)</f>
        <v>No answer provided</v>
      </c>
      <c r="P42" t="str">
        <f>VLOOKUP(E42,mappings!L:P,4,FALSE)</f>
        <v>No answer provided</v>
      </c>
    </row>
    <row r="43" spans="1:16" x14ac:dyDescent="0.2">
      <c r="A43">
        <v>42</v>
      </c>
      <c r="B43">
        <v>3885969840</v>
      </c>
      <c r="C43" t="s">
        <v>6</v>
      </c>
      <c r="D43" t="s">
        <v>27</v>
      </c>
      <c r="E43" t="s">
        <v>8</v>
      </c>
      <c r="F43" t="s">
        <v>9</v>
      </c>
      <c r="G43" s="2">
        <f>VLOOKUP(F43,mappings!$G$2:$H$6,2,FALSE)</f>
        <v>4</v>
      </c>
      <c r="H43" t="s">
        <v>161</v>
      </c>
      <c r="I43" s="2">
        <f>VLOOKUP(H43,mappings!$D$2:$E$6,2,FALSE)</f>
        <v>2</v>
      </c>
      <c r="J43" t="s">
        <v>10</v>
      </c>
      <c r="K43" t="s">
        <v>39</v>
      </c>
      <c r="L43" s="2">
        <f>VLOOKUP(K43,mappings!$A$2:$B$13,2,FALSE)</f>
        <v>10</v>
      </c>
      <c r="M43" t="s">
        <v>12</v>
      </c>
      <c r="N43" t="str">
        <f>VLOOKUP(E43,mappings!$L$1:$M$110,2,FALSE)</f>
        <v>No answer provided</v>
      </c>
      <c r="O43" t="str">
        <f>VLOOKUP(E43,mappings!L:O,3,FALSE)</f>
        <v>No answer provided</v>
      </c>
      <c r="P43" t="str">
        <f>VLOOKUP(E43,mappings!L:P,4,FALSE)</f>
        <v>No answer provided</v>
      </c>
    </row>
    <row r="44" spans="1:16" x14ac:dyDescent="0.2">
      <c r="A44">
        <v>43</v>
      </c>
      <c r="B44">
        <v>3885965613</v>
      </c>
      <c r="C44" t="s">
        <v>6</v>
      </c>
      <c r="D44" t="s">
        <v>31</v>
      </c>
      <c r="E44" t="s">
        <v>8</v>
      </c>
      <c r="F44" t="s">
        <v>16</v>
      </c>
      <c r="G44" s="2">
        <f>VLOOKUP(F44,mappings!$G$2:$H$6,2,FALSE)</f>
        <v>3</v>
      </c>
      <c r="H44" t="s">
        <v>43</v>
      </c>
      <c r="I44" s="2">
        <f>VLOOKUP(H44,mappings!$D$2:$E$6,2,FALSE)</f>
        <v>4</v>
      </c>
      <c r="J44" t="s">
        <v>10</v>
      </c>
      <c r="K44" t="s">
        <v>18</v>
      </c>
      <c r="L44" s="2">
        <f>VLOOKUP(K44,mappings!$A$2:$B$13,2,FALSE)</f>
        <v>8</v>
      </c>
      <c r="M44" t="s">
        <v>38</v>
      </c>
      <c r="N44" t="str">
        <f>VLOOKUP(E44,mappings!$L$1:$M$110,2,FALSE)</f>
        <v>No answer provided</v>
      </c>
      <c r="O44" t="str">
        <f>VLOOKUP(E44,mappings!L:O,3,FALSE)</f>
        <v>No answer provided</v>
      </c>
      <c r="P44" t="str">
        <f>VLOOKUP(E44,mappings!L:P,4,FALSE)</f>
        <v>No answer provided</v>
      </c>
    </row>
    <row r="45" spans="1:16" x14ac:dyDescent="0.2">
      <c r="A45">
        <v>44</v>
      </c>
      <c r="B45">
        <v>3885944544</v>
      </c>
      <c r="C45" t="s">
        <v>6</v>
      </c>
      <c r="D45" t="s">
        <v>7</v>
      </c>
      <c r="E45" t="s">
        <v>8</v>
      </c>
      <c r="F45" t="s">
        <v>9</v>
      </c>
      <c r="G45" s="2">
        <f>VLOOKUP(F45,mappings!$G$2:$H$6,2,FALSE)</f>
        <v>4</v>
      </c>
      <c r="H45" t="s">
        <v>161</v>
      </c>
      <c r="I45" s="2">
        <f>VLOOKUP(H45,mappings!$D$2:$E$6,2,FALSE)</f>
        <v>2</v>
      </c>
      <c r="J45" t="s">
        <v>10</v>
      </c>
      <c r="K45" t="s">
        <v>14</v>
      </c>
      <c r="L45" s="2">
        <f>VLOOKUP(K45,mappings!$A$2:$B$13,2,FALSE)</f>
        <v>6</v>
      </c>
      <c r="M45" t="s">
        <v>15</v>
      </c>
      <c r="N45" t="str">
        <f>VLOOKUP(E45,mappings!$L$1:$M$110,2,FALSE)</f>
        <v>No answer provided</v>
      </c>
      <c r="O45" t="str">
        <f>VLOOKUP(E45,mappings!L:O,3,FALSE)</f>
        <v>No answer provided</v>
      </c>
      <c r="P45" t="str">
        <f>VLOOKUP(E45,mappings!L:P,4,FALSE)</f>
        <v>No answer provided</v>
      </c>
    </row>
    <row r="46" spans="1:16" x14ac:dyDescent="0.2">
      <c r="A46">
        <v>45</v>
      </c>
      <c r="B46">
        <v>3885928568</v>
      </c>
      <c r="C46" t="s">
        <v>6</v>
      </c>
      <c r="D46" t="s">
        <v>31</v>
      </c>
      <c r="E46" t="s">
        <v>8</v>
      </c>
      <c r="F46" t="s">
        <v>9</v>
      </c>
      <c r="G46" s="2">
        <f>VLOOKUP(F46,mappings!$G$2:$H$6,2,FALSE)</f>
        <v>4</v>
      </c>
      <c r="H46" t="s">
        <v>162</v>
      </c>
      <c r="I46" s="2">
        <f>VLOOKUP(H46,mappings!$D$2:$E$6,2,FALSE)</f>
        <v>1</v>
      </c>
      <c r="J46" t="s">
        <v>10</v>
      </c>
      <c r="K46" t="s">
        <v>14</v>
      </c>
      <c r="L46" s="2">
        <f>VLOOKUP(K46,mappings!$A$2:$B$13,2,FALSE)</f>
        <v>6</v>
      </c>
      <c r="M46" t="s">
        <v>38</v>
      </c>
      <c r="N46" t="str">
        <f>VLOOKUP(E46,mappings!$L$1:$M$110,2,FALSE)</f>
        <v>No answer provided</v>
      </c>
      <c r="O46" t="str">
        <f>VLOOKUP(E46,mappings!L:O,3,FALSE)</f>
        <v>No answer provided</v>
      </c>
      <c r="P46" t="str">
        <f>VLOOKUP(E46,mappings!L:P,4,FALSE)</f>
        <v>No answer provided</v>
      </c>
    </row>
    <row r="47" spans="1:16" x14ac:dyDescent="0.2">
      <c r="A47">
        <v>46</v>
      </c>
      <c r="B47">
        <v>3885927684</v>
      </c>
      <c r="C47" t="s">
        <v>26</v>
      </c>
      <c r="D47" t="s">
        <v>7</v>
      </c>
      <c r="E47" t="s">
        <v>8</v>
      </c>
      <c r="F47" t="s">
        <v>16</v>
      </c>
      <c r="G47" s="2">
        <f>VLOOKUP(F47,mappings!$G$2:$H$6,2,FALSE)</f>
        <v>3</v>
      </c>
      <c r="H47" t="s">
        <v>161</v>
      </c>
      <c r="I47" s="2">
        <f>VLOOKUP(H47,mappings!$D$2:$E$6,2,FALSE)</f>
        <v>2</v>
      </c>
      <c r="J47" t="s">
        <v>10</v>
      </c>
      <c r="K47" t="s">
        <v>23</v>
      </c>
      <c r="L47" s="2">
        <f>VLOOKUP(K47,mappings!$A$2:$B$13,2,FALSE)</f>
        <v>3</v>
      </c>
      <c r="M47" t="s">
        <v>12</v>
      </c>
      <c r="N47" t="str">
        <f>VLOOKUP(E47,mappings!$L$1:$M$110,2,FALSE)</f>
        <v>No answer provided</v>
      </c>
      <c r="O47" t="str">
        <f>VLOOKUP(E47,mappings!L:O,3,FALSE)</f>
        <v>No answer provided</v>
      </c>
      <c r="P47" t="str">
        <f>VLOOKUP(E47,mappings!L:P,4,FALSE)</f>
        <v>No answer provided</v>
      </c>
    </row>
    <row r="48" spans="1:16" x14ac:dyDescent="0.2">
      <c r="A48">
        <v>47</v>
      </c>
      <c r="B48">
        <v>3885872237</v>
      </c>
      <c r="C48" t="s">
        <v>26</v>
      </c>
      <c r="D48" t="s">
        <v>21</v>
      </c>
      <c r="E48" t="s">
        <v>8</v>
      </c>
      <c r="F48" t="s">
        <v>16</v>
      </c>
      <c r="G48" s="2">
        <f>VLOOKUP(F48,mappings!$G$2:$H$6,2,FALSE)</f>
        <v>3</v>
      </c>
      <c r="H48" t="s">
        <v>161</v>
      </c>
      <c r="I48" s="2">
        <f>VLOOKUP(H48,mappings!$D$2:$E$6,2,FALSE)</f>
        <v>2</v>
      </c>
      <c r="J48" t="s">
        <v>10</v>
      </c>
      <c r="K48" t="s">
        <v>32</v>
      </c>
      <c r="L48" s="2">
        <f>VLOOKUP(K48,mappings!$A$2:$B$13,2,FALSE)</f>
        <v>2</v>
      </c>
      <c r="M48" t="s">
        <v>12</v>
      </c>
      <c r="N48" t="str">
        <f>VLOOKUP(E48,mappings!$L$1:$M$110,2,FALSE)</f>
        <v>No answer provided</v>
      </c>
      <c r="O48" t="str">
        <f>VLOOKUP(E48,mappings!L:O,3,FALSE)</f>
        <v>No answer provided</v>
      </c>
      <c r="P48" t="str">
        <f>VLOOKUP(E48,mappings!L:P,4,FALSE)</f>
        <v>No answer provided</v>
      </c>
    </row>
    <row r="49" spans="1:16" x14ac:dyDescent="0.2">
      <c r="A49">
        <v>48</v>
      </c>
      <c r="B49">
        <v>3885869392</v>
      </c>
      <c r="C49" t="s">
        <v>6</v>
      </c>
      <c r="D49" t="s">
        <v>1</v>
      </c>
      <c r="E49" t="s">
        <v>45</v>
      </c>
      <c r="F49" t="s">
        <v>16</v>
      </c>
      <c r="G49" s="2">
        <f>VLOOKUP(F49,mappings!$G$2:$H$6,2,FALSE)</f>
        <v>3</v>
      </c>
      <c r="H49" t="s">
        <v>162</v>
      </c>
      <c r="I49" s="2">
        <f>VLOOKUP(H49,mappings!$D$2:$E$6,2,FALSE)</f>
        <v>1</v>
      </c>
      <c r="J49" t="s">
        <v>10</v>
      </c>
      <c r="K49" t="s">
        <v>11</v>
      </c>
      <c r="L49" s="2">
        <f>VLOOKUP(K49,mappings!$A$2:$B$13,2,FALSE)</f>
        <v>4</v>
      </c>
      <c r="M49" t="s">
        <v>20</v>
      </c>
      <c r="N49" t="str">
        <f>VLOOKUP(E49,mappings!$L$1:$M$110,2,FALSE)</f>
        <v>The Weather Channel</v>
      </c>
      <c r="O49" t="str">
        <f>VLOOKUP(E49,mappings!L:O,3,FALSE)</f>
        <v>App</v>
      </c>
      <c r="P49" t="str">
        <f>VLOOKUP(E49,mappings!L:P,4,FALSE)</f>
        <v>Other or unkown</v>
      </c>
    </row>
    <row r="50" spans="1:16" x14ac:dyDescent="0.2">
      <c r="A50">
        <v>49</v>
      </c>
      <c r="B50">
        <v>3885838101</v>
      </c>
      <c r="C50" t="s">
        <v>6</v>
      </c>
      <c r="D50" t="s">
        <v>27</v>
      </c>
      <c r="E50" t="s">
        <v>8</v>
      </c>
      <c r="F50" t="s">
        <v>9</v>
      </c>
      <c r="G50" s="2">
        <f>VLOOKUP(F50,mappings!$G$2:$H$6,2,FALSE)</f>
        <v>4</v>
      </c>
      <c r="H50" t="s">
        <v>162</v>
      </c>
      <c r="I50" s="2">
        <f>VLOOKUP(H50,mappings!$D$2:$E$6,2,FALSE)</f>
        <v>1</v>
      </c>
      <c r="J50" t="s">
        <v>10</v>
      </c>
      <c r="K50" t="s">
        <v>32</v>
      </c>
      <c r="L50" s="2">
        <f>VLOOKUP(K50,mappings!$A$2:$B$13,2,FALSE)</f>
        <v>2</v>
      </c>
      <c r="M50" t="s">
        <v>24</v>
      </c>
      <c r="N50" t="str">
        <f>VLOOKUP(E50,mappings!$L$1:$M$110,2,FALSE)</f>
        <v>No answer provided</v>
      </c>
      <c r="O50" t="str">
        <f>VLOOKUP(E50,mappings!L:O,3,FALSE)</f>
        <v>No answer provided</v>
      </c>
      <c r="P50" t="str">
        <f>VLOOKUP(E50,mappings!L:P,4,FALSE)</f>
        <v>No answer provided</v>
      </c>
    </row>
    <row r="51" spans="1:16" x14ac:dyDescent="0.2">
      <c r="A51">
        <v>50</v>
      </c>
      <c r="B51">
        <v>3885835130</v>
      </c>
      <c r="C51" t="s">
        <v>6</v>
      </c>
      <c r="D51" t="s">
        <v>27</v>
      </c>
      <c r="E51" t="s">
        <v>8</v>
      </c>
      <c r="F51" t="s">
        <v>16</v>
      </c>
      <c r="G51" s="2">
        <f>VLOOKUP(F51,mappings!$G$2:$H$6,2,FALSE)</f>
        <v>3</v>
      </c>
      <c r="H51" t="s">
        <v>162</v>
      </c>
      <c r="I51" s="2">
        <f>VLOOKUP(H51,mappings!$D$2:$E$6,2,FALSE)</f>
        <v>1</v>
      </c>
      <c r="J51" t="s">
        <v>10</v>
      </c>
      <c r="K51" t="s">
        <v>32</v>
      </c>
      <c r="L51" s="2">
        <f>VLOOKUP(K51,mappings!$A$2:$B$13,2,FALSE)</f>
        <v>2</v>
      </c>
      <c r="M51" t="s">
        <v>12</v>
      </c>
      <c r="N51" t="str">
        <f>VLOOKUP(E51,mappings!$L$1:$M$110,2,FALSE)</f>
        <v>No answer provided</v>
      </c>
      <c r="O51" t="str">
        <f>VLOOKUP(E51,mappings!L:O,3,FALSE)</f>
        <v>No answer provided</v>
      </c>
      <c r="P51" t="str">
        <f>VLOOKUP(E51,mappings!L:P,4,FALSE)</f>
        <v>No answer provided</v>
      </c>
    </row>
    <row r="52" spans="1:16" x14ac:dyDescent="0.2">
      <c r="A52">
        <v>51</v>
      </c>
      <c r="B52">
        <v>3885824482</v>
      </c>
      <c r="C52" t="s">
        <v>6</v>
      </c>
      <c r="D52" t="s">
        <v>21</v>
      </c>
      <c r="E52" t="s">
        <v>8</v>
      </c>
      <c r="F52" t="s">
        <v>22</v>
      </c>
      <c r="G52" s="2">
        <f>VLOOKUP(F52,mappings!$G$2:$H$6,2,FALSE)</f>
        <v>1</v>
      </c>
      <c r="H52" t="s">
        <v>43</v>
      </c>
      <c r="I52" s="2">
        <f>VLOOKUP(H52,mappings!$D$2:$E$6,2,FALSE)</f>
        <v>4</v>
      </c>
      <c r="J52" t="s">
        <v>10</v>
      </c>
      <c r="K52" t="s">
        <v>14</v>
      </c>
      <c r="L52" s="2">
        <f>VLOOKUP(K52,mappings!$A$2:$B$13,2,FALSE)</f>
        <v>6</v>
      </c>
      <c r="M52" t="s">
        <v>20</v>
      </c>
      <c r="N52" t="str">
        <f>VLOOKUP(E52,mappings!$L$1:$M$110,2,FALSE)</f>
        <v>No answer provided</v>
      </c>
      <c r="O52" t="str">
        <f>VLOOKUP(E52,mappings!L:O,3,FALSE)</f>
        <v>No answer provided</v>
      </c>
      <c r="P52" t="str">
        <f>VLOOKUP(E52,mappings!L:P,4,FALSE)</f>
        <v>No answer provided</v>
      </c>
    </row>
    <row r="53" spans="1:16" x14ac:dyDescent="0.2">
      <c r="A53">
        <v>52</v>
      </c>
      <c r="B53">
        <v>3885821034</v>
      </c>
      <c r="C53" t="s">
        <v>6</v>
      </c>
      <c r="D53" t="s">
        <v>7</v>
      </c>
      <c r="E53" t="s">
        <v>8</v>
      </c>
      <c r="F53" t="s">
        <v>9</v>
      </c>
      <c r="G53" s="2">
        <f>VLOOKUP(F53,mappings!$G$2:$H$6,2,FALSE)</f>
        <v>4</v>
      </c>
      <c r="H53" t="s">
        <v>43</v>
      </c>
      <c r="I53" s="2">
        <f>VLOOKUP(H53,mappings!$D$2:$E$6,2,FALSE)</f>
        <v>4</v>
      </c>
      <c r="J53" t="s">
        <v>10</v>
      </c>
      <c r="K53" t="s">
        <v>13</v>
      </c>
      <c r="L53" s="2">
        <f>VLOOKUP(K53,mappings!$A$2:$B$13,2,FALSE)</f>
        <v>11</v>
      </c>
      <c r="M53" t="s">
        <v>30</v>
      </c>
      <c r="N53" t="str">
        <f>VLOOKUP(E53,mappings!$L$1:$M$110,2,FALSE)</f>
        <v>No answer provided</v>
      </c>
      <c r="O53" t="str">
        <f>VLOOKUP(E53,mappings!L:O,3,FALSE)</f>
        <v>No answer provided</v>
      </c>
      <c r="P53" t="str">
        <f>VLOOKUP(E53,mappings!L:P,4,FALSE)</f>
        <v>No answer provided</v>
      </c>
    </row>
    <row r="54" spans="1:16" x14ac:dyDescent="0.2">
      <c r="A54">
        <v>53</v>
      </c>
      <c r="B54">
        <v>3885802164</v>
      </c>
      <c r="C54" t="s">
        <v>26</v>
      </c>
      <c r="D54" t="s">
        <v>41</v>
      </c>
      <c r="E54" t="s">
        <v>8</v>
      </c>
      <c r="F54" t="s">
        <v>22</v>
      </c>
      <c r="G54" s="2">
        <f>VLOOKUP(F54,mappings!$G$2:$H$6,2,FALSE)</f>
        <v>1</v>
      </c>
      <c r="H54" t="s">
        <v>161</v>
      </c>
      <c r="I54" s="2">
        <f>VLOOKUP(H54,mappings!$D$2:$E$6,2,FALSE)</f>
        <v>2</v>
      </c>
      <c r="J54" t="s">
        <v>10</v>
      </c>
      <c r="K54" t="s">
        <v>11</v>
      </c>
      <c r="L54" s="2">
        <f>VLOOKUP(K54,mappings!$A$2:$B$13,2,FALSE)</f>
        <v>4</v>
      </c>
      <c r="M54" t="s">
        <v>15</v>
      </c>
      <c r="N54" t="str">
        <f>VLOOKUP(E54,mappings!$L$1:$M$110,2,FALSE)</f>
        <v>No answer provided</v>
      </c>
      <c r="O54" t="str">
        <f>VLOOKUP(E54,mappings!L:O,3,FALSE)</f>
        <v>No answer provided</v>
      </c>
      <c r="P54" t="str">
        <f>VLOOKUP(E54,mappings!L:P,4,FALSE)</f>
        <v>No answer provided</v>
      </c>
    </row>
    <row r="55" spans="1:16" x14ac:dyDescent="0.2">
      <c r="A55">
        <v>54</v>
      </c>
      <c r="B55">
        <v>3885791607</v>
      </c>
      <c r="C55" t="s">
        <v>26</v>
      </c>
      <c r="D55" t="s">
        <v>31</v>
      </c>
      <c r="E55" t="s">
        <v>8</v>
      </c>
      <c r="F55" t="s">
        <v>28</v>
      </c>
      <c r="G55" s="2">
        <f>VLOOKUP(F55,mappings!$G$2:$H$6,2,FALSE)</f>
        <v>2</v>
      </c>
      <c r="H55" t="s">
        <v>161</v>
      </c>
      <c r="I55" s="2">
        <f>VLOOKUP(H55,mappings!$D$2:$E$6,2,FALSE)</f>
        <v>2</v>
      </c>
      <c r="J55" t="s">
        <v>10</v>
      </c>
      <c r="K55" t="s">
        <v>39</v>
      </c>
      <c r="L55" s="2">
        <f>VLOOKUP(K55,mappings!$A$2:$B$13,2,FALSE)</f>
        <v>10</v>
      </c>
      <c r="M55" t="s">
        <v>15</v>
      </c>
      <c r="N55" t="str">
        <f>VLOOKUP(E55,mappings!$L$1:$M$110,2,FALSE)</f>
        <v>No answer provided</v>
      </c>
      <c r="O55" t="str">
        <f>VLOOKUP(E55,mappings!L:O,3,FALSE)</f>
        <v>No answer provided</v>
      </c>
      <c r="P55" t="str">
        <f>VLOOKUP(E55,mappings!L:P,4,FALSE)</f>
        <v>No answer provided</v>
      </c>
    </row>
    <row r="56" spans="1:16" x14ac:dyDescent="0.2">
      <c r="A56">
        <v>55</v>
      </c>
      <c r="B56">
        <v>3885773515</v>
      </c>
      <c r="C56" t="s">
        <v>6</v>
      </c>
      <c r="D56" t="s">
        <v>7</v>
      </c>
      <c r="E56" t="s">
        <v>8</v>
      </c>
      <c r="F56" t="s">
        <v>16</v>
      </c>
      <c r="G56" s="2">
        <f>VLOOKUP(F56,mappings!$G$2:$H$6,2,FALSE)</f>
        <v>3</v>
      </c>
      <c r="H56" t="s">
        <v>161</v>
      </c>
      <c r="I56" s="2">
        <f>VLOOKUP(H56,mappings!$D$2:$E$6,2,FALSE)</f>
        <v>2</v>
      </c>
      <c r="J56" t="s">
        <v>10</v>
      </c>
      <c r="K56" t="s">
        <v>32</v>
      </c>
      <c r="L56" s="2">
        <f>VLOOKUP(K56,mappings!$A$2:$B$13,2,FALSE)</f>
        <v>2</v>
      </c>
      <c r="M56" t="s">
        <v>24</v>
      </c>
      <c r="N56" t="str">
        <f>VLOOKUP(E56,mappings!$L$1:$M$110,2,FALSE)</f>
        <v>No answer provided</v>
      </c>
      <c r="O56" t="str">
        <f>VLOOKUP(E56,mappings!L:O,3,FALSE)</f>
        <v>No answer provided</v>
      </c>
      <c r="P56" t="str">
        <f>VLOOKUP(E56,mappings!L:P,4,FALSE)</f>
        <v>No answer provided</v>
      </c>
    </row>
    <row r="57" spans="1:16" x14ac:dyDescent="0.2">
      <c r="A57">
        <v>56</v>
      </c>
      <c r="B57">
        <v>3885691247</v>
      </c>
      <c r="C57" t="s">
        <v>6</v>
      </c>
      <c r="D57" t="s">
        <v>27</v>
      </c>
      <c r="E57" t="s">
        <v>8</v>
      </c>
      <c r="F57" t="s">
        <v>28</v>
      </c>
      <c r="G57" s="2">
        <f>VLOOKUP(F57,mappings!$G$2:$H$6,2,FALSE)</f>
        <v>2</v>
      </c>
      <c r="H57" t="s">
        <v>161</v>
      </c>
      <c r="I57" s="2">
        <f>VLOOKUP(H57,mappings!$D$2:$E$6,2,FALSE)</f>
        <v>2</v>
      </c>
      <c r="J57" t="s">
        <v>10</v>
      </c>
      <c r="K57" t="s">
        <v>13</v>
      </c>
      <c r="L57" s="2">
        <f>VLOOKUP(K57,mappings!$A$2:$B$13,2,FALSE)</f>
        <v>11</v>
      </c>
      <c r="M57" t="s">
        <v>20</v>
      </c>
      <c r="N57" t="str">
        <f>VLOOKUP(E57,mappings!$L$1:$M$110,2,FALSE)</f>
        <v>No answer provided</v>
      </c>
      <c r="O57" t="str">
        <f>VLOOKUP(E57,mappings!L:O,3,FALSE)</f>
        <v>No answer provided</v>
      </c>
      <c r="P57" t="str">
        <f>VLOOKUP(E57,mappings!L:P,4,FALSE)</f>
        <v>No answer provided</v>
      </c>
    </row>
    <row r="58" spans="1:16" x14ac:dyDescent="0.2">
      <c r="A58">
        <v>57</v>
      </c>
      <c r="B58">
        <v>3885688258</v>
      </c>
      <c r="C58" t="s">
        <v>6</v>
      </c>
      <c r="D58" t="s">
        <v>1</v>
      </c>
      <c r="E58" t="s">
        <v>46</v>
      </c>
      <c r="F58" t="s">
        <v>9</v>
      </c>
      <c r="G58" s="2">
        <f>VLOOKUP(F58,mappings!$G$2:$H$6,2,FALSE)</f>
        <v>4</v>
      </c>
      <c r="H58" t="s">
        <v>162</v>
      </c>
      <c r="I58" s="2">
        <f>VLOOKUP(H58,mappings!$D$2:$E$6,2,FALSE)</f>
        <v>1</v>
      </c>
      <c r="J58" t="s">
        <v>10</v>
      </c>
      <c r="K58" t="s">
        <v>23</v>
      </c>
      <c r="L58" s="2">
        <f>VLOOKUP(K58,mappings!$A$2:$B$13,2,FALSE)</f>
        <v>3</v>
      </c>
      <c r="M58" t="s">
        <v>20</v>
      </c>
      <c r="N58" t="str">
        <f>VLOOKUP(E58,mappings!$L$1:$M$110,2,FALSE)</f>
        <v>Yahoo</v>
      </c>
      <c r="O58" t="str">
        <f>VLOOKUP(E58,mappings!L:O,3,FALSE)</f>
        <v>App</v>
      </c>
      <c r="P58" t="str">
        <f>VLOOKUP(E58,mappings!L:P,4,FALSE)</f>
        <v>Apple</v>
      </c>
    </row>
    <row r="59" spans="1:16" x14ac:dyDescent="0.2">
      <c r="A59">
        <v>58</v>
      </c>
      <c r="B59">
        <v>3885687708</v>
      </c>
      <c r="C59" t="s">
        <v>6</v>
      </c>
      <c r="D59" t="s">
        <v>27</v>
      </c>
      <c r="E59" t="s">
        <v>8</v>
      </c>
      <c r="F59" t="s">
        <v>22</v>
      </c>
      <c r="G59" s="2">
        <f>VLOOKUP(F59,mappings!$G$2:$H$6,2,FALSE)</f>
        <v>1</v>
      </c>
      <c r="H59" t="s">
        <v>161</v>
      </c>
      <c r="I59" s="2">
        <f>VLOOKUP(H59,mappings!$D$2:$E$6,2,FALSE)</f>
        <v>2</v>
      </c>
      <c r="J59" t="s">
        <v>10</v>
      </c>
      <c r="K59" t="s">
        <v>47</v>
      </c>
      <c r="L59" s="2">
        <f>VLOOKUP(K59,mappings!$A$2:$B$13,2,FALSE)</f>
        <v>9</v>
      </c>
      <c r="M59" t="s">
        <v>30</v>
      </c>
      <c r="N59" t="str">
        <f>VLOOKUP(E59,mappings!$L$1:$M$110,2,FALSE)</f>
        <v>No answer provided</v>
      </c>
      <c r="O59" t="str">
        <f>VLOOKUP(E59,mappings!L:O,3,FALSE)</f>
        <v>No answer provided</v>
      </c>
      <c r="P59" t="str">
        <f>VLOOKUP(E59,mappings!L:P,4,FALSE)</f>
        <v>No answer provided</v>
      </c>
    </row>
    <row r="60" spans="1:16" x14ac:dyDescent="0.2">
      <c r="A60">
        <v>59</v>
      </c>
      <c r="B60">
        <v>3885683872</v>
      </c>
      <c r="C60" t="s">
        <v>6</v>
      </c>
      <c r="D60" t="s">
        <v>31</v>
      </c>
      <c r="E60" t="s">
        <v>8</v>
      </c>
      <c r="F60" t="s">
        <v>16</v>
      </c>
      <c r="G60" s="2">
        <f>VLOOKUP(F60,mappings!$G$2:$H$6,2,FALSE)</f>
        <v>3</v>
      </c>
      <c r="H60" t="s">
        <v>161</v>
      </c>
      <c r="I60" s="2">
        <f>VLOOKUP(H60,mappings!$D$2:$E$6,2,FALSE)</f>
        <v>2</v>
      </c>
      <c r="J60" t="s">
        <v>10</v>
      </c>
      <c r="K60" t="s">
        <v>13</v>
      </c>
      <c r="L60" s="2">
        <f>VLOOKUP(K60,mappings!$A$2:$B$13,2,FALSE)</f>
        <v>11</v>
      </c>
      <c r="M60" t="s">
        <v>15</v>
      </c>
      <c r="N60" t="str">
        <f>VLOOKUP(E60,mappings!$L$1:$M$110,2,FALSE)</f>
        <v>No answer provided</v>
      </c>
      <c r="O60" t="str">
        <f>VLOOKUP(E60,mappings!L:O,3,FALSE)</f>
        <v>No answer provided</v>
      </c>
      <c r="P60" t="str">
        <f>VLOOKUP(E60,mappings!L:P,4,FALSE)</f>
        <v>No answer provided</v>
      </c>
    </row>
    <row r="61" spans="1:16" x14ac:dyDescent="0.2">
      <c r="A61">
        <v>60</v>
      </c>
      <c r="B61">
        <v>3885652370</v>
      </c>
      <c r="C61" t="s">
        <v>6</v>
      </c>
      <c r="D61" t="s">
        <v>27</v>
      </c>
      <c r="E61" t="s">
        <v>8</v>
      </c>
      <c r="F61" t="s">
        <v>16</v>
      </c>
      <c r="G61" s="2">
        <f>VLOOKUP(F61,mappings!$G$2:$H$6,2,FALSE)</f>
        <v>3</v>
      </c>
      <c r="H61" t="s">
        <v>161</v>
      </c>
      <c r="I61" s="2">
        <f>VLOOKUP(H61,mappings!$D$2:$E$6,2,FALSE)</f>
        <v>2</v>
      </c>
      <c r="J61" t="s">
        <v>10</v>
      </c>
      <c r="K61" t="s">
        <v>11</v>
      </c>
      <c r="L61" s="2">
        <f>VLOOKUP(K61,mappings!$A$2:$B$13,2,FALSE)</f>
        <v>4</v>
      </c>
      <c r="M61" t="s">
        <v>25</v>
      </c>
      <c r="N61" t="str">
        <f>VLOOKUP(E61,mappings!$L$1:$M$110,2,FALSE)</f>
        <v>No answer provided</v>
      </c>
      <c r="O61" t="str">
        <f>VLOOKUP(E61,mappings!L:O,3,FALSE)</f>
        <v>No answer provided</v>
      </c>
      <c r="P61" t="str">
        <f>VLOOKUP(E61,mappings!L:P,4,FALSE)</f>
        <v>No answer provided</v>
      </c>
    </row>
    <row r="62" spans="1:16" x14ac:dyDescent="0.2">
      <c r="A62">
        <v>61</v>
      </c>
      <c r="B62">
        <v>3885637949</v>
      </c>
      <c r="C62" t="s">
        <v>26</v>
      </c>
      <c r="D62" t="s">
        <v>27</v>
      </c>
      <c r="E62" t="s">
        <v>8</v>
      </c>
      <c r="F62" t="s">
        <v>9</v>
      </c>
      <c r="G62" s="2">
        <f>VLOOKUP(F62,mappings!$G$2:$H$6,2,FALSE)</f>
        <v>4</v>
      </c>
      <c r="H62" t="s">
        <v>162</v>
      </c>
      <c r="I62" s="2">
        <f>VLOOKUP(H62,mappings!$D$2:$E$6,2,FALSE)</f>
        <v>1</v>
      </c>
      <c r="J62" t="s">
        <v>10</v>
      </c>
      <c r="K62" t="s">
        <v>32</v>
      </c>
      <c r="L62" s="2">
        <f>VLOOKUP(K62,mappings!$A$2:$B$13,2,FALSE)</f>
        <v>2</v>
      </c>
      <c r="M62" t="s">
        <v>8</v>
      </c>
      <c r="N62" t="str">
        <f>VLOOKUP(E62,mappings!$L$1:$M$110,2,FALSE)</f>
        <v>No answer provided</v>
      </c>
      <c r="O62" t="str">
        <f>VLOOKUP(E62,mappings!L:O,3,FALSE)</f>
        <v>No answer provided</v>
      </c>
      <c r="P62" t="str">
        <f>VLOOKUP(E62,mappings!L:P,4,FALSE)</f>
        <v>No answer provided</v>
      </c>
    </row>
    <row r="63" spans="1:16" x14ac:dyDescent="0.2">
      <c r="A63">
        <v>62</v>
      </c>
      <c r="B63">
        <v>3885625628</v>
      </c>
      <c r="C63" t="s">
        <v>6</v>
      </c>
      <c r="D63" t="s">
        <v>7</v>
      </c>
      <c r="E63" t="s">
        <v>8</v>
      </c>
      <c r="F63" t="s">
        <v>9</v>
      </c>
      <c r="G63" s="2">
        <f>VLOOKUP(F63,mappings!$G$2:$H$6,2,FALSE)</f>
        <v>4</v>
      </c>
      <c r="H63" t="s">
        <v>161</v>
      </c>
      <c r="I63" s="2">
        <f>VLOOKUP(H63,mappings!$D$2:$E$6,2,FALSE)</f>
        <v>2</v>
      </c>
      <c r="J63" t="s">
        <v>10</v>
      </c>
      <c r="K63" t="s">
        <v>33</v>
      </c>
      <c r="L63" s="2">
        <f>VLOOKUP(K63,mappings!$A$2:$B$13,2,FALSE)</f>
        <v>5</v>
      </c>
      <c r="M63" t="s">
        <v>25</v>
      </c>
      <c r="N63" t="str">
        <f>VLOOKUP(E63,mappings!$L$1:$M$110,2,FALSE)</f>
        <v>No answer provided</v>
      </c>
      <c r="O63" t="str">
        <f>VLOOKUP(E63,mappings!L:O,3,FALSE)</f>
        <v>No answer provided</v>
      </c>
      <c r="P63" t="str">
        <f>VLOOKUP(E63,mappings!L:P,4,FALSE)</f>
        <v>No answer provided</v>
      </c>
    </row>
    <row r="64" spans="1:16" x14ac:dyDescent="0.2">
      <c r="A64">
        <v>63</v>
      </c>
      <c r="B64">
        <v>3885602270</v>
      </c>
      <c r="C64" t="s">
        <v>6</v>
      </c>
      <c r="D64" t="s">
        <v>7</v>
      </c>
      <c r="E64" t="s">
        <v>8</v>
      </c>
      <c r="F64" t="s">
        <v>22</v>
      </c>
      <c r="G64" s="2">
        <f>VLOOKUP(F64,mappings!$G$2:$H$6,2,FALSE)</f>
        <v>1</v>
      </c>
      <c r="H64" t="s">
        <v>162</v>
      </c>
      <c r="I64" s="2">
        <f>VLOOKUP(H64,mappings!$D$2:$E$6,2,FALSE)</f>
        <v>1</v>
      </c>
      <c r="J64" t="s">
        <v>10</v>
      </c>
      <c r="K64" t="s">
        <v>48</v>
      </c>
      <c r="L64" s="2">
        <f>VLOOKUP(K64,mappings!$A$2:$B$13,2,FALSE)</f>
        <v>7</v>
      </c>
      <c r="M64" t="s">
        <v>30</v>
      </c>
      <c r="N64" t="str">
        <f>VLOOKUP(E64,mappings!$L$1:$M$110,2,FALSE)</f>
        <v>No answer provided</v>
      </c>
      <c r="O64" t="str">
        <f>VLOOKUP(E64,mappings!L:O,3,FALSE)</f>
        <v>No answer provided</v>
      </c>
      <c r="P64" t="str">
        <f>VLOOKUP(E64,mappings!L:P,4,FALSE)</f>
        <v>No answer provided</v>
      </c>
    </row>
    <row r="65" spans="1:16" x14ac:dyDescent="0.2">
      <c r="A65">
        <v>64</v>
      </c>
      <c r="B65">
        <v>3885570360</v>
      </c>
      <c r="C65" t="s">
        <v>26</v>
      </c>
      <c r="D65" t="s">
        <v>41</v>
      </c>
      <c r="E65" t="s">
        <v>8</v>
      </c>
      <c r="F65" t="s">
        <v>28</v>
      </c>
      <c r="G65" s="2">
        <f>VLOOKUP(F65,mappings!$G$2:$H$6,2,FALSE)</f>
        <v>2</v>
      </c>
      <c r="H65" t="s">
        <v>161</v>
      </c>
      <c r="I65" s="2">
        <f>VLOOKUP(H65,mappings!$D$2:$E$6,2,FALSE)</f>
        <v>2</v>
      </c>
      <c r="J65" t="s">
        <v>10</v>
      </c>
      <c r="K65" t="s">
        <v>48</v>
      </c>
      <c r="L65" s="2">
        <f>VLOOKUP(K65,mappings!$A$2:$B$13,2,FALSE)</f>
        <v>7</v>
      </c>
      <c r="M65" t="s">
        <v>12</v>
      </c>
      <c r="N65" t="str">
        <f>VLOOKUP(E65,mappings!$L$1:$M$110,2,FALSE)</f>
        <v>No answer provided</v>
      </c>
      <c r="O65" t="str">
        <f>VLOOKUP(E65,mappings!L:O,3,FALSE)</f>
        <v>No answer provided</v>
      </c>
      <c r="P65" t="str">
        <f>VLOOKUP(E65,mappings!L:P,4,FALSE)</f>
        <v>No answer provided</v>
      </c>
    </row>
    <row r="66" spans="1:16" x14ac:dyDescent="0.2">
      <c r="A66">
        <v>65</v>
      </c>
      <c r="B66">
        <v>3885569498</v>
      </c>
      <c r="C66" t="s">
        <v>6</v>
      </c>
      <c r="D66" t="s">
        <v>1</v>
      </c>
      <c r="E66" t="s">
        <v>49</v>
      </c>
      <c r="F66" t="s">
        <v>16</v>
      </c>
      <c r="G66" s="2">
        <f>VLOOKUP(F66,mappings!$G$2:$H$6,2,FALSE)</f>
        <v>3</v>
      </c>
      <c r="H66" t="s">
        <v>161</v>
      </c>
      <c r="I66" s="2">
        <f>VLOOKUP(H66,mappings!$D$2:$E$6,2,FALSE)</f>
        <v>2</v>
      </c>
      <c r="J66" t="s">
        <v>10</v>
      </c>
      <c r="K66" t="s">
        <v>33</v>
      </c>
      <c r="L66" s="2">
        <f>VLOOKUP(K66,mappings!$A$2:$B$13,2,FALSE)</f>
        <v>5</v>
      </c>
      <c r="M66" t="s">
        <v>12</v>
      </c>
      <c r="N66" t="str">
        <f>VLOOKUP(E66,mappings!$L$1:$M$110,2,FALSE)</f>
        <v>Other or unknown</v>
      </c>
      <c r="O66" t="str">
        <f>VLOOKUP(E66,mappings!L:O,3,FALSE)</f>
        <v>App</v>
      </c>
      <c r="P66" t="str">
        <f>VLOOKUP(E66,mappings!L:P,4,FALSE)</f>
        <v>Android</v>
      </c>
    </row>
    <row r="67" spans="1:16" x14ac:dyDescent="0.2">
      <c r="A67">
        <v>66</v>
      </c>
      <c r="B67">
        <v>3885540601</v>
      </c>
      <c r="C67" t="s">
        <v>6</v>
      </c>
      <c r="D67" t="s">
        <v>1</v>
      </c>
      <c r="E67" t="s">
        <v>50</v>
      </c>
      <c r="F67" t="s">
        <v>9</v>
      </c>
      <c r="G67" s="2">
        <f>VLOOKUP(F67,mappings!$G$2:$H$6,2,FALSE)</f>
        <v>4</v>
      </c>
      <c r="H67" t="s">
        <v>162</v>
      </c>
      <c r="I67" s="2">
        <f>VLOOKUP(H67,mappings!$D$2:$E$6,2,FALSE)</f>
        <v>1</v>
      </c>
      <c r="J67" t="s">
        <v>10</v>
      </c>
      <c r="K67" t="s">
        <v>29</v>
      </c>
      <c r="L67" s="2">
        <f>VLOOKUP(K67,mappings!$A$2:$B$13,2,FALSE)</f>
        <v>1</v>
      </c>
      <c r="M67" t="s">
        <v>12</v>
      </c>
      <c r="N67" t="str">
        <f>VLOOKUP(E67,mappings!$L$1:$M$110,2,FALSE)</f>
        <v>AccuWeather</v>
      </c>
      <c r="O67" t="str">
        <f>VLOOKUP(E67,mappings!L:O,3,FALSE)</f>
        <v>Website</v>
      </c>
      <c r="P67" t="str">
        <f>VLOOKUP(E67,mappings!L:P,4,FALSE)</f>
        <v>Other or unkown</v>
      </c>
    </row>
    <row r="68" spans="1:16" x14ac:dyDescent="0.2">
      <c r="A68">
        <v>67</v>
      </c>
      <c r="B68">
        <v>3885539632</v>
      </c>
      <c r="C68" t="s">
        <v>6</v>
      </c>
      <c r="D68" t="s">
        <v>21</v>
      </c>
      <c r="E68" t="s">
        <v>8</v>
      </c>
      <c r="F68" t="s">
        <v>22</v>
      </c>
      <c r="G68" s="2">
        <f>VLOOKUP(F68,mappings!$G$2:$H$6,2,FALSE)</f>
        <v>1</v>
      </c>
      <c r="H68" t="s">
        <v>162</v>
      </c>
      <c r="I68" s="2">
        <f>VLOOKUP(H68,mappings!$D$2:$E$6,2,FALSE)</f>
        <v>1</v>
      </c>
      <c r="J68" t="s">
        <v>10</v>
      </c>
      <c r="K68" t="s">
        <v>32</v>
      </c>
      <c r="L68" s="2">
        <f>VLOOKUP(K68,mappings!$A$2:$B$13,2,FALSE)</f>
        <v>2</v>
      </c>
      <c r="M68" t="s">
        <v>30</v>
      </c>
      <c r="N68" t="str">
        <f>VLOOKUP(E68,mappings!$L$1:$M$110,2,FALSE)</f>
        <v>No answer provided</v>
      </c>
      <c r="O68" t="str">
        <f>VLOOKUP(E68,mappings!L:O,3,FALSE)</f>
        <v>No answer provided</v>
      </c>
      <c r="P68" t="str">
        <f>VLOOKUP(E68,mappings!L:P,4,FALSE)</f>
        <v>No answer provided</v>
      </c>
    </row>
    <row r="69" spans="1:16" x14ac:dyDescent="0.2">
      <c r="A69">
        <v>68</v>
      </c>
      <c r="B69">
        <v>3885525146</v>
      </c>
      <c r="C69" t="s">
        <v>6</v>
      </c>
      <c r="D69" t="s">
        <v>7</v>
      </c>
      <c r="E69" t="s">
        <v>8</v>
      </c>
      <c r="F69" t="s">
        <v>9</v>
      </c>
      <c r="G69" s="2">
        <f>VLOOKUP(F69,mappings!$G$2:$H$6,2,FALSE)</f>
        <v>4</v>
      </c>
      <c r="H69" t="s">
        <v>162</v>
      </c>
      <c r="I69" s="2">
        <f>VLOOKUP(H69,mappings!$D$2:$E$6,2,FALSE)</f>
        <v>1</v>
      </c>
      <c r="J69" t="s">
        <v>10</v>
      </c>
      <c r="K69" t="s">
        <v>39</v>
      </c>
      <c r="L69" s="2">
        <f>VLOOKUP(K69,mappings!$A$2:$B$13,2,FALSE)</f>
        <v>10</v>
      </c>
      <c r="M69" t="s">
        <v>24</v>
      </c>
      <c r="N69" t="str">
        <f>VLOOKUP(E69,mappings!$L$1:$M$110,2,FALSE)</f>
        <v>No answer provided</v>
      </c>
      <c r="O69" t="str">
        <f>VLOOKUP(E69,mappings!L:O,3,FALSE)</f>
        <v>No answer provided</v>
      </c>
      <c r="P69" t="str">
        <f>VLOOKUP(E69,mappings!L:P,4,FALSE)</f>
        <v>No answer provided</v>
      </c>
    </row>
    <row r="70" spans="1:16" x14ac:dyDescent="0.2">
      <c r="A70">
        <v>69</v>
      </c>
      <c r="B70">
        <v>3885512170</v>
      </c>
      <c r="C70" t="s">
        <v>6</v>
      </c>
      <c r="D70" t="s">
        <v>51</v>
      </c>
      <c r="E70" t="s">
        <v>8</v>
      </c>
      <c r="F70" t="s">
        <v>28</v>
      </c>
      <c r="G70" s="2">
        <f>VLOOKUP(F70,mappings!$G$2:$H$6,2,FALSE)</f>
        <v>2</v>
      </c>
      <c r="H70" t="s">
        <v>161</v>
      </c>
      <c r="I70" s="2">
        <f>VLOOKUP(H70,mappings!$D$2:$E$6,2,FALSE)</f>
        <v>2</v>
      </c>
      <c r="J70" t="s">
        <v>10</v>
      </c>
      <c r="K70" t="s">
        <v>23</v>
      </c>
      <c r="L70" s="2">
        <f>VLOOKUP(K70,mappings!$A$2:$B$13,2,FALSE)</f>
        <v>3</v>
      </c>
      <c r="M70" t="s">
        <v>24</v>
      </c>
      <c r="N70" t="str">
        <f>VLOOKUP(E70,mappings!$L$1:$M$110,2,FALSE)</f>
        <v>No answer provided</v>
      </c>
      <c r="O70" t="str">
        <f>VLOOKUP(E70,mappings!L:O,3,FALSE)</f>
        <v>No answer provided</v>
      </c>
      <c r="P70" t="str">
        <f>VLOOKUP(E70,mappings!L:P,4,FALSE)</f>
        <v>No answer provided</v>
      </c>
    </row>
    <row r="71" spans="1:16" x14ac:dyDescent="0.2">
      <c r="A71">
        <v>70</v>
      </c>
      <c r="B71">
        <v>3885497220</v>
      </c>
      <c r="C71" t="s">
        <v>6</v>
      </c>
      <c r="D71" t="s">
        <v>1</v>
      </c>
      <c r="E71" t="s">
        <v>52</v>
      </c>
      <c r="F71" t="s">
        <v>16</v>
      </c>
      <c r="G71" s="2">
        <f>VLOOKUP(F71,mappings!$G$2:$H$6,2,FALSE)</f>
        <v>3</v>
      </c>
      <c r="H71" t="s">
        <v>162</v>
      </c>
      <c r="I71" s="2">
        <f>VLOOKUP(H71,mappings!$D$2:$E$6,2,FALSE)</f>
        <v>1</v>
      </c>
      <c r="J71" t="s">
        <v>10</v>
      </c>
      <c r="K71" t="s">
        <v>32</v>
      </c>
      <c r="L71" s="2">
        <f>VLOOKUP(K71,mappings!$A$2:$B$13,2,FALSE)</f>
        <v>2</v>
      </c>
      <c r="M71" t="s">
        <v>24</v>
      </c>
      <c r="N71" t="str">
        <f>VLOOKUP(E71,mappings!$L$1:$M$110,2,FALSE)</f>
        <v>Yahoo</v>
      </c>
      <c r="O71" t="str">
        <f>VLOOKUP(E71,mappings!L:O,3,FALSE)</f>
        <v>App</v>
      </c>
      <c r="P71" t="str">
        <f>VLOOKUP(E71,mappings!L:P,4,FALSE)</f>
        <v>Apple</v>
      </c>
    </row>
    <row r="72" spans="1:16" x14ac:dyDescent="0.2">
      <c r="A72">
        <v>71</v>
      </c>
      <c r="B72">
        <v>3885496201</v>
      </c>
      <c r="C72" t="s">
        <v>6</v>
      </c>
      <c r="D72" t="s">
        <v>41</v>
      </c>
      <c r="E72" t="s">
        <v>8</v>
      </c>
      <c r="F72" t="s">
        <v>22</v>
      </c>
      <c r="G72" s="2">
        <f>VLOOKUP(F72,mappings!$G$2:$H$6,2,FALSE)</f>
        <v>1</v>
      </c>
      <c r="H72" t="s">
        <v>161</v>
      </c>
      <c r="I72" s="2">
        <f>VLOOKUP(H72,mappings!$D$2:$E$6,2,FALSE)</f>
        <v>2</v>
      </c>
      <c r="J72" t="s">
        <v>10</v>
      </c>
      <c r="K72" t="s">
        <v>29</v>
      </c>
      <c r="L72" s="2">
        <f>VLOOKUP(K72,mappings!$A$2:$B$13,2,FALSE)</f>
        <v>1</v>
      </c>
      <c r="M72" t="s">
        <v>8</v>
      </c>
      <c r="N72" t="str">
        <f>VLOOKUP(E72,mappings!$L$1:$M$110,2,FALSE)</f>
        <v>No answer provided</v>
      </c>
      <c r="O72" t="str">
        <f>VLOOKUP(E72,mappings!L:O,3,FALSE)</f>
        <v>No answer provided</v>
      </c>
      <c r="P72" t="str">
        <f>VLOOKUP(E72,mappings!L:P,4,FALSE)</f>
        <v>No answer provided</v>
      </c>
    </row>
    <row r="73" spans="1:16" x14ac:dyDescent="0.2">
      <c r="A73">
        <v>72</v>
      </c>
      <c r="B73">
        <v>3885404319</v>
      </c>
      <c r="C73" t="s">
        <v>6</v>
      </c>
      <c r="D73" t="s">
        <v>7</v>
      </c>
      <c r="E73" t="s">
        <v>8</v>
      </c>
      <c r="F73" t="s">
        <v>9</v>
      </c>
      <c r="G73" s="2">
        <f>VLOOKUP(F73,mappings!$G$2:$H$6,2,FALSE)</f>
        <v>4</v>
      </c>
      <c r="H73" t="s">
        <v>161</v>
      </c>
      <c r="I73" s="2">
        <f>VLOOKUP(H73,mappings!$D$2:$E$6,2,FALSE)</f>
        <v>2</v>
      </c>
      <c r="J73" t="s">
        <v>10</v>
      </c>
      <c r="K73" t="s">
        <v>23</v>
      </c>
      <c r="L73" s="2">
        <f>VLOOKUP(K73,mappings!$A$2:$B$13,2,FALSE)</f>
        <v>3</v>
      </c>
      <c r="M73" t="s">
        <v>20</v>
      </c>
      <c r="N73" t="str">
        <f>VLOOKUP(E73,mappings!$L$1:$M$110,2,FALSE)</f>
        <v>No answer provided</v>
      </c>
      <c r="O73" t="str">
        <f>VLOOKUP(E73,mappings!L:O,3,FALSE)</f>
        <v>No answer provided</v>
      </c>
      <c r="P73" t="str">
        <f>VLOOKUP(E73,mappings!L:P,4,FALSE)</f>
        <v>No answer provided</v>
      </c>
    </row>
    <row r="74" spans="1:16" x14ac:dyDescent="0.2">
      <c r="A74">
        <v>73</v>
      </c>
      <c r="B74">
        <v>3885304775</v>
      </c>
      <c r="C74" t="s">
        <v>6</v>
      </c>
      <c r="D74" t="s">
        <v>7</v>
      </c>
      <c r="E74" t="s">
        <v>8</v>
      </c>
      <c r="F74" t="s">
        <v>9</v>
      </c>
      <c r="G74" s="2">
        <f>VLOOKUP(F74,mappings!$G$2:$H$6,2,FALSE)</f>
        <v>4</v>
      </c>
      <c r="H74" t="s">
        <v>161</v>
      </c>
      <c r="I74" s="2">
        <f>VLOOKUP(H74,mappings!$D$2:$E$6,2,FALSE)</f>
        <v>2</v>
      </c>
      <c r="J74" t="s">
        <v>10</v>
      </c>
      <c r="K74" t="s">
        <v>11</v>
      </c>
      <c r="L74" s="2">
        <f>VLOOKUP(K74,mappings!$A$2:$B$13,2,FALSE)</f>
        <v>4</v>
      </c>
      <c r="M74" t="s">
        <v>15</v>
      </c>
      <c r="N74" t="str">
        <f>VLOOKUP(E74,mappings!$L$1:$M$110,2,FALSE)</f>
        <v>No answer provided</v>
      </c>
      <c r="O74" t="str">
        <f>VLOOKUP(E74,mappings!L:O,3,FALSE)</f>
        <v>No answer provided</v>
      </c>
      <c r="P74" t="str">
        <f>VLOOKUP(E74,mappings!L:P,4,FALSE)</f>
        <v>No answer provided</v>
      </c>
    </row>
    <row r="75" spans="1:16" x14ac:dyDescent="0.2">
      <c r="A75">
        <v>74</v>
      </c>
      <c r="B75">
        <v>3885296722</v>
      </c>
      <c r="C75" t="s">
        <v>6</v>
      </c>
      <c r="D75" t="s">
        <v>1</v>
      </c>
      <c r="E75" t="s">
        <v>53</v>
      </c>
      <c r="F75" t="s">
        <v>9</v>
      </c>
      <c r="G75" s="2">
        <f>VLOOKUP(F75,mappings!$G$2:$H$6,2,FALSE)</f>
        <v>4</v>
      </c>
      <c r="H75" t="s">
        <v>161</v>
      </c>
      <c r="I75" s="2">
        <f>VLOOKUP(H75,mappings!$D$2:$E$6,2,FALSE)</f>
        <v>2</v>
      </c>
      <c r="J75" t="s">
        <v>10</v>
      </c>
      <c r="K75" t="s">
        <v>32</v>
      </c>
      <c r="L75" s="2">
        <f>VLOOKUP(K75,mappings!$A$2:$B$13,2,FALSE)</f>
        <v>2</v>
      </c>
      <c r="M75" t="s">
        <v>15</v>
      </c>
      <c r="N75" t="str">
        <f>VLOOKUP(E75,mappings!$L$1:$M$110,2,FALSE)</f>
        <v>The Weather Channel</v>
      </c>
      <c r="O75" t="str">
        <f>VLOOKUP(E75,mappings!L:O,3,FALSE)</f>
        <v>App</v>
      </c>
      <c r="P75" t="str">
        <f>VLOOKUP(E75,mappings!L:P,4,FALSE)</f>
        <v>Other or unkown</v>
      </c>
    </row>
    <row r="76" spans="1:16" s="6" customFormat="1" x14ac:dyDescent="0.2">
      <c r="A76" s="6">
        <v>75</v>
      </c>
      <c r="B76" s="6">
        <v>3885275206</v>
      </c>
      <c r="C76" s="6" t="s">
        <v>6</v>
      </c>
      <c r="D76" s="6" t="s">
        <v>8</v>
      </c>
      <c r="E76" s="6" t="s">
        <v>8</v>
      </c>
      <c r="F76" s="6" t="s">
        <v>8</v>
      </c>
      <c r="G76" s="7" t="str">
        <f>VLOOKUP(F76,mappings!$G$2:$H$6,2,FALSE)</f>
        <v>na</v>
      </c>
      <c r="H76" s="6" t="s">
        <v>8</v>
      </c>
      <c r="I76" s="7" t="str">
        <f>VLOOKUP(H76,mappings!$D$2:$E$6,2,FALSE)</f>
        <v>na</v>
      </c>
      <c r="J76" s="6" t="s">
        <v>8</v>
      </c>
      <c r="K76" s="6" t="s">
        <v>8</v>
      </c>
      <c r="L76" s="7" t="str">
        <f>VLOOKUP(K76,mappings!$A$2:$B$13,2,FALSE)</f>
        <v>na</v>
      </c>
      <c r="M76" s="6" t="s">
        <v>8</v>
      </c>
      <c r="N76" t="str">
        <f>VLOOKUP(E76,mappings!$L$1:$M$110,2,FALSE)</f>
        <v>No answer provided</v>
      </c>
      <c r="O76" t="str">
        <f>VLOOKUP(E76,mappings!L:O,3,FALSE)</f>
        <v>No answer provided</v>
      </c>
      <c r="P76" t="str">
        <f>VLOOKUP(E76,mappings!L:P,4,FALSE)</f>
        <v>No answer provided</v>
      </c>
    </row>
    <row r="77" spans="1:16" x14ac:dyDescent="0.2">
      <c r="A77">
        <v>76</v>
      </c>
      <c r="B77">
        <v>3885247252</v>
      </c>
      <c r="C77" t="s">
        <v>26</v>
      </c>
      <c r="D77" t="s">
        <v>31</v>
      </c>
      <c r="E77" t="s">
        <v>8</v>
      </c>
      <c r="F77" t="s">
        <v>16</v>
      </c>
      <c r="G77" s="2">
        <f>VLOOKUP(F77,mappings!$G$2:$H$6,2,FALSE)</f>
        <v>3</v>
      </c>
      <c r="H77" t="s">
        <v>161</v>
      </c>
      <c r="I77" s="2">
        <f>VLOOKUP(H77,mappings!$D$2:$E$6,2,FALSE)</f>
        <v>2</v>
      </c>
      <c r="J77" t="s">
        <v>10</v>
      </c>
      <c r="K77" t="s">
        <v>18</v>
      </c>
      <c r="L77" s="2">
        <f>VLOOKUP(K77,mappings!$A$2:$B$13,2,FALSE)</f>
        <v>8</v>
      </c>
      <c r="M77" t="s">
        <v>30</v>
      </c>
      <c r="N77" t="str">
        <f>VLOOKUP(E77,mappings!$L$1:$M$110,2,FALSE)</f>
        <v>No answer provided</v>
      </c>
      <c r="O77" t="str">
        <f>VLOOKUP(E77,mappings!L:O,3,FALSE)</f>
        <v>No answer provided</v>
      </c>
      <c r="P77" t="str">
        <f>VLOOKUP(E77,mappings!L:P,4,FALSE)</f>
        <v>No answer provided</v>
      </c>
    </row>
    <row r="78" spans="1:16" x14ac:dyDescent="0.2">
      <c r="A78">
        <v>77</v>
      </c>
      <c r="B78">
        <v>3885195077</v>
      </c>
      <c r="C78" t="s">
        <v>6</v>
      </c>
      <c r="D78" t="s">
        <v>1</v>
      </c>
      <c r="E78" t="s">
        <v>54</v>
      </c>
      <c r="F78" t="s">
        <v>9</v>
      </c>
      <c r="G78" s="2">
        <f>VLOOKUP(F78,mappings!$G$2:$H$6,2,FALSE)</f>
        <v>4</v>
      </c>
      <c r="H78" t="s">
        <v>162</v>
      </c>
      <c r="I78" s="2">
        <f>VLOOKUP(H78,mappings!$D$2:$E$6,2,FALSE)</f>
        <v>1</v>
      </c>
      <c r="J78" t="s">
        <v>10</v>
      </c>
      <c r="K78" t="s">
        <v>29</v>
      </c>
      <c r="L78" s="2">
        <f>VLOOKUP(K78,mappings!$A$2:$B$13,2,FALSE)</f>
        <v>1</v>
      </c>
      <c r="M78" t="s">
        <v>12</v>
      </c>
      <c r="N78" t="str">
        <f>VLOOKUP(E78,mappings!$L$1:$M$110,2,FALSE)</f>
        <v>Other search engines</v>
      </c>
      <c r="O78" t="str">
        <f>VLOOKUP(E78,mappings!L:O,3,FALSE)</f>
        <v>Web Search</v>
      </c>
      <c r="P78" t="str">
        <f>VLOOKUP(E78,mappings!L:P,4,FALSE)</f>
        <v>Other or unkown</v>
      </c>
    </row>
    <row r="79" spans="1:16" x14ac:dyDescent="0.2">
      <c r="A79">
        <v>78</v>
      </c>
      <c r="B79">
        <v>3885174420</v>
      </c>
      <c r="C79" t="s">
        <v>6</v>
      </c>
      <c r="D79" t="s">
        <v>27</v>
      </c>
      <c r="E79" t="s">
        <v>8</v>
      </c>
      <c r="F79" t="s">
        <v>16</v>
      </c>
      <c r="G79" s="2">
        <f>VLOOKUP(F79,mappings!$G$2:$H$6,2,FALSE)</f>
        <v>3</v>
      </c>
      <c r="H79" t="s">
        <v>43</v>
      </c>
      <c r="I79" s="2">
        <f>VLOOKUP(H79,mappings!$D$2:$E$6,2,FALSE)</f>
        <v>4</v>
      </c>
      <c r="J79" t="s">
        <v>10</v>
      </c>
      <c r="K79" t="s">
        <v>47</v>
      </c>
      <c r="L79" s="2">
        <f>VLOOKUP(K79,mappings!$A$2:$B$13,2,FALSE)</f>
        <v>9</v>
      </c>
      <c r="M79" t="s">
        <v>30</v>
      </c>
      <c r="N79" t="str">
        <f>VLOOKUP(E79,mappings!$L$1:$M$110,2,FALSE)</f>
        <v>No answer provided</v>
      </c>
      <c r="O79" t="str">
        <f>VLOOKUP(E79,mappings!L:O,3,FALSE)</f>
        <v>No answer provided</v>
      </c>
      <c r="P79" t="str">
        <f>VLOOKUP(E79,mappings!L:P,4,FALSE)</f>
        <v>No answer provided</v>
      </c>
    </row>
    <row r="80" spans="1:16" x14ac:dyDescent="0.2">
      <c r="A80">
        <v>79</v>
      </c>
      <c r="B80">
        <v>3885164782</v>
      </c>
      <c r="C80" t="s">
        <v>6</v>
      </c>
      <c r="D80" t="s">
        <v>7</v>
      </c>
      <c r="E80" t="s">
        <v>8</v>
      </c>
      <c r="F80" t="s">
        <v>9</v>
      </c>
      <c r="G80" s="2">
        <f>VLOOKUP(F80,mappings!$G$2:$H$6,2,FALSE)</f>
        <v>4</v>
      </c>
      <c r="H80" t="s">
        <v>161</v>
      </c>
      <c r="I80" s="2">
        <f>VLOOKUP(H80,mappings!$D$2:$E$6,2,FALSE)</f>
        <v>2</v>
      </c>
      <c r="J80" t="s">
        <v>10</v>
      </c>
      <c r="K80" t="s">
        <v>48</v>
      </c>
      <c r="L80" s="2">
        <f>VLOOKUP(K80,mappings!$A$2:$B$13,2,FALSE)</f>
        <v>7</v>
      </c>
      <c r="M80" t="s">
        <v>15</v>
      </c>
      <c r="N80" t="str">
        <f>VLOOKUP(E80,mappings!$L$1:$M$110,2,FALSE)</f>
        <v>No answer provided</v>
      </c>
      <c r="O80" t="str">
        <f>VLOOKUP(E80,mappings!L:O,3,FALSE)</f>
        <v>No answer provided</v>
      </c>
      <c r="P80" t="str">
        <f>VLOOKUP(E80,mappings!L:P,4,FALSE)</f>
        <v>No answer provided</v>
      </c>
    </row>
    <row r="81" spans="1:16" x14ac:dyDescent="0.2">
      <c r="A81">
        <v>80</v>
      </c>
      <c r="B81">
        <v>3885139533</v>
      </c>
      <c r="C81" t="s">
        <v>6</v>
      </c>
      <c r="D81" t="s">
        <v>7</v>
      </c>
      <c r="E81" t="s">
        <v>8</v>
      </c>
      <c r="F81" t="s">
        <v>9</v>
      </c>
      <c r="G81" s="2">
        <f>VLOOKUP(F81,mappings!$G$2:$H$6,2,FALSE)</f>
        <v>4</v>
      </c>
      <c r="H81" t="s">
        <v>161</v>
      </c>
      <c r="I81" s="2">
        <f>VLOOKUP(H81,mappings!$D$2:$E$6,2,FALSE)</f>
        <v>2</v>
      </c>
      <c r="J81" t="s">
        <v>10</v>
      </c>
      <c r="K81" t="s">
        <v>39</v>
      </c>
      <c r="L81" s="2">
        <f>VLOOKUP(K81,mappings!$A$2:$B$13,2,FALSE)</f>
        <v>10</v>
      </c>
      <c r="M81" t="s">
        <v>38</v>
      </c>
      <c r="N81" t="str">
        <f>VLOOKUP(E81,mappings!$L$1:$M$110,2,FALSE)</f>
        <v>No answer provided</v>
      </c>
      <c r="O81" t="str">
        <f>VLOOKUP(E81,mappings!L:O,3,FALSE)</f>
        <v>No answer provided</v>
      </c>
      <c r="P81" t="str">
        <f>VLOOKUP(E81,mappings!L:P,4,FALSE)</f>
        <v>No answer provided</v>
      </c>
    </row>
    <row r="82" spans="1:16" x14ac:dyDescent="0.2">
      <c r="A82">
        <v>81</v>
      </c>
      <c r="B82">
        <v>3885123066</v>
      </c>
      <c r="C82" t="s">
        <v>6</v>
      </c>
      <c r="D82" t="s">
        <v>21</v>
      </c>
      <c r="E82" t="s">
        <v>8</v>
      </c>
      <c r="F82" t="s">
        <v>22</v>
      </c>
      <c r="G82" s="2">
        <f>VLOOKUP(F82,mappings!$G$2:$H$6,2,FALSE)</f>
        <v>1</v>
      </c>
      <c r="H82" t="s">
        <v>162</v>
      </c>
      <c r="I82" s="2">
        <f>VLOOKUP(H82,mappings!$D$2:$E$6,2,FALSE)</f>
        <v>1</v>
      </c>
      <c r="J82" t="s">
        <v>10</v>
      </c>
      <c r="K82" t="s">
        <v>13</v>
      </c>
      <c r="L82" s="2">
        <f>VLOOKUP(K82,mappings!$A$2:$B$13,2,FALSE)</f>
        <v>11</v>
      </c>
      <c r="M82" t="s">
        <v>38</v>
      </c>
      <c r="N82" t="str">
        <f>VLOOKUP(E82,mappings!$L$1:$M$110,2,FALSE)</f>
        <v>No answer provided</v>
      </c>
      <c r="O82" t="str">
        <f>VLOOKUP(E82,mappings!L:O,3,FALSE)</f>
        <v>No answer provided</v>
      </c>
      <c r="P82" t="str">
        <f>VLOOKUP(E82,mappings!L:P,4,FALSE)</f>
        <v>No answer provided</v>
      </c>
    </row>
    <row r="83" spans="1:16" x14ac:dyDescent="0.2">
      <c r="A83">
        <v>82</v>
      </c>
      <c r="B83">
        <v>3885040099</v>
      </c>
      <c r="C83" t="s">
        <v>6</v>
      </c>
      <c r="D83" t="s">
        <v>1</v>
      </c>
      <c r="E83" t="s">
        <v>55</v>
      </c>
      <c r="F83" t="s">
        <v>16</v>
      </c>
      <c r="G83" s="2">
        <f>VLOOKUP(F83,mappings!$G$2:$H$6,2,FALSE)</f>
        <v>3</v>
      </c>
      <c r="H83" t="s">
        <v>161</v>
      </c>
      <c r="I83" s="2">
        <f>VLOOKUP(H83,mappings!$D$2:$E$6,2,FALSE)</f>
        <v>2</v>
      </c>
      <c r="J83" t="s">
        <v>10</v>
      </c>
      <c r="K83" t="s">
        <v>14</v>
      </c>
      <c r="L83" s="2">
        <f>VLOOKUP(K83,mappings!$A$2:$B$13,2,FALSE)</f>
        <v>6</v>
      </c>
      <c r="M83" t="s">
        <v>25</v>
      </c>
      <c r="N83" t="str">
        <f>VLOOKUP(E83,mappings!$L$1:$M$110,2,FALSE)</f>
        <v>Weather Underground</v>
      </c>
      <c r="O83" t="str">
        <f>VLOOKUP(E83,mappings!L:O,3,FALSE)</f>
        <v>Website</v>
      </c>
      <c r="P83" t="str">
        <f>VLOOKUP(E83,mappings!L:P,4,FALSE)</f>
        <v>Other or unkown</v>
      </c>
    </row>
    <row r="84" spans="1:16" x14ac:dyDescent="0.2">
      <c r="A84">
        <v>83</v>
      </c>
      <c r="B84">
        <v>3885026185</v>
      </c>
      <c r="C84" t="s">
        <v>26</v>
      </c>
      <c r="D84" t="s">
        <v>7</v>
      </c>
      <c r="E84" t="s">
        <v>8</v>
      </c>
      <c r="F84" t="s">
        <v>16</v>
      </c>
      <c r="G84" s="2">
        <f>VLOOKUP(F84,mappings!$G$2:$H$6,2,FALSE)</f>
        <v>3</v>
      </c>
      <c r="H84" t="s">
        <v>161</v>
      </c>
      <c r="I84" s="2">
        <f>VLOOKUP(H84,mappings!$D$2:$E$6,2,FALSE)</f>
        <v>2</v>
      </c>
      <c r="J84" t="s">
        <v>10</v>
      </c>
      <c r="K84" t="s">
        <v>33</v>
      </c>
      <c r="L84" s="2">
        <f>VLOOKUP(K84,mappings!$A$2:$B$13,2,FALSE)</f>
        <v>5</v>
      </c>
      <c r="M84" t="s">
        <v>24</v>
      </c>
      <c r="N84" t="str">
        <f>VLOOKUP(E84,mappings!$L$1:$M$110,2,FALSE)</f>
        <v>No answer provided</v>
      </c>
      <c r="O84" t="str">
        <f>VLOOKUP(E84,mappings!L:O,3,FALSE)</f>
        <v>No answer provided</v>
      </c>
      <c r="P84" t="str">
        <f>VLOOKUP(E84,mappings!L:P,4,FALSE)</f>
        <v>No answer provided</v>
      </c>
    </row>
    <row r="85" spans="1:16" x14ac:dyDescent="0.2">
      <c r="A85">
        <v>84</v>
      </c>
      <c r="B85">
        <v>3884998535</v>
      </c>
      <c r="C85" t="s">
        <v>6</v>
      </c>
      <c r="D85" t="s">
        <v>1</v>
      </c>
      <c r="E85" t="s">
        <v>56</v>
      </c>
      <c r="F85" t="s">
        <v>22</v>
      </c>
      <c r="G85" s="2">
        <f>VLOOKUP(F85,mappings!$G$2:$H$6,2,FALSE)</f>
        <v>1</v>
      </c>
      <c r="H85" t="s">
        <v>161</v>
      </c>
      <c r="I85" s="2">
        <f>VLOOKUP(H85,mappings!$D$2:$E$6,2,FALSE)</f>
        <v>2</v>
      </c>
      <c r="J85" t="s">
        <v>10</v>
      </c>
      <c r="K85" t="s">
        <v>48</v>
      </c>
      <c r="L85" s="2">
        <f>VLOOKUP(K85,mappings!$A$2:$B$13,2,FALSE)</f>
        <v>7</v>
      </c>
      <c r="M85" t="s">
        <v>24</v>
      </c>
      <c r="N85" t="str">
        <f>VLOOKUP(E85,mappings!$L$1:$M$110,2,FALSE)</f>
        <v>Other or unknown</v>
      </c>
      <c r="O85" t="str">
        <f>VLOOKUP(E85,mappings!L:O,3,FALSE)</f>
        <v>App</v>
      </c>
      <c r="P85" t="str">
        <f>VLOOKUP(E85,mappings!L:P,4,FALSE)</f>
        <v>Android</v>
      </c>
    </row>
    <row r="86" spans="1:16" x14ac:dyDescent="0.2">
      <c r="A86">
        <v>85</v>
      </c>
      <c r="B86">
        <v>3884960044</v>
      </c>
      <c r="C86" t="s">
        <v>6</v>
      </c>
      <c r="D86" t="s">
        <v>7</v>
      </c>
      <c r="E86" t="s">
        <v>8</v>
      </c>
      <c r="F86" t="s">
        <v>16</v>
      </c>
      <c r="G86" s="2">
        <f>VLOOKUP(F86,mappings!$G$2:$H$6,2,FALSE)</f>
        <v>3</v>
      </c>
      <c r="H86" t="s">
        <v>162</v>
      </c>
      <c r="I86" s="2">
        <f>VLOOKUP(H86,mappings!$D$2:$E$6,2,FALSE)</f>
        <v>1</v>
      </c>
      <c r="J86" t="s">
        <v>10</v>
      </c>
      <c r="K86" t="s">
        <v>14</v>
      </c>
      <c r="L86" s="2">
        <f>VLOOKUP(K86,mappings!$A$2:$B$13,2,FALSE)</f>
        <v>6</v>
      </c>
      <c r="M86" t="s">
        <v>12</v>
      </c>
      <c r="N86" t="str">
        <f>VLOOKUP(E86,mappings!$L$1:$M$110,2,FALSE)</f>
        <v>No answer provided</v>
      </c>
      <c r="O86" t="str">
        <f>VLOOKUP(E86,mappings!L:O,3,FALSE)</f>
        <v>No answer provided</v>
      </c>
      <c r="P86" t="str">
        <f>VLOOKUP(E86,mappings!L:P,4,FALSE)</f>
        <v>No answer provided</v>
      </c>
    </row>
    <row r="87" spans="1:16" x14ac:dyDescent="0.2">
      <c r="A87">
        <v>86</v>
      </c>
      <c r="B87">
        <v>3884902653</v>
      </c>
      <c r="C87" t="s">
        <v>26</v>
      </c>
      <c r="D87" t="s">
        <v>7</v>
      </c>
      <c r="E87" t="s">
        <v>8</v>
      </c>
      <c r="F87" t="s">
        <v>9</v>
      </c>
      <c r="G87" s="2">
        <f>VLOOKUP(F87,mappings!$G$2:$H$6,2,FALSE)</f>
        <v>4</v>
      </c>
      <c r="H87" t="s">
        <v>162</v>
      </c>
      <c r="I87" s="2">
        <f>VLOOKUP(H87,mappings!$D$2:$E$6,2,FALSE)</f>
        <v>1</v>
      </c>
      <c r="J87" t="s">
        <v>10</v>
      </c>
      <c r="K87" t="s">
        <v>23</v>
      </c>
      <c r="L87" s="2">
        <f>VLOOKUP(K87,mappings!$A$2:$B$13,2,FALSE)</f>
        <v>3</v>
      </c>
      <c r="M87" t="s">
        <v>34</v>
      </c>
      <c r="N87" t="str">
        <f>VLOOKUP(E87,mappings!$L$1:$M$110,2,FALSE)</f>
        <v>No answer provided</v>
      </c>
      <c r="O87" t="str">
        <f>VLOOKUP(E87,mappings!L:O,3,FALSE)</f>
        <v>No answer provided</v>
      </c>
      <c r="P87" t="str">
        <f>VLOOKUP(E87,mappings!L:P,4,FALSE)</f>
        <v>No answer provided</v>
      </c>
    </row>
    <row r="88" spans="1:16" x14ac:dyDescent="0.2">
      <c r="A88">
        <v>87</v>
      </c>
      <c r="B88">
        <v>3884859930</v>
      </c>
      <c r="C88" t="s">
        <v>6</v>
      </c>
      <c r="D88" t="s">
        <v>31</v>
      </c>
      <c r="E88" t="s">
        <v>8</v>
      </c>
      <c r="F88" t="s">
        <v>28</v>
      </c>
      <c r="G88" s="2">
        <f>VLOOKUP(F88,mappings!$G$2:$H$6,2,FALSE)</f>
        <v>2</v>
      </c>
      <c r="H88" t="s">
        <v>161</v>
      </c>
      <c r="I88" s="2">
        <f>VLOOKUP(H88,mappings!$D$2:$E$6,2,FALSE)</f>
        <v>2</v>
      </c>
      <c r="J88" t="s">
        <v>10</v>
      </c>
      <c r="K88" t="s">
        <v>32</v>
      </c>
      <c r="L88" s="2">
        <f>VLOOKUP(K88,mappings!$A$2:$B$13,2,FALSE)</f>
        <v>2</v>
      </c>
      <c r="M88" t="s">
        <v>20</v>
      </c>
      <c r="N88" t="str">
        <f>VLOOKUP(E88,mappings!$L$1:$M$110,2,FALSE)</f>
        <v>No answer provided</v>
      </c>
      <c r="O88" t="str">
        <f>VLOOKUP(E88,mappings!L:O,3,FALSE)</f>
        <v>No answer provided</v>
      </c>
      <c r="P88" t="str">
        <f>VLOOKUP(E88,mappings!L:P,4,FALSE)</f>
        <v>No answer provided</v>
      </c>
    </row>
    <row r="89" spans="1:16" x14ac:dyDescent="0.2">
      <c r="A89">
        <v>88</v>
      </c>
      <c r="B89">
        <v>3884813859</v>
      </c>
      <c r="C89" t="s">
        <v>26</v>
      </c>
      <c r="D89" t="s">
        <v>27</v>
      </c>
      <c r="E89" t="s">
        <v>8</v>
      </c>
      <c r="F89" t="s">
        <v>22</v>
      </c>
      <c r="G89" s="2">
        <f>VLOOKUP(F89,mappings!$G$2:$H$6,2,FALSE)</f>
        <v>1</v>
      </c>
      <c r="H89" t="s">
        <v>162</v>
      </c>
      <c r="I89" s="2">
        <f>VLOOKUP(H89,mappings!$D$2:$E$6,2,FALSE)</f>
        <v>1</v>
      </c>
      <c r="J89" t="s">
        <v>10</v>
      </c>
      <c r="K89" t="s">
        <v>29</v>
      </c>
      <c r="L89" s="2">
        <f>VLOOKUP(K89,mappings!$A$2:$B$13,2,FALSE)</f>
        <v>1</v>
      </c>
      <c r="M89" t="s">
        <v>24</v>
      </c>
      <c r="N89" t="str">
        <f>VLOOKUP(E89,mappings!$L$1:$M$110,2,FALSE)</f>
        <v>No answer provided</v>
      </c>
      <c r="O89" t="str">
        <f>VLOOKUP(E89,mappings!L:O,3,FALSE)</f>
        <v>No answer provided</v>
      </c>
      <c r="P89" t="str">
        <f>VLOOKUP(E89,mappings!L:P,4,FALSE)</f>
        <v>No answer provided</v>
      </c>
    </row>
    <row r="90" spans="1:16" x14ac:dyDescent="0.2">
      <c r="A90">
        <v>89</v>
      </c>
      <c r="B90">
        <v>3884790873</v>
      </c>
      <c r="C90" t="s">
        <v>6</v>
      </c>
      <c r="D90" t="s">
        <v>7</v>
      </c>
      <c r="E90" t="s">
        <v>8</v>
      </c>
      <c r="F90" t="s">
        <v>9</v>
      </c>
      <c r="G90" s="2">
        <f>VLOOKUP(F90,mappings!$G$2:$H$6,2,FALSE)</f>
        <v>4</v>
      </c>
      <c r="H90" t="s">
        <v>162</v>
      </c>
      <c r="I90" s="2">
        <f>VLOOKUP(H90,mappings!$D$2:$E$6,2,FALSE)</f>
        <v>1</v>
      </c>
      <c r="J90" t="s">
        <v>10</v>
      </c>
      <c r="K90" t="s">
        <v>29</v>
      </c>
      <c r="L90" s="2">
        <f>VLOOKUP(K90,mappings!$A$2:$B$13,2,FALSE)</f>
        <v>1</v>
      </c>
      <c r="M90" t="s">
        <v>25</v>
      </c>
      <c r="N90" t="str">
        <f>VLOOKUP(E90,mappings!$L$1:$M$110,2,FALSE)</f>
        <v>No answer provided</v>
      </c>
      <c r="O90" t="str">
        <f>VLOOKUP(E90,mappings!L:O,3,FALSE)</f>
        <v>No answer provided</v>
      </c>
      <c r="P90" t="str">
        <f>VLOOKUP(E90,mappings!L:P,4,FALSE)</f>
        <v>No answer provided</v>
      </c>
    </row>
    <row r="91" spans="1:16" x14ac:dyDescent="0.2">
      <c r="A91">
        <v>90</v>
      </c>
      <c r="B91">
        <v>3884694722</v>
      </c>
      <c r="C91" t="s">
        <v>6</v>
      </c>
      <c r="D91" t="s">
        <v>21</v>
      </c>
      <c r="E91" t="s">
        <v>8</v>
      </c>
      <c r="F91" t="s">
        <v>9</v>
      </c>
      <c r="G91" s="2">
        <f>VLOOKUP(F91,mappings!$G$2:$H$6,2,FALSE)</f>
        <v>4</v>
      </c>
      <c r="H91" t="s">
        <v>162</v>
      </c>
      <c r="I91" s="2">
        <f>VLOOKUP(H91,mappings!$D$2:$E$6,2,FALSE)</f>
        <v>1</v>
      </c>
      <c r="J91" t="s">
        <v>10</v>
      </c>
      <c r="K91" t="s">
        <v>14</v>
      </c>
      <c r="L91" s="2">
        <f>VLOOKUP(K91,mappings!$A$2:$B$13,2,FALSE)</f>
        <v>6</v>
      </c>
      <c r="M91" t="s">
        <v>38</v>
      </c>
      <c r="N91" t="str">
        <f>VLOOKUP(E91,mappings!$L$1:$M$110,2,FALSE)</f>
        <v>No answer provided</v>
      </c>
      <c r="O91" t="str">
        <f>VLOOKUP(E91,mappings!L:O,3,FALSE)</f>
        <v>No answer provided</v>
      </c>
      <c r="P91" t="str">
        <f>VLOOKUP(E91,mappings!L:P,4,FALSE)</f>
        <v>No answer provided</v>
      </c>
    </row>
    <row r="92" spans="1:16" x14ac:dyDescent="0.2">
      <c r="A92">
        <v>91</v>
      </c>
      <c r="B92">
        <v>3884500697</v>
      </c>
      <c r="C92" t="s">
        <v>6</v>
      </c>
      <c r="D92" t="s">
        <v>21</v>
      </c>
      <c r="E92" t="s">
        <v>8</v>
      </c>
      <c r="F92" t="s">
        <v>22</v>
      </c>
      <c r="G92" s="2">
        <f>VLOOKUP(F92,mappings!$G$2:$H$6,2,FALSE)</f>
        <v>1</v>
      </c>
      <c r="H92" t="s">
        <v>162</v>
      </c>
      <c r="I92" s="2">
        <f>VLOOKUP(H92,mappings!$D$2:$E$6,2,FALSE)</f>
        <v>1</v>
      </c>
      <c r="J92" t="s">
        <v>10</v>
      </c>
      <c r="K92" t="s">
        <v>23</v>
      </c>
      <c r="L92" s="2">
        <f>VLOOKUP(K92,mappings!$A$2:$B$13,2,FALSE)</f>
        <v>3</v>
      </c>
      <c r="M92" t="s">
        <v>12</v>
      </c>
      <c r="N92" t="str">
        <f>VLOOKUP(E92,mappings!$L$1:$M$110,2,FALSE)</f>
        <v>No answer provided</v>
      </c>
      <c r="O92" t="str">
        <f>VLOOKUP(E92,mappings!L:O,3,FALSE)</f>
        <v>No answer provided</v>
      </c>
      <c r="P92" t="str">
        <f>VLOOKUP(E92,mappings!L:P,4,FALSE)</f>
        <v>No answer provided</v>
      </c>
    </row>
    <row r="93" spans="1:16" x14ac:dyDescent="0.2">
      <c r="A93">
        <v>92</v>
      </c>
      <c r="B93">
        <v>3883994422</v>
      </c>
      <c r="C93" t="s">
        <v>6</v>
      </c>
      <c r="D93" t="s">
        <v>41</v>
      </c>
      <c r="E93" t="s">
        <v>8</v>
      </c>
      <c r="F93" t="s">
        <v>9</v>
      </c>
      <c r="G93" s="2">
        <f>VLOOKUP(F93,mappings!$G$2:$H$6,2,FALSE)</f>
        <v>4</v>
      </c>
      <c r="H93" t="s">
        <v>162</v>
      </c>
      <c r="I93" s="2">
        <f>VLOOKUP(H93,mappings!$D$2:$E$6,2,FALSE)</f>
        <v>1</v>
      </c>
      <c r="J93" t="s">
        <v>10</v>
      </c>
      <c r="K93" t="s">
        <v>29</v>
      </c>
      <c r="L93" s="2">
        <f>VLOOKUP(K93,mappings!$A$2:$B$13,2,FALSE)</f>
        <v>1</v>
      </c>
      <c r="M93" t="s">
        <v>42</v>
      </c>
      <c r="N93" t="str">
        <f>VLOOKUP(E93,mappings!$L$1:$M$110,2,FALSE)</f>
        <v>No answer provided</v>
      </c>
      <c r="O93" t="str">
        <f>VLOOKUP(E93,mappings!L:O,3,FALSE)</f>
        <v>No answer provided</v>
      </c>
      <c r="P93" t="str">
        <f>VLOOKUP(E93,mappings!L:P,4,FALSE)</f>
        <v>No answer provided</v>
      </c>
    </row>
    <row r="94" spans="1:16" x14ac:dyDescent="0.2">
      <c r="A94">
        <v>93</v>
      </c>
      <c r="B94">
        <v>3883947693</v>
      </c>
      <c r="C94" t="s">
        <v>26</v>
      </c>
      <c r="D94" t="s">
        <v>27</v>
      </c>
      <c r="E94" t="s">
        <v>8</v>
      </c>
      <c r="F94" t="s">
        <v>16</v>
      </c>
      <c r="G94" s="2">
        <f>VLOOKUP(F94,mappings!$G$2:$H$6,2,FALSE)</f>
        <v>3</v>
      </c>
      <c r="H94" t="s">
        <v>162</v>
      </c>
      <c r="I94" s="2">
        <f>VLOOKUP(H94,mappings!$D$2:$E$6,2,FALSE)</f>
        <v>1</v>
      </c>
      <c r="J94" t="s">
        <v>10</v>
      </c>
      <c r="K94" t="s">
        <v>13</v>
      </c>
      <c r="L94" s="2">
        <f>VLOOKUP(K94,mappings!$A$2:$B$13,2,FALSE)</f>
        <v>11</v>
      </c>
      <c r="M94" t="s">
        <v>24</v>
      </c>
      <c r="N94" t="str">
        <f>VLOOKUP(E94,mappings!$L$1:$M$110,2,FALSE)</f>
        <v>No answer provided</v>
      </c>
      <c r="O94" t="str">
        <f>VLOOKUP(E94,mappings!L:O,3,FALSE)</f>
        <v>No answer provided</v>
      </c>
      <c r="P94" t="str">
        <f>VLOOKUP(E94,mappings!L:P,4,FALSE)</f>
        <v>No answer provided</v>
      </c>
    </row>
    <row r="95" spans="1:16" x14ac:dyDescent="0.2">
      <c r="A95">
        <v>94</v>
      </c>
      <c r="B95">
        <v>3883852529</v>
      </c>
      <c r="C95" t="s">
        <v>26</v>
      </c>
      <c r="D95" t="s">
        <v>41</v>
      </c>
      <c r="E95" t="s">
        <v>8</v>
      </c>
      <c r="F95" t="s">
        <v>28</v>
      </c>
      <c r="G95" s="2">
        <f>VLOOKUP(F95,mappings!$G$2:$H$6,2,FALSE)</f>
        <v>2</v>
      </c>
      <c r="H95" t="s">
        <v>162</v>
      </c>
      <c r="I95" s="2">
        <f>VLOOKUP(H95,mappings!$D$2:$E$6,2,FALSE)</f>
        <v>1</v>
      </c>
      <c r="J95" t="s">
        <v>10</v>
      </c>
      <c r="K95" t="s">
        <v>33</v>
      </c>
      <c r="L95" s="2">
        <f>VLOOKUP(K95,mappings!$A$2:$B$13,2,FALSE)</f>
        <v>5</v>
      </c>
      <c r="M95" t="s">
        <v>24</v>
      </c>
      <c r="N95" t="str">
        <f>VLOOKUP(E95,mappings!$L$1:$M$110,2,FALSE)</f>
        <v>No answer provided</v>
      </c>
      <c r="O95" t="str">
        <f>VLOOKUP(E95,mappings!L:O,3,FALSE)</f>
        <v>No answer provided</v>
      </c>
      <c r="P95" t="str">
        <f>VLOOKUP(E95,mappings!L:P,4,FALSE)</f>
        <v>No answer provided</v>
      </c>
    </row>
    <row r="96" spans="1:16" x14ac:dyDescent="0.2">
      <c r="A96">
        <v>95</v>
      </c>
      <c r="B96">
        <v>3883822504</v>
      </c>
      <c r="C96" t="s">
        <v>6</v>
      </c>
      <c r="D96" t="s">
        <v>1</v>
      </c>
      <c r="E96" t="s">
        <v>44</v>
      </c>
      <c r="F96" t="s">
        <v>16</v>
      </c>
      <c r="G96" s="2">
        <f>VLOOKUP(F96,mappings!$G$2:$H$6,2,FALSE)</f>
        <v>3</v>
      </c>
      <c r="H96" t="s">
        <v>162</v>
      </c>
      <c r="I96" s="2">
        <f>VLOOKUP(H96,mappings!$D$2:$E$6,2,FALSE)</f>
        <v>1</v>
      </c>
      <c r="J96" t="s">
        <v>10</v>
      </c>
      <c r="K96" t="s">
        <v>29</v>
      </c>
      <c r="L96" s="2">
        <f>VLOOKUP(K96,mappings!$A$2:$B$13,2,FALSE)</f>
        <v>1</v>
      </c>
      <c r="M96" t="s">
        <v>20</v>
      </c>
      <c r="N96" t="str">
        <f>VLOOKUP(E96,mappings!$L$1:$M$110,2,FALSE)</f>
        <v>Weatherbug</v>
      </c>
      <c r="O96" t="str">
        <f>VLOOKUP(E96,mappings!L:O,3,FALSE)</f>
        <v>Website</v>
      </c>
      <c r="P96" t="str">
        <f>VLOOKUP(E96,mappings!L:P,4,FALSE)</f>
        <v>Other or unkown</v>
      </c>
    </row>
    <row r="97" spans="1:16" x14ac:dyDescent="0.2">
      <c r="A97">
        <v>96</v>
      </c>
      <c r="B97">
        <v>3883792972</v>
      </c>
      <c r="C97" t="s">
        <v>6</v>
      </c>
      <c r="D97" t="s">
        <v>21</v>
      </c>
      <c r="E97" t="s">
        <v>8</v>
      </c>
      <c r="F97" t="s">
        <v>22</v>
      </c>
      <c r="G97" s="2">
        <f>VLOOKUP(F97,mappings!$G$2:$H$6,2,FALSE)</f>
        <v>1</v>
      </c>
      <c r="H97" t="s">
        <v>161</v>
      </c>
      <c r="I97" s="2">
        <f>VLOOKUP(H97,mappings!$D$2:$E$6,2,FALSE)</f>
        <v>2</v>
      </c>
      <c r="J97" t="s">
        <v>10</v>
      </c>
      <c r="K97" t="s">
        <v>13</v>
      </c>
      <c r="L97" s="2">
        <f>VLOOKUP(K97,mappings!$A$2:$B$13,2,FALSE)</f>
        <v>11</v>
      </c>
      <c r="M97" t="s">
        <v>20</v>
      </c>
      <c r="N97" t="str">
        <f>VLOOKUP(E97,mappings!$L$1:$M$110,2,FALSE)</f>
        <v>No answer provided</v>
      </c>
      <c r="O97" t="str">
        <f>VLOOKUP(E97,mappings!L:O,3,FALSE)</f>
        <v>No answer provided</v>
      </c>
      <c r="P97" t="str">
        <f>VLOOKUP(E97,mappings!L:P,4,FALSE)</f>
        <v>No answer provided</v>
      </c>
    </row>
    <row r="98" spans="1:16" x14ac:dyDescent="0.2">
      <c r="A98">
        <v>97</v>
      </c>
      <c r="B98">
        <v>3883744850</v>
      </c>
      <c r="C98" t="s">
        <v>6</v>
      </c>
      <c r="D98" t="s">
        <v>7</v>
      </c>
      <c r="E98" t="s">
        <v>8</v>
      </c>
      <c r="F98" t="s">
        <v>16</v>
      </c>
      <c r="G98" s="2">
        <f>VLOOKUP(F98,mappings!$G$2:$H$6,2,FALSE)</f>
        <v>3</v>
      </c>
      <c r="H98" t="s">
        <v>162</v>
      </c>
      <c r="I98" s="2">
        <f>VLOOKUP(H98,mappings!$D$2:$E$6,2,FALSE)</f>
        <v>1</v>
      </c>
      <c r="J98" t="s">
        <v>10</v>
      </c>
      <c r="K98" t="s">
        <v>11</v>
      </c>
      <c r="L98" s="2">
        <f>VLOOKUP(K98,mappings!$A$2:$B$13,2,FALSE)</f>
        <v>4</v>
      </c>
      <c r="M98" t="s">
        <v>20</v>
      </c>
      <c r="N98" t="str">
        <f>VLOOKUP(E98,mappings!$L$1:$M$110,2,FALSE)</f>
        <v>No answer provided</v>
      </c>
      <c r="O98" t="str">
        <f>VLOOKUP(E98,mappings!L:O,3,FALSE)</f>
        <v>No answer provided</v>
      </c>
      <c r="P98" t="str">
        <f>VLOOKUP(E98,mappings!L:P,4,FALSE)</f>
        <v>No answer provided</v>
      </c>
    </row>
    <row r="99" spans="1:16" x14ac:dyDescent="0.2">
      <c r="A99">
        <v>98</v>
      </c>
      <c r="B99">
        <v>3883706735</v>
      </c>
      <c r="C99" t="s">
        <v>26</v>
      </c>
      <c r="D99" t="s">
        <v>7</v>
      </c>
      <c r="E99" t="s">
        <v>8</v>
      </c>
      <c r="F99" t="s">
        <v>28</v>
      </c>
      <c r="G99" s="2">
        <f>VLOOKUP(F99,mappings!$G$2:$H$6,2,FALSE)</f>
        <v>2</v>
      </c>
      <c r="H99" t="s">
        <v>162</v>
      </c>
      <c r="I99" s="2">
        <f>VLOOKUP(H99,mappings!$D$2:$E$6,2,FALSE)</f>
        <v>1</v>
      </c>
      <c r="J99" t="s">
        <v>10</v>
      </c>
      <c r="K99" t="s">
        <v>13</v>
      </c>
      <c r="L99" s="2">
        <f>VLOOKUP(K99,mappings!$A$2:$B$13,2,FALSE)</f>
        <v>11</v>
      </c>
      <c r="M99" t="s">
        <v>24</v>
      </c>
      <c r="N99" t="str">
        <f>VLOOKUP(E99,mappings!$L$1:$M$110,2,FALSE)</f>
        <v>No answer provided</v>
      </c>
      <c r="O99" t="str">
        <f>VLOOKUP(E99,mappings!L:O,3,FALSE)</f>
        <v>No answer provided</v>
      </c>
      <c r="P99" t="str">
        <f>VLOOKUP(E99,mappings!L:P,4,FALSE)</f>
        <v>No answer provided</v>
      </c>
    </row>
    <row r="100" spans="1:16" x14ac:dyDescent="0.2">
      <c r="A100">
        <v>99</v>
      </c>
      <c r="B100">
        <v>3883706220</v>
      </c>
      <c r="C100" t="s">
        <v>6</v>
      </c>
      <c r="D100" t="s">
        <v>27</v>
      </c>
      <c r="E100" t="s">
        <v>8</v>
      </c>
      <c r="F100" t="s">
        <v>16</v>
      </c>
      <c r="G100" s="2">
        <f>VLOOKUP(F100,mappings!$G$2:$H$6,2,FALSE)</f>
        <v>3</v>
      </c>
      <c r="H100" t="s">
        <v>162</v>
      </c>
      <c r="I100" s="2">
        <f>VLOOKUP(H100,mappings!$D$2:$E$6,2,FALSE)</f>
        <v>1</v>
      </c>
      <c r="J100" t="s">
        <v>10</v>
      </c>
      <c r="K100" t="s">
        <v>13</v>
      </c>
      <c r="L100" s="2">
        <f>VLOOKUP(K100,mappings!$A$2:$B$13,2,FALSE)</f>
        <v>11</v>
      </c>
      <c r="M100" t="s">
        <v>38</v>
      </c>
      <c r="N100" t="str">
        <f>VLOOKUP(E100,mappings!$L$1:$M$110,2,FALSE)</f>
        <v>No answer provided</v>
      </c>
      <c r="O100" t="str">
        <f>VLOOKUP(E100,mappings!L:O,3,FALSE)</f>
        <v>No answer provided</v>
      </c>
      <c r="P100" t="str">
        <f>VLOOKUP(E100,mappings!L:P,4,FALSE)</f>
        <v>No answer provided</v>
      </c>
    </row>
    <row r="101" spans="1:16" x14ac:dyDescent="0.2">
      <c r="A101">
        <v>100</v>
      </c>
      <c r="B101">
        <v>3883591931</v>
      </c>
      <c r="C101" t="s">
        <v>6</v>
      </c>
      <c r="D101" t="s">
        <v>1</v>
      </c>
      <c r="E101" t="s">
        <v>57</v>
      </c>
      <c r="F101" t="s">
        <v>9</v>
      </c>
      <c r="G101" s="2">
        <f>VLOOKUP(F101,mappings!$G$2:$H$6,2,FALSE)</f>
        <v>4</v>
      </c>
      <c r="H101" t="s">
        <v>161</v>
      </c>
      <c r="I101" s="2">
        <f>VLOOKUP(H101,mappings!$D$2:$E$6,2,FALSE)</f>
        <v>2</v>
      </c>
      <c r="J101" t="s">
        <v>10</v>
      </c>
      <c r="K101" t="s">
        <v>18</v>
      </c>
      <c r="L101" s="2">
        <f>VLOOKUP(K101,mappings!$A$2:$B$13,2,FALSE)</f>
        <v>8</v>
      </c>
      <c r="M101" t="s">
        <v>12</v>
      </c>
      <c r="N101" t="str">
        <f>VLOOKUP(E101,mappings!$L$1:$M$110,2,FALSE)</f>
        <v>1weather</v>
      </c>
      <c r="O101" t="str">
        <f>VLOOKUP(E101,mappings!L:O,3,FALSE)</f>
        <v>App</v>
      </c>
      <c r="P101" t="str">
        <f>VLOOKUP(E101,mappings!L:P,4,FALSE)</f>
        <v>Android</v>
      </c>
    </row>
    <row r="102" spans="1:16" x14ac:dyDescent="0.2">
      <c r="A102">
        <v>101</v>
      </c>
      <c r="B102">
        <v>3883449927</v>
      </c>
      <c r="C102" t="s">
        <v>26</v>
      </c>
      <c r="D102" t="s">
        <v>31</v>
      </c>
      <c r="E102" t="s">
        <v>8</v>
      </c>
      <c r="F102" t="s">
        <v>22</v>
      </c>
      <c r="G102" s="2">
        <f>VLOOKUP(F102,mappings!$G$2:$H$6,2,FALSE)</f>
        <v>1</v>
      </c>
      <c r="H102" t="s">
        <v>162</v>
      </c>
      <c r="I102" s="2">
        <f>VLOOKUP(H102,mappings!$D$2:$E$6,2,FALSE)</f>
        <v>1</v>
      </c>
      <c r="J102" t="s">
        <v>10</v>
      </c>
      <c r="K102" t="s">
        <v>29</v>
      </c>
      <c r="L102" s="2">
        <f>VLOOKUP(K102,mappings!$A$2:$B$13,2,FALSE)</f>
        <v>1</v>
      </c>
      <c r="M102" t="s">
        <v>24</v>
      </c>
      <c r="N102" t="str">
        <f>VLOOKUP(E102,mappings!$L$1:$M$110,2,FALSE)</f>
        <v>No answer provided</v>
      </c>
      <c r="O102" t="str">
        <f>VLOOKUP(E102,mappings!L:O,3,FALSE)</f>
        <v>No answer provided</v>
      </c>
      <c r="P102" t="str">
        <f>VLOOKUP(E102,mappings!L:P,4,FALSE)</f>
        <v>No answer provided</v>
      </c>
    </row>
    <row r="103" spans="1:16" x14ac:dyDescent="0.2">
      <c r="A103">
        <v>102</v>
      </c>
      <c r="B103">
        <v>3883423513</v>
      </c>
      <c r="C103" t="s">
        <v>26</v>
      </c>
      <c r="D103" t="s">
        <v>27</v>
      </c>
      <c r="E103" t="s">
        <v>8</v>
      </c>
      <c r="F103" t="s">
        <v>16</v>
      </c>
      <c r="G103" s="2">
        <f>VLOOKUP(F103,mappings!$G$2:$H$6,2,FALSE)</f>
        <v>3</v>
      </c>
      <c r="H103" t="s">
        <v>162</v>
      </c>
      <c r="I103" s="2">
        <f>VLOOKUP(H103,mappings!$D$2:$E$6,2,FALSE)</f>
        <v>1</v>
      </c>
      <c r="J103" t="s">
        <v>10</v>
      </c>
      <c r="K103" t="s">
        <v>32</v>
      </c>
      <c r="L103" s="2">
        <f>VLOOKUP(K103,mappings!$A$2:$B$13,2,FALSE)</f>
        <v>2</v>
      </c>
      <c r="M103" t="s">
        <v>34</v>
      </c>
      <c r="N103" t="str">
        <f>VLOOKUP(E103,mappings!$L$1:$M$110,2,FALSE)</f>
        <v>No answer provided</v>
      </c>
      <c r="O103" t="str">
        <f>VLOOKUP(E103,mappings!L:O,3,FALSE)</f>
        <v>No answer provided</v>
      </c>
      <c r="P103" t="str">
        <f>VLOOKUP(E103,mappings!L:P,4,FALSE)</f>
        <v>No answer provided</v>
      </c>
    </row>
    <row r="104" spans="1:16" x14ac:dyDescent="0.2">
      <c r="A104">
        <v>103</v>
      </c>
      <c r="B104">
        <v>3883400954</v>
      </c>
      <c r="C104" t="s">
        <v>6</v>
      </c>
      <c r="D104" t="s">
        <v>7</v>
      </c>
      <c r="E104" t="s">
        <v>8</v>
      </c>
      <c r="F104" t="s">
        <v>9</v>
      </c>
      <c r="G104" s="2">
        <f>VLOOKUP(F104,mappings!$G$2:$H$6,2,FALSE)</f>
        <v>4</v>
      </c>
      <c r="H104" t="s">
        <v>161</v>
      </c>
      <c r="I104" s="2">
        <f>VLOOKUP(H104,mappings!$D$2:$E$6,2,FALSE)</f>
        <v>2</v>
      </c>
      <c r="J104" t="s">
        <v>10</v>
      </c>
      <c r="K104" t="s">
        <v>39</v>
      </c>
      <c r="L104" s="2">
        <f>VLOOKUP(K104,mappings!$A$2:$B$13,2,FALSE)</f>
        <v>10</v>
      </c>
      <c r="M104" t="s">
        <v>12</v>
      </c>
      <c r="N104" t="str">
        <f>VLOOKUP(E104,mappings!$L$1:$M$110,2,FALSE)</f>
        <v>No answer provided</v>
      </c>
      <c r="O104" t="str">
        <f>VLOOKUP(E104,mappings!L:O,3,FALSE)</f>
        <v>No answer provided</v>
      </c>
      <c r="P104" t="str">
        <f>VLOOKUP(E104,mappings!L:P,4,FALSE)</f>
        <v>No answer provided</v>
      </c>
    </row>
    <row r="105" spans="1:16" x14ac:dyDescent="0.2">
      <c r="A105">
        <v>104</v>
      </c>
      <c r="B105">
        <v>3883396110</v>
      </c>
      <c r="C105" t="s">
        <v>26</v>
      </c>
      <c r="D105" t="s">
        <v>51</v>
      </c>
      <c r="E105" t="s">
        <v>8</v>
      </c>
      <c r="F105" t="s">
        <v>16</v>
      </c>
      <c r="G105" s="2">
        <f>VLOOKUP(F105,mappings!$G$2:$H$6,2,FALSE)</f>
        <v>3</v>
      </c>
      <c r="H105" t="s">
        <v>162</v>
      </c>
      <c r="I105" s="2">
        <f>VLOOKUP(H105,mappings!$D$2:$E$6,2,FALSE)</f>
        <v>1</v>
      </c>
      <c r="J105" t="s">
        <v>10</v>
      </c>
      <c r="K105" t="s">
        <v>11</v>
      </c>
      <c r="L105" s="2">
        <f>VLOOKUP(K105,mappings!$A$2:$B$13,2,FALSE)</f>
        <v>4</v>
      </c>
      <c r="M105" t="s">
        <v>8</v>
      </c>
      <c r="N105" t="str">
        <f>VLOOKUP(E105,mappings!$L$1:$M$110,2,FALSE)</f>
        <v>No answer provided</v>
      </c>
      <c r="O105" t="str">
        <f>VLOOKUP(E105,mappings!L:O,3,FALSE)</f>
        <v>No answer provided</v>
      </c>
      <c r="P105" t="str">
        <f>VLOOKUP(E105,mappings!L:P,4,FALSE)</f>
        <v>No answer provided</v>
      </c>
    </row>
    <row r="106" spans="1:16" x14ac:dyDescent="0.2">
      <c r="A106">
        <v>105</v>
      </c>
      <c r="B106">
        <v>3883373140</v>
      </c>
      <c r="C106" t="s">
        <v>6</v>
      </c>
      <c r="D106" t="s">
        <v>31</v>
      </c>
      <c r="E106" t="s">
        <v>8</v>
      </c>
      <c r="F106" t="s">
        <v>16</v>
      </c>
      <c r="G106" s="2">
        <f>VLOOKUP(F106,mappings!$G$2:$H$6,2,FALSE)</f>
        <v>3</v>
      </c>
      <c r="H106" t="s">
        <v>161</v>
      </c>
      <c r="I106" s="2">
        <f>VLOOKUP(H106,mappings!$D$2:$E$6,2,FALSE)</f>
        <v>2</v>
      </c>
      <c r="J106" t="s">
        <v>10</v>
      </c>
      <c r="K106" t="s">
        <v>32</v>
      </c>
      <c r="L106" s="2">
        <f>VLOOKUP(K106,mappings!$A$2:$B$13,2,FALSE)</f>
        <v>2</v>
      </c>
      <c r="M106" t="s">
        <v>38</v>
      </c>
      <c r="N106" t="str">
        <f>VLOOKUP(E106,mappings!$L$1:$M$110,2,FALSE)</f>
        <v>No answer provided</v>
      </c>
      <c r="O106" t="str">
        <f>VLOOKUP(E106,mappings!L:O,3,FALSE)</f>
        <v>No answer provided</v>
      </c>
      <c r="P106" t="str">
        <f>VLOOKUP(E106,mappings!L:P,4,FALSE)</f>
        <v>No answer provided</v>
      </c>
    </row>
    <row r="107" spans="1:16" x14ac:dyDescent="0.2">
      <c r="A107">
        <v>106</v>
      </c>
      <c r="B107">
        <v>3883347727</v>
      </c>
      <c r="C107" t="s">
        <v>6</v>
      </c>
      <c r="D107" t="s">
        <v>7</v>
      </c>
      <c r="E107" t="s">
        <v>8</v>
      </c>
      <c r="F107" t="s">
        <v>28</v>
      </c>
      <c r="G107" s="2">
        <f>VLOOKUP(F107,mappings!$G$2:$H$6,2,FALSE)</f>
        <v>2</v>
      </c>
      <c r="H107" t="s">
        <v>161</v>
      </c>
      <c r="I107" s="2">
        <f>VLOOKUP(H107,mappings!$D$2:$E$6,2,FALSE)</f>
        <v>2</v>
      </c>
      <c r="J107" t="s">
        <v>10</v>
      </c>
      <c r="K107" t="s">
        <v>14</v>
      </c>
      <c r="L107" s="2">
        <f>VLOOKUP(K107,mappings!$A$2:$B$13,2,FALSE)</f>
        <v>6</v>
      </c>
      <c r="M107" t="s">
        <v>38</v>
      </c>
      <c r="N107" t="str">
        <f>VLOOKUP(E107,mappings!$L$1:$M$110,2,FALSE)</f>
        <v>No answer provided</v>
      </c>
      <c r="O107" t="str">
        <f>VLOOKUP(E107,mappings!L:O,3,FALSE)</f>
        <v>No answer provided</v>
      </c>
      <c r="P107" t="str">
        <f>VLOOKUP(E107,mappings!L:P,4,FALSE)</f>
        <v>No answer provided</v>
      </c>
    </row>
    <row r="108" spans="1:16" x14ac:dyDescent="0.2">
      <c r="A108">
        <v>107</v>
      </c>
      <c r="B108">
        <v>3883237358</v>
      </c>
      <c r="C108" t="s">
        <v>26</v>
      </c>
      <c r="D108" t="s">
        <v>21</v>
      </c>
      <c r="E108" t="s">
        <v>8</v>
      </c>
      <c r="F108" t="s">
        <v>22</v>
      </c>
      <c r="G108" s="2">
        <f>VLOOKUP(F108,mappings!$G$2:$H$6,2,FALSE)</f>
        <v>1</v>
      </c>
      <c r="H108" t="s">
        <v>162</v>
      </c>
      <c r="I108" s="2">
        <f>VLOOKUP(H108,mappings!$D$2:$E$6,2,FALSE)</f>
        <v>1</v>
      </c>
      <c r="J108" t="s">
        <v>10</v>
      </c>
      <c r="K108" t="s">
        <v>11</v>
      </c>
      <c r="L108" s="2">
        <f>VLOOKUP(K108,mappings!$A$2:$B$13,2,FALSE)</f>
        <v>4</v>
      </c>
      <c r="M108" t="s">
        <v>15</v>
      </c>
      <c r="N108" t="str">
        <f>VLOOKUP(E108,mappings!$L$1:$M$110,2,FALSE)</f>
        <v>No answer provided</v>
      </c>
      <c r="O108" t="str">
        <f>VLOOKUP(E108,mappings!L:O,3,FALSE)</f>
        <v>No answer provided</v>
      </c>
      <c r="P108" t="str">
        <f>VLOOKUP(E108,mappings!L:P,4,FALSE)</f>
        <v>No answer provided</v>
      </c>
    </row>
    <row r="109" spans="1:16" x14ac:dyDescent="0.2">
      <c r="A109">
        <v>108</v>
      </c>
      <c r="B109">
        <v>3883013307</v>
      </c>
      <c r="C109" t="s">
        <v>6</v>
      </c>
      <c r="D109" t="s">
        <v>7</v>
      </c>
      <c r="E109" t="s">
        <v>8</v>
      </c>
      <c r="F109" t="s">
        <v>16</v>
      </c>
      <c r="G109" s="2">
        <f>VLOOKUP(F109,mappings!$G$2:$H$6,2,FALSE)</f>
        <v>3</v>
      </c>
      <c r="H109" t="s">
        <v>162</v>
      </c>
      <c r="I109" s="2">
        <f>VLOOKUP(H109,mappings!$D$2:$E$6,2,FALSE)</f>
        <v>1</v>
      </c>
      <c r="J109" t="s">
        <v>10</v>
      </c>
      <c r="K109" t="s">
        <v>32</v>
      </c>
      <c r="L109" s="2">
        <f>VLOOKUP(K109,mappings!$A$2:$B$13,2,FALSE)</f>
        <v>2</v>
      </c>
      <c r="M109" t="s">
        <v>12</v>
      </c>
      <c r="N109" t="str">
        <f>VLOOKUP(E109,mappings!$L$1:$M$110,2,FALSE)</f>
        <v>No answer provided</v>
      </c>
      <c r="O109" t="str">
        <f>VLOOKUP(E109,mappings!L:O,3,FALSE)</f>
        <v>No answer provided</v>
      </c>
      <c r="P109" t="str">
        <f>VLOOKUP(E109,mappings!L:P,4,FALSE)</f>
        <v>No answer provided</v>
      </c>
    </row>
    <row r="110" spans="1:16" x14ac:dyDescent="0.2">
      <c r="A110">
        <v>109</v>
      </c>
      <c r="B110">
        <v>3882981067</v>
      </c>
      <c r="C110" t="s">
        <v>26</v>
      </c>
      <c r="D110" t="s">
        <v>7</v>
      </c>
      <c r="E110" t="s">
        <v>8</v>
      </c>
      <c r="F110" t="s">
        <v>16</v>
      </c>
      <c r="G110" s="2">
        <f>VLOOKUP(F110,mappings!$G$2:$H$6,2,FALSE)</f>
        <v>3</v>
      </c>
      <c r="H110" t="s">
        <v>161</v>
      </c>
      <c r="I110" s="2">
        <f>VLOOKUP(H110,mappings!$D$2:$E$6,2,FALSE)</f>
        <v>2</v>
      </c>
      <c r="J110" t="s">
        <v>10</v>
      </c>
      <c r="K110" t="s">
        <v>11</v>
      </c>
      <c r="L110" s="2">
        <f>VLOOKUP(K110,mappings!$A$2:$B$13,2,FALSE)</f>
        <v>4</v>
      </c>
      <c r="M110" t="s">
        <v>24</v>
      </c>
      <c r="N110" t="str">
        <f>VLOOKUP(E110,mappings!$L$1:$M$110,2,FALSE)</f>
        <v>No answer provided</v>
      </c>
      <c r="O110" t="str">
        <f>VLOOKUP(E110,mappings!L:O,3,FALSE)</f>
        <v>No answer provided</v>
      </c>
      <c r="P110" t="str">
        <f>VLOOKUP(E110,mappings!L:P,4,FALSE)</f>
        <v>No answer provided</v>
      </c>
    </row>
    <row r="111" spans="1:16" x14ac:dyDescent="0.2">
      <c r="A111">
        <v>110</v>
      </c>
      <c r="B111">
        <v>3882953969</v>
      </c>
      <c r="C111" t="s">
        <v>6</v>
      </c>
      <c r="D111" t="s">
        <v>7</v>
      </c>
      <c r="E111" t="s">
        <v>8</v>
      </c>
      <c r="F111" t="s">
        <v>22</v>
      </c>
      <c r="G111" s="2">
        <f>VLOOKUP(F111,mappings!$G$2:$H$6,2,FALSE)</f>
        <v>1</v>
      </c>
      <c r="H111" t="s">
        <v>161</v>
      </c>
      <c r="I111" s="2">
        <f>VLOOKUP(H111,mappings!$D$2:$E$6,2,FALSE)</f>
        <v>2</v>
      </c>
      <c r="J111" t="s">
        <v>10</v>
      </c>
      <c r="K111" t="s">
        <v>33</v>
      </c>
      <c r="L111" s="2">
        <f>VLOOKUP(K111,mappings!$A$2:$B$13,2,FALSE)</f>
        <v>5</v>
      </c>
      <c r="M111" t="s">
        <v>34</v>
      </c>
      <c r="N111" t="str">
        <f>VLOOKUP(E111,mappings!$L$1:$M$110,2,FALSE)</f>
        <v>No answer provided</v>
      </c>
      <c r="O111" t="str">
        <f>VLOOKUP(E111,mappings!L:O,3,FALSE)</f>
        <v>No answer provided</v>
      </c>
      <c r="P111" t="str">
        <f>VLOOKUP(E111,mappings!L:P,4,FALSE)</f>
        <v>No answer provided</v>
      </c>
    </row>
    <row r="112" spans="1:16" x14ac:dyDescent="0.2">
      <c r="A112">
        <v>111</v>
      </c>
      <c r="B112">
        <v>3882828486</v>
      </c>
      <c r="C112" t="s">
        <v>6</v>
      </c>
      <c r="D112" t="s">
        <v>27</v>
      </c>
      <c r="E112" t="s">
        <v>8</v>
      </c>
      <c r="F112" t="s">
        <v>22</v>
      </c>
      <c r="G112" s="2">
        <f>VLOOKUP(F112,mappings!$G$2:$H$6,2,FALSE)</f>
        <v>1</v>
      </c>
      <c r="H112" t="s">
        <v>161</v>
      </c>
      <c r="I112" s="2">
        <f>VLOOKUP(H112,mappings!$D$2:$E$6,2,FALSE)</f>
        <v>2</v>
      </c>
      <c r="J112" t="s">
        <v>10</v>
      </c>
      <c r="K112" t="s">
        <v>11</v>
      </c>
      <c r="L112" s="2">
        <f>VLOOKUP(K112,mappings!$A$2:$B$13,2,FALSE)</f>
        <v>4</v>
      </c>
      <c r="M112" t="s">
        <v>20</v>
      </c>
      <c r="N112" t="str">
        <f>VLOOKUP(E112,mappings!$L$1:$M$110,2,FALSE)</f>
        <v>No answer provided</v>
      </c>
      <c r="O112" t="str">
        <f>VLOOKUP(E112,mappings!L:O,3,FALSE)</f>
        <v>No answer provided</v>
      </c>
      <c r="P112" t="str">
        <f>VLOOKUP(E112,mappings!L:P,4,FALSE)</f>
        <v>No answer provided</v>
      </c>
    </row>
    <row r="113" spans="1:16" x14ac:dyDescent="0.2">
      <c r="A113">
        <v>112</v>
      </c>
      <c r="B113">
        <v>3882734383</v>
      </c>
      <c r="C113" t="s">
        <v>6</v>
      </c>
      <c r="D113" t="s">
        <v>1</v>
      </c>
      <c r="E113" t="s">
        <v>58</v>
      </c>
      <c r="F113" t="s">
        <v>9</v>
      </c>
      <c r="G113" s="2">
        <f>VLOOKUP(F113,mappings!$G$2:$H$6,2,FALSE)</f>
        <v>4</v>
      </c>
      <c r="H113" t="s">
        <v>161</v>
      </c>
      <c r="I113" s="2">
        <f>VLOOKUP(H113,mappings!$D$2:$E$6,2,FALSE)</f>
        <v>2</v>
      </c>
      <c r="J113" t="s">
        <v>10</v>
      </c>
      <c r="K113" t="s">
        <v>11</v>
      </c>
      <c r="L113" s="2">
        <f>VLOOKUP(K113,mappings!$A$2:$B$13,2,FALSE)</f>
        <v>4</v>
      </c>
      <c r="M113" t="s">
        <v>30</v>
      </c>
      <c r="N113" t="str">
        <f>VLOOKUP(E113,mappings!$L$1:$M$110,2,FALSE)</f>
        <v>The Weather Channel</v>
      </c>
      <c r="O113" t="str">
        <f>VLOOKUP(E113,mappings!L:O,3,FALSE)</f>
        <v>App</v>
      </c>
      <c r="P113" t="str">
        <f>VLOOKUP(E113,mappings!L:P,4,FALSE)</f>
        <v>Other or unkown</v>
      </c>
    </row>
    <row r="114" spans="1:16" x14ac:dyDescent="0.2">
      <c r="A114">
        <v>113</v>
      </c>
      <c r="B114">
        <v>3882036173</v>
      </c>
      <c r="C114" t="s">
        <v>6</v>
      </c>
      <c r="D114" t="s">
        <v>27</v>
      </c>
      <c r="E114" t="s">
        <v>8</v>
      </c>
      <c r="F114" t="s">
        <v>9</v>
      </c>
      <c r="G114" s="2">
        <f>VLOOKUP(F114,mappings!$G$2:$H$6,2,FALSE)</f>
        <v>4</v>
      </c>
      <c r="H114" t="s">
        <v>161</v>
      </c>
      <c r="I114" s="2">
        <f>VLOOKUP(H114,mappings!$D$2:$E$6,2,FALSE)</f>
        <v>2</v>
      </c>
      <c r="J114" t="s">
        <v>10</v>
      </c>
      <c r="K114" t="s">
        <v>14</v>
      </c>
      <c r="L114" s="2">
        <f>VLOOKUP(K114,mappings!$A$2:$B$13,2,FALSE)</f>
        <v>6</v>
      </c>
      <c r="M114" t="s">
        <v>24</v>
      </c>
      <c r="N114" t="str">
        <f>VLOOKUP(E114,mappings!$L$1:$M$110,2,FALSE)</f>
        <v>No answer provided</v>
      </c>
      <c r="O114" t="str">
        <f>VLOOKUP(E114,mappings!L:O,3,FALSE)</f>
        <v>No answer provided</v>
      </c>
      <c r="P114" t="str">
        <f>VLOOKUP(E114,mappings!L:P,4,FALSE)</f>
        <v>No answer provided</v>
      </c>
    </row>
    <row r="115" spans="1:16" x14ac:dyDescent="0.2">
      <c r="A115">
        <v>114</v>
      </c>
      <c r="B115">
        <v>3882027944</v>
      </c>
      <c r="C115" t="s">
        <v>6</v>
      </c>
      <c r="D115" t="s">
        <v>1</v>
      </c>
      <c r="E115" t="s">
        <v>59</v>
      </c>
      <c r="F115" t="s">
        <v>16</v>
      </c>
      <c r="G115" s="2">
        <f>VLOOKUP(F115,mappings!$G$2:$H$6,2,FALSE)</f>
        <v>3</v>
      </c>
      <c r="H115" t="s">
        <v>161</v>
      </c>
      <c r="I115" s="2">
        <f>VLOOKUP(H115,mappings!$D$2:$E$6,2,FALSE)</f>
        <v>2</v>
      </c>
      <c r="J115" t="s">
        <v>10</v>
      </c>
      <c r="K115" t="s">
        <v>32</v>
      </c>
      <c r="L115" s="2">
        <f>VLOOKUP(K115,mappings!$A$2:$B$13,2,FALSE)</f>
        <v>2</v>
      </c>
      <c r="M115" t="s">
        <v>25</v>
      </c>
      <c r="N115" t="str">
        <f>VLOOKUP(E115,mappings!$L$1:$M$110,2,FALSE)</f>
        <v>Weather Underground</v>
      </c>
      <c r="O115" t="str">
        <f>VLOOKUP(E115,mappings!L:O,3,FALSE)</f>
        <v>Website</v>
      </c>
      <c r="P115" t="str">
        <f>VLOOKUP(E115,mappings!L:P,4,FALSE)</f>
        <v>Other or unkown</v>
      </c>
    </row>
    <row r="116" spans="1:16" x14ac:dyDescent="0.2">
      <c r="A116">
        <v>115</v>
      </c>
      <c r="B116">
        <v>3882024847</v>
      </c>
      <c r="C116" t="s">
        <v>6</v>
      </c>
      <c r="D116" t="s">
        <v>27</v>
      </c>
      <c r="E116" t="s">
        <v>8</v>
      </c>
      <c r="F116" t="s">
        <v>9</v>
      </c>
      <c r="G116" s="2">
        <f>VLOOKUP(F116,mappings!$G$2:$H$6,2,FALSE)</f>
        <v>4</v>
      </c>
      <c r="H116" t="s">
        <v>163</v>
      </c>
      <c r="I116" s="2">
        <f>VLOOKUP(H116,mappings!$D$2:$E$6,2,FALSE)</f>
        <v>3</v>
      </c>
      <c r="J116" t="s">
        <v>10</v>
      </c>
      <c r="K116" t="s">
        <v>48</v>
      </c>
      <c r="L116" s="2">
        <f>VLOOKUP(K116,mappings!$A$2:$B$13,2,FALSE)</f>
        <v>7</v>
      </c>
      <c r="M116" t="s">
        <v>34</v>
      </c>
      <c r="N116" t="str">
        <f>VLOOKUP(E116,mappings!$L$1:$M$110,2,FALSE)</f>
        <v>No answer provided</v>
      </c>
      <c r="O116" t="str">
        <f>VLOOKUP(E116,mappings!L:O,3,FALSE)</f>
        <v>No answer provided</v>
      </c>
      <c r="P116" t="str">
        <f>VLOOKUP(E116,mappings!L:P,4,FALSE)</f>
        <v>No answer provided</v>
      </c>
    </row>
    <row r="117" spans="1:16" x14ac:dyDescent="0.2">
      <c r="A117">
        <v>116</v>
      </c>
      <c r="B117">
        <v>3881999864</v>
      </c>
      <c r="C117" t="s">
        <v>6</v>
      </c>
      <c r="D117" t="s">
        <v>1</v>
      </c>
      <c r="E117" t="s">
        <v>60</v>
      </c>
      <c r="F117" t="s">
        <v>9</v>
      </c>
      <c r="G117" s="2">
        <f>VLOOKUP(F117,mappings!$G$2:$H$6,2,FALSE)</f>
        <v>4</v>
      </c>
      <c r="H117" t="s">
        <v>163</v>
      </c>
      <c r="I117" s="2">
        <f>VLOOKUP(H117,mappings!$D$2:$E$6,2,FALSE)</f>
        <v>3</v>
      </c>
      <c r="J117" t="s">
        <v>10</v>
      </c>
      <c r="K117" t="s">
        <v>33</v>
      </c>
      <c r="L117" s="2">
        <f>VLOOKUP(K117,mappings!$A$2:$B$13,2,FALSE)</f>
        <v>5</v>
      </c>
      <c r="M117" t="s">
        <v>12</v>
      </c>
      <c r="N117" t="str">
        <f>VLOOKUP(E117,mappings!$L$1:$M$110,2,FALSE)</f>
        <v>Weatherbug</v>
      </c>
      <c r="O117" t="str">
        <f>VLOOKUP(E117,mappings!L:O,3,FALSE)</f>
        <v>App</v>
      </c>
      <c r="P117" t="str">
        <f>VLOOKUP(E117,mappings!L:P,4,FALSE)</f>
        <v>Other or unkown</v>
      </c>
    </row>
    <row r="118" spans="1:16" x14ac:dyDescent="0.2">
      <c r="A118">
        <v>117</v>
      </c>
      <c r="B118">
        <v>3881965206</v>
      </c>
      <c r="C118" t="s">
        <v>26</v>
      </c>
      <c r="D118" t="s">
        <v>27</v>
      </c>
      <c r="E118" t="s">
        <v>8</v>
      </c>
      <c r="F118" t="s">
        <v>16</v>
      </c>
      <c r="G118" s="2">
        <f>VLOOKUP(F118,mappings!$G$2:$H$6,2,FALSE)</f>
        <v>3</v>
      </c>
      <c r="H118" t="s">
        <v>162</v>
      </c>
      <c r="I118" s="2">
        <f>VLOOKUP(H118,mappings!$D$2:$E$6,2,FALSE)</f>
        <v>1</v>
      </c>
      <c r="J118" t="s">
        <v>10</v>
      </c>
      <c r="K118" t="s">
        <v>33</v>
      </c>
      <c r="L118" s="2">
        <f>VLOOKUP(K118,mappings!$A$2:$B$13,2,FALSE)</f>
        <v>5</v>
      </c>
      <c r="M118" t="s">
        <v>12</v>
      </c>
      <c r="N118" t="str">
        <f>VLOOKUP(E118,mappings!$L$1:$M$110,2,FALSE)</f>
        <v>No answer provided</v>
      </c>
      <c r="O118" t="str">
        <f>VLOOKUP(E118,mappings!L:O,3,FALSE)</f>
        <v>No answer provided</v>
      </c>
      <c r="P118" t="str">
        <f>VLOOKUP(E118,mappings!L:P,4,FALSE)</f>
        <v>No answer provided</v>
      </c>
    </row>
    <row r="119" spans="1:16" x14ac:dyDescent="0.2">
      <c r="A119">
        <v>118</v>
      </c>
      <c r="B119">
        <v>3881590664</v>
      </c>
      <c r="C119" t="s">
        <v>6</v>
      </c>
      <c r="D119" t="s">
        <v>1</v>
      </c>
      <c r="E119" t="s">
        <v>61</v>
      </c>
      <c r="F119" t="s">
        <v>22</v>
      </c>
      <c r="G119" s="2">
        <f>VLOOKUP(F119,mappings!$G$2:$H$6,2,FALSE)</f>
        <v>1</v>
      </c>
      <c r="H119" t="s">
        <v>161</v>
      </c>
      <c r="I119" s="2">
        <f>VLOOKUP(H119,mappings!$D$2:$E$6,2,FALSE)</f>
        <v>2</v>
      </c>
      <c r="J119" t="s">
        <v>10</v>
      </c>
      <c r="K119" t="s">
        <v>33</v>
      </c>
      <c r="L119" s="2">
        <f>VLOOKUP(K119,mappings!$A$2:$B$13,2,FALSE)</f>
        <v>5</v>
      </c>
      <c r="M119" t="s">
        <v>30</v>
      </c>
      <c r="N119" t="str">
        <f>VLOOKUP(E119,mappings!$L$1:$M$110,2,FALSE)</f>
        <v>Weatherbug</v>
      </c>
      <c r="O119" t="str">
        <f>VLOOKUP(E119,mappings!L:O,3,FALSE)</f>
        <v>Website</v>
      </c>
      <c r="P119" t="str">
        <f>VLOOKUP(E119,mappings!L:P,4,FALSE)</f>
        <v>Other or unkown</v>
      </c>
    </row>
    <row r="120" spans="1:16" x14ac:dyDescent="0.2">
      <c r="A120">
        <v>119</v>
      </c>
      <c r="B120">
        <v>3881586024</v>
      </c>
      <c r="C120" t="s">
        <v>6</v>
      </c>
      <c r="D120" t="s">
        <v>27</v>
      </c>
      <c r="E120" t="s">
        <v>8</v>
      </c>
      <c r="F120" t="s">
        <v>22</v>
      </c>
      <c r="G120" s="2">
        <f>VLOOKUP(F120,mappings!$G$2:$H$6,2,FALSE)</f>
        <v>1</v>
      </c>
      <c r="H120" t="s">
        <v>163</v>
      </c>
      <c r="I120" s="2">
        <f>VLOOKUP(H120,mappings!$D$2:$E$6,2,FALSE)</f>
        <v>3</v>
      </c>
      <c r="J120" t="s">
        <v>10</v>
      </c>
      <c r="K120" t="s">
        <v>18</v>
      </c>
      <c r="L120" s="2">
        <f>VLOOKUP(K120,mappings!$A$2:$B$13,2,FALSE)</f>
        <v>8</v>
      </c>
      <c r="M120" t="s">
        <v>12</v>
      </c>
      <c r="N120" t="str">
        <f>VLOOKUP(E120,mappings!$L$1:$M$110,2,FALSE)</f>
        <v>No answer provided</v>
      </c>
      <c r="O120" t="str">
        <f>VLOOKUP(E120,mappings!L:O,3,FALSE)</f>
        <v>No answer provided</v>
      </c>
      <c r="P120" t="str">
        <f>VLOOKUP(E120,mappings!L:P,4,FALSE)</f>
        <v>No answer provided</v>
      </c>
    </row>
    <row r="121" spans="1:16" x14ac:dyDescent="0.2">
      <c r="A121">
        <v>120</v>
      </c>
      <c r="B121">
        <v>3881268852</v>
      </c>
      <c r="C121" t="s">
        <v>6</v>
      </c>
      <c r="D121" t="s">
        <v>27</v>
      </c>
      <c r="E121" t="s">
        <v>8</v>
      </c>
      <c r="F121" t="s">
        <v>16</v>
      </c>
      <c r="G121" s="2">
        <f>VLOOKUP(F121,mappings!$G$2:$H$6,2,FALSE)</f>
        <v>3</v>
      </c>
      <c r="H121" t="s">
        <v>162</v>
      </c>
      <c r="I121" s="2">
        <f>VLOOKUP(H121,mappings!$D$2:$E$6,2,FALSE)</f>
        <v>1</v>
      </c>
      <c r="J121" t="s">
        <v>10</v>
      </c>
      <c r="K121" t="s">
        <v>13</v>
      </c>
      <c r="L121" s="2">
        <f>VLOOKUP(K121,mappings!$A$2:$B$13,2,FALSE)</f>
        <v>11</v>
      </c>
      <c r="M121" t="s">
        <v>8</v>
      </c>
      <c r="N121" t="str">
        <f>VLOOKUP(E121,mappings!$L$1:$M$110,2,FALSE)</f>
        <v>No answer provided</v>
      </c>
      <c r="O121" t="str">
        <f>VLOOKUP(E121,mappings!L:O,3,FALSE)</f>
        <v>No answer provided</v>
      </c>
      <c r="P121" t="str">
        <f>VLOOKUP(E121,mappings!L:P,4,FALSE)</f>
        <v>No answer provided</v>
      </c>
    </row>
    <row r="122" spans="1:16" x14ac:dyDescent="0.2">
      <c r="A122">
        <v>121</v>
      </c>
      <c r="B122">
        <v>3881207655</v>
      </c>
      <c r="C122" t="s">
        <v>6</v>
      </c>
      <c r="D122" t="s">
        <v>7</v>
      </c>
      <c r="E122" t="s">
        <v>8</v>
      </c>
      <c r="F122" t="s">
        <v>16</v>
      </c>
      <c r="G122" s="2">
        <f>VLOOKUP(F122,mappings!$G$2:$H$6,2,FALSE)</f>
        <v>3</v>
      </c>
      <c r="H122" t="s">
        <v>163</v>
      </c>
      <c r="I122" s="2">
        <f>VLOOKUP(H122,mappings!$D$2:$E$6,2,FALSE)</f>
        <v>3</v>
      </c>
      <c r="J122" t="s">
        <v>10</v>
      </c>
      <c r="K122" t="s">
        <v>23</v>
      </c>
      <c r="L122" s="2">
        <f>VLOOKUP(K122,mappings!$A$2:$B$13,2,FALSE)</f>
        <v>3</v>
      </c>
      <c r="M122" t="s">
        <v>24</v>
      </c>
      <c r="N122" t="str">
        <f>VLOOKUP(E122,mappings!$L$1:$M$110,2,FALSE)</f>
        <v>No answer provided</v>
      </c>
      <c r="O122" t="str">
        <f>VLOOKUP(E122,mappings!L:O,3,FALSE)</f>
        <v>No answer provided</v>
      </c>
      <c r="P122" t="str">
        <f>VLOOKUP(E122,mappings!L:P,4,FALSE)</f>
        <v>No answer provided</v>
      </c>
    </row>
    <row r="123" spans="1:16" x14ac:dyDescent="0.2">
      <c r="A123">
        <v>122</v>
      </c>
      <c r="B123">
        <v>3881152975</v>
      </c>
      <c r="C123" t="s">
        <v>26</v>
      </c>
      <c r="D123" t="s">
        <v>1</v>
      </c>
      <c r="E123" t="s">
        <v>53</v>
      </c>
      <c r="F123" t="s">
        <v>16</v>
      </c>
      <c r="G123" s="2">
        <f>VLOOKUP(F123,mappings!$G$2:$H$6,2,FALSE)</f>
        <v>3</v>
      </c>
      <c r="H123" t="s">
        <v>163</v>
      </c>
      <c r="I123" s="2">
        <f>VLOOKUP(H123,mappings!$D$2:$E$6,2,FALSE)</f>
        <v>3</v>
      </c>
      <c r="J123" t="s">
        <v>10</v>
      </c>
      <c r="K123" t="s">
        <v>39</v>
      </c>
      <c r="L123" s="2">
        <f>VLOOKUP(K123,mappings!$A$2:$B$13,2,FALSE)</f>
        <v>10</v>
      </c>
      <c r="M123" t="s">
        <v>24</v>
      </c>
      <c r="N123" t="str">
        <f>VLOOKUP(E123,mappings!$L$1:$M$110,2,FALSE)</f>
        <v>The Weather Channel</v>
      </c>
      <c r="O123" t="str">
        <f>VLOOKUP(E123,mappings!L:O,3,FALSE)</f>
        <v>App</v>
      </c>
      <c r="P123" t="str">
        <f>VLOOKUP(E123,mappings!L:P,4,FALSE)</f>
        <v>Other or unkown</v>
      </c>
    </row>
    <row r="124" spans="1:16" x14ac:dyDescent="0.2">
      <c r="A124">
        <v>123</v>
      </c>
      <c r="B124">
        <v>3881043805</v>
      </c>
      <c r="C124" t="s">
        <v>6</v>
      </c>
      <c r="D124" t="s">
        <v>21</v>
      </c>
      <c r="E124" t="s">
        <v>8</v>
      </c>
      <c r="F124" t="s">
        <v>16</v>
      </c>
      <c r="G124" s="2">
        <f>VLOOKUP(F124,mappings!$G$2:$H$6,2,FALSE)</f>
        <v>3</v>
      </c>
      <c r="H124" t="s">
        <v>163</v>
      </c>
      <c r="I124" s="2">
        <f>VLOOKUP(H124,mappings!$D$2:$E$6,2,FALSE)</f>
        <v>3</v>
      </c>
      <c r="J124" t="s">
        <v>10</v>
      </c>
      <c r="K124" t="s">
        <v>23</v>
      </c>
      <c r="L124" s="2">
        <f>VLOOKUP(K124,mappings!$A$2:$B$13,2,FALSE)</f>
        <v>3</v>
      </c>
      <c r="M124" t="s">
        <v>12</v>
      </c>
      <c r="N124" t="str">
        <f>VLOOKUP(E124,mappings!$L$1:$M$110,2,FALSE)</f>
        <v>No answer provided</v>
      </c>
      <c r="O124" t="str">
        <f>VLOOKUP(E124,mappings!L:O,3,FALSE)</f>
        <v>No answer provided</v>
      </c>
      <c r="P124" t="str">
        <f>VLOOKUP(E124,mappings!L:P,4,FALSE)</f>
        <v>No answer provided</v>
      </c>
    </row>
    <row r="125" spans="1:16" x14ac:dyDescent="0.2">
      <c r="A125">
        <v>124</v>
      </c>
      <c r="B125">
        <v>3880998411</v>
      </c>
      <c r="C125" t="s">
        <v>6</v>
      </c>
      <c r="D125" t="s">
        <v>7</v>
      </c>
      <c r="E125" t="s">
        <v>8</v>
      </c>
      <c r="F125" t="s">
        <v>9</v>
      </c>
      <c r="G125" s="2">
        <f>VLOOKUP(F125,mappings!$G$2:$H$6,2,FALSE)</f>
        <v>4</v>
      </c>
      <c r="H125" t="s">
        <v>163</v>
      </c>
      <c r="I125" s="2">
        <f>VLOOKUP(H125,mappings!$D$2:$E$6,2,FALSE)</f>
        <v>3</v>
      </c>
      <c r="J125" t="s">
        <v>10</v>
      </c>
      <c r="K125" t="s">
        <v>11</v>
      </c>
      <c r="L125" s="2">
        <f>VLOOKUP(K125,mappings!$A$2:$B$13,2,FALSE)</f>
        <v>4</v>
      </c>
      <c r="M125" t="s">
        <v>15</v>
      </c>
      <c r="N125" t="str">
        <f>VLOOKUP(E125,mappings!$L$1:$M$110,2,FALSE)</f>
        <v>No answer provided</v>
      </c>
      <c r="O125" t="str">
        <f>VLOOKUP(E125,mappings!L:O,3,FALSE)</f>
        <v>No answer provided</v>
      </c>
      <c r="P125" t="str">
        <f>VLOOKUP(E125,mappings!L:P,4,FALSE)</f>
        <v>No answer provided</v>
      </c>
    </row>
    <row r="126" spans="1:16" x14ac:dyDescent="0.2">
      <c r="A126">
        <v>125</v>
      </c>
      <c r="B126">
        <v>3880901650</v>
      </c>
      <c r="C126" t="s">
        <v>6</v>
      </c>
      <c r="D126" t="s">
        <v>27</v>
      </c>
      <c r="E126" t="s">
        <v>8</v>
      </c>
      <c r="F126" t="s">
        <v>22</v>
      </c>
      <c r="G126" s="2">
        <f>VLOOKUP(F126,mappings!$G$2:$H$6,2,FALSE)</f>
        <v>1</v>
      </c>
      <c r="H126" t="s">
        <v>163</v>
      </c>
      <c r="I126" s="2">
        <f>VLOOKUP(H126,mappings!$D$2:$E$6,2,FALSE)</f>
        <v>3</v>
      </c>
      <c r="J126" t="s">
        <v>10</v>
      </c>
      <c r="K126" t="s">
        <v>33</v>
      </c>
      <c r="L126" s="2">
        <f>VLOOKUP(K126,mappings!$A$2:$B$13,2,FALSE)</f>
        <v>5</v>
      </c>
      <c r="M126" t="s">
        <v>12</v>
      </c>
      <c r="N126" t="str">
        <f>VLOOKUP(E126,mappings!$L$1:$M$110,2,FALSE)</f>
        <v>No answer provided</v>
      </c>
      <c r="O126" t="str">
        <f>VLOOKUP(E126,mappings!L:O,3,FALSE)</f>
        <v>No answer provided</v>
      </c>
      <c r="P126" t="str">
        <f>VLOOKUP(E126,mappings!L:P,4,FALSE)</f>
        <v>No answer provided</v>
      </c>
    </row>
    <row r="127" spans="1:16" x14ac:dyDescent="0.2">
      <c r="A127">
        <v>126</v>
      </c>
      <c r="B127">
        <v>3880901309</v>
      </c>
      <c r="C127" t="s">
        <v>6</v>
      </c>
      <c r="D127" t="s">
        <v>21</v>
      </c>
      <c r="E127" t="s">
        <v>8</v>
      </c>
      <c r="F127" t="s">
        <v>22</v>
      </c>
      <c r="G127" s="2">
        <f>VLOOKUP(F127,mappings!$G$2:$H$6,2,FALSE)</f>
        <v>1</v>
      </c>
      <c r="H127" t="s">
        <v>163</v>
      </c>
      <c r="I127" s="2">
        <f>VLOOKUP(H127,mappings!$D$2:$E$6,2,FALSE)</f>
        <v>3</v>
      </c>
      <c r="J127" t="s">
        <v>10</v>
      </c>
      <c r="K127" t="s">
        <v>32</v>
      </c>
      <c r="L127" s="2">
        <f>VLOOKUP(K127,mappings!$A$2:$B$13,2,FALSE)</f>
        <v>2</v>
      </c>
      <c r="M127" t="s">
        <v>34</v>
      </c>
      <c r="N127" t="str">
        <f>VLOOKUP(E127,mappings!$L$1:$M$110,2,FALSE)</f>
        <v>No answer provided</v>
      </c>
      <c r="O127" t="str">
        <f>VLOOKUP(E127,mappings!L:O,3,FALSE)</f>
        <v>No answer provided</v>
      </c>
      <c r="P127" t="str">
        <f>VLOOKUP(E127,mappings!L:P,4,FALSE)</f>
        <v>No answer provided</v>
      </c>
    </row>
    <row r="128" spans="1:16" x14ac:dyDescent="0.2">
      <c r="A128">
        <v>127</v>
      </c>
      <c r="B128">
        <v>3880839674</v>
      </c>
      <c r="C128" t="s">
        <v>6</v>
      </c>
      <c r="D128" t="s">
        <v>27</v>
      </c>
      <c r="E128" t="s">
        <v>8</v>
      </c>
      <c r="F128" t="s">
        <v>16</v>
      </c>
      <c r="G128" s="2">
        <f>VLOOKUP(F128,mappings!$G$2:$H$6,2,FALSE)</f>
        <v>3</v>
      </c>
      <c r="H128" t="s">
        <v>163</v>
      </c>
      <c r="I128" s="2">
        <f>VLOOKUP(H128,mappings!$D$2:$E$6,2,FALSE)</f>
        <v>3</v>
      </c>
      <c r="J128" t="s">
        <v>10</v>
      </c>
      <c r="K128" t="s">
        <v>39</v>
      </c>
      <c r="L128" s="2">
        <f>VLOOKUP(K128,mappings!$A$2:$B$13,2,FALSE)</f>
        <v>10</v>
      </c>
      <c r="M128" t="s">
        <v>24</v>
      </c>
      <c r="N128" t="str">
        <f>VLOOKUP(E128,mappings!$L$1:$M$110,2,FALSE)</f>
        <v>No answer provided</v>
      </c>
      <c r="O128" t="str">
        <f>VLOOKUP(E128,mappings!L:O,3,FALSE)</f>
        <v>No answer provided</v>
      </c>
      <c r="P128" t="str">
        <f>VLOOKUP(E128,mappings!L:P,4,FALSE)</f>
        <v>No answer provided</v>
      </c>
    </row>
    <row r="129" spans="1:16" x14ac:dyDescent="0.2">
      <c r="A129">
        <v>128</v>
      </c>
      <c r="B129">
        <v>3880831944</v>
      </c>
      <c r="C129" t="s">
        <v>6</v>
      </c>
      <c r="D129" t="s">
        <v>7</v>
      </c>
      <c r="E129" t="s">
        <v>8</v>
      </c>
      <c r="F129" t="s">
        <v>22</v>
      </c>
      <c r="G129" s="2">
        <f>VLOOKUP(F129,mappings!$G$2:$H$6,2,FALSE)</f>
        <v>1</v>
      </c>
      <c r="H129" t="s">
        <v>163</v>
      </c>
      <c r="I129" s="2">
        <f>VLOOKUP(H129,mappings!$D$2:$E$6,2,FALSE)</f>
        <v>3</v>
      </c>
      <c r="J129" t="s">
        <v>10</v>
      </c>
      <c r="K129" t="s">
        <v>23</v>
      </c>
      <c r="L129" s="2">
        <f>VLOOKUP(K129,mappings!$A$2:$B$13,2,FALSE)</f>
        <v>3</v>
      </c>
      <c r="M129" t="s">
        <v>30</v>
      </c>
      <c r="N129" t="str">
        <f>VLOOKUP(E129,mappings!$L$1:$M$110,2,FALSE)</f>
        <v>No answer provided</v>
      </c>
      <c r="O129" t="str">
        <f>VLOOKUP(E129,mappings!L:O,3,FALSE)</f>
        <v>No answer provided</v>
      </c>
      <c r="P129" t="str">
        <f>VLOOKUP(E129,mappings!L:P,4,FALSE)</f>
        <v>No answer provided</v>
      </c>
    </row>
    <row r="130" spans="1:16" x14ac:dyDescent="0.2">
      <c r="A130">
        <v>129</v>
      </c>
      <c r="B130">
        <v>3880760866</v>
      </c>
      <c r="C130" t="s">
        <v>6</v>
      </c>
      <c r="D130" t="s">
        <v>40</v>
      </c>
      <c r="E130" t="s">
        <v>8</v>
      </c>
      <c r="F130" t="s">
        <v>9</v>
      </c>
      <c r="G130" s="2">
        <f>VLOOKUP(F130,mappings!$G$2:$H$6,2,FALSE)</f>
        <v>4</v>
      </c>
      <c r="H130" t="s">
        <v>163</v>
      </c>
      <c r="I130" s="2">
        <f>VLOOKUP(H130,mappings!$D$2:$E$6,2,FALSE)</f>
        <v>3</v>
      </c>
      <c r="J130" t="s">
        <v>10</v>
      </c>
      <c r="K130" t="s">
        <v>29</v>
      </c>
      <c r="L130" s="2">
        <f>VLOOKUP(K130,mappings!$A$2:$B$13,2,FALSE)</f>
        <v>1</v>
      </c>
      <c r="M130" t="s">
        <v>12</v>
      </c>
      <c r="N130" t="str">
        <f>VLOOKUP(E130,mappings!$L$1:$M$110,2,FALSE)</f>
        <v>No answer provided</v>
      </c>
      <c r="O130" t="str">
        <f>VLOOKUP(E130,mappings!L:O,3,FALSE)</f>
        <v>No answer provided</v>
      </c>
      <c r="P130" t="str">
        <f>VLOOKUP(E130,mappings!L:P,4,FALSE)</f>
        <v>No answer provided</v>
      </c>
    </row>
    <row r="131" spans="1:16" x14ac:dyDescent="0.2">
      <c r="A131">
        <v>130</v>
      </c>
      <c r="B131">
        <v>3880684514</v>
      </c>
      <c r="C131" t="s">
        <v>6</v>
      </c>
      <c r="D131" t="s">
        <v>21</v>
      </c>
      <c r="E131" t="s">
        <v>8</v>
      </c>
      <c r="F131" t="s">
        <v>9</v>
      </c>
      <c r="G131" s="2">
        <f>VLOOKUP(F131,mappings!$G$2:$H$6,2,FALSE)</f>
        <v>4</v>
      </c>
      <c r="H131" t="s">
        <v>163</v>
      </c>
      <c r="I131" s="2">
        <f>VLOOKUP(H131,mappings!$D$2:$E$6,2,FALSE)</f>
        <v>3</v>
      </c>
      <c r="J131" t="s">
        <v>10</v>
      </c>
      <c r="K131" t="s">
        <v>23</v>
      </c>
      <c r="L131" s="2">
        <f>VLOOKUP(K131,mappings!$A$2:$B$13,2,FALSE)</f>
        <v>3</v>
      </c>
      <c r="M131" t="s">
        <v>15</v>
      </c>
      <c r="N131" t="str">
        <f>VLOOKUP(E131,mappings!$L$1:$M$110,2,FALSE)</f>
        <v>No answer provided</v>
      </c>
      <c r="O131" t="str">
        <f>VLOOKUP(E131,mappings!L:O,3,FALSE)</f>
        <v>No answer provided</v>
      </c>
      <c r="P131" t="str">
        <f>VLOOKUP(E131,mappings!L:P,4,FALSE)</f>
        <v>No answer provided</v>
      </c>
    </row>
    <row r="132" spans="1:16" x14ac:dyDescent="0.2">
      <c r="A132">
        <v>131</v>
      </c>
      <c r="B132">
        <v>3880658899</v>
      </c>
      <c r="C132" t="s">
        <v>6</v>
      </c>
      <c r="D132" t="s">
        <v>1</v>
      </c>
      <c r="E132" t="s">
        <v>62</v>
      </c>
      <c r="F132" t="s">
        <v>9</v>
      </c>
      <c r="G132" s="2">
        <f>VLOOKUP(F132,mappings!$G$2:$H$6,2,FALSE)</f>
        <v>4</v>
      </c>
      <c r="H132" t="s">
        <v>163</v>
      </c>
      <c r="I132" s="2">
        <f>VLOOKUP(H132,mappings!$D$2:$E$6,2,FALSE)</f>
        <v>3</v>
      </c>
      <c r="J132" t="s">
        <v>10</v>
      </c>
      <c r="K132" t="s">
        <v>48</v>
      </c>
      <c r="L132" s="2">
        <f>VLOOKUP(K132,mappings!$A$2:$B$13,2,FALSE)</f>
        <v>7</v>
      </c>
      <c r="M132" t="s">
        <v>34</v>
      </c>
      <c r="N132" t="str">
        <f>VLOOKUP(E132,mappings!$L$1:$M$110,2,FALSE)</f>
        <v>Other or unknown</v>
      </c>
      <c r="O132" t="str">
        <f>VLOOKUP(E132,mappings!L:O,3,FALSE)</f>
        <v>App</v>
      </c>
      <c r="P132" t="str">
        <f>VLOOKUP(E132,mappings!L:P,4,FALSE)</f>
        <v>Other or unkown</v>
      </c>
    </row>
    <row r="133" spans="1:16" x14ac:dyDescent="0.2">
      <c r="A133">
        <v>132</v>
      </c>
      <c r="B133">
        <v>3880648847</v>
      </c>
      <c r="C133" t="s">
        <v>6</v>
      </c>
      <c r="D133" t="s">
        <v>31</v>
      </c>
      <c r="E133" t="s">
        <v>8</v>
      </c>
      <c r="F133" t="s">
        <v>22</v>
      </c>
      <c r="G133" s="2">
        <f>VLOOKUP(F133,mappings!$G$2:$H$6,2,FALSE)</f>
        <v>1</v>
      </c>
      <c r="H133" t="s">
        <v>163</v>
      </c>
      <c r="I133" s="2">
        <f>VLOOKUP(H133,mappings!$D$2:$E$6,2,FALSE)</f>
        <v>3</v>
      </c>
      <c r="J133" t="s">
        <v>10</v>
      </c>
      <c r="K133" t="s">
        <v>29</v>
      </c>
      <c r="L133" s="2">
        <f>VLOOKUP(K133,mappings!$A$2:$B$13,2,FALSE)</f>
        <v>1</v>
      </c>
      <c r="M133" t="s">
        <v>30</v>
      </c>
      <c r="N133" t="str">
        <f>VLOOKUP(E133,mappings!$L$1:$M$110,2,FALSE)</f>
        <v>No answer provided</v>
      </c>
      <c r="O133" t="str">
        <f>VLOOKUP(E133,mappings!L:O,3,FALSE)</f>
        <v>No answer provided</v>
      </c>
      <c r="P133" t="str">
        <f>VLOOKUP(E133,mappings!L:P,4,FALSE)</f>
        <v>No answer provided</v>
      </c>
    </row>
    <row r="134" spans="1:16" x14ac:dyDescent="0.2">
      <c r="A134">
        <v>133</v>
      </c>
      <c r="B134">
        <v>3880644828</v>
      </c>
      <c r="C134" t="s">
        <v>6</v>
      </c>
      <c r="D134" t="s">
        <v>41</v>
      </c>
      <c r="E134" t="s">
        <v>8</v>
      </c>
      <c r="F134" t="s">
        <v>16</v>
      </c>
      <c r="G134" s="2">
        <f>VLOOKUP(F134,mappings!$G$2:$H$6,2,FALSE)</f>
        <v>3</v>
      </c>
      <c r="H134" t="s">
        <v>162</v>
      </c>
      <c r="I134" s="2">
        <f>VLOOKUP(H134,mappings!$D$2:$E$6,2,FALSE)</f>
        <v>1</v>
      </c>
      <c r="J134" t="s">
        <v>10</v>
      </c>
      <c r="K134" t="s">
        <v>13</v>
      </c>
      <c r="L134" s="2">
        <f>VLOOKUP(K134,mappings!$A$2:$B$13,2,FALSE)</f>
        <v>11</v>
      </c>
      <c r="M134" t="s">
        <v>24</v>
      </c>
      <c r="N134" t="str">
        <f>VLOOKUP(E134,mappings!$L$1:$M$110,2,FALSE)</f>
        <v>No answer provided</v>
      </c>
      <c r="O134" t="str">
        <f>VLOOKUP(E134,mappings!L:O,3,FALSE)</f>
        <v>No answer provided</v>
      </c>
      <c r="P134" t="str">
        <f>VLOOKUP(E134,mappings!L:P,4,FALSE)</f>
        <v>No answer provided</v>
      </c>
    </row>
    <row r="135" spans="1:16" x14ac:dyDescent="0.2">
      <c r="A135">
        <v>134</v>
      </c>
      <c r="B135">
        <v>3880589507</v>
      </c>
      <c r="C135" t="s">
        <v>6</v>
      </c>
      <c r="D135" t="s">
        <v>1</v>
      </c>
      <c r="E135" t="s">
        <v>63</v>
      </c>
      <c r="F135" t="s">
        <v>22</v>
      </c>
      <c r="G135" s="2">
        <f>VLOOKUP(F135,mappings!$G$2:$H$6,2,FALSE)</f>
        <v>1</v>
      </c>
      <c r="H135" t="s">
        <v>163</v>
      </c>
      <c r="I135" s="2">
        <f>VLOOKUP(H135,mappings!$D$2:$E$6,2,FALSE)</f>
        <v>3</v>
      </c>
      <c r="J135" t="s">
        <v>10</v>
      </c>
      <c r="K135" t="s">
        <v>33</v>
      </c>
      <c r="L135" s="2">
        <f>VLOOKUP(K135,mappings!$A$2:$B$13,2,FALSE)</f>
        <v>5</v>
      </c>
      <c r="M135" t="s">
        <v>24</v>
      </c>
      <c r="N135" t="str">
        <f>VLOOKUP(E135,mappings!$L$1:$M$110,2,FALSE)</f>
        <v>Other or unknown</v>
      </c>
      <c r="O135" t="str">
        <f>VLOOKUP(E135,mappings!L:O,3,FALSE)</f>
        <v>Website</v>
      </c>
      <c r="P135" t="str">
        <f>VLOOKUP(E135,mappings!L:P,4,FALSE)</f>
        <v>Other or unkown</v>
      </c>
    </row>
    <row r="136" spans="1:16" x14ac:dyDescent="0.2">
      <c r="A136">
        <v>135</v>
      </c>
      <c r="B136">
        <v>3880580324</v>
      </c>
      <c r="C136" t="s">
        <v>6</v>
      </c>
      <c r="D136" t="s">
        <v>1</v>
      </c>
      <c r="E136" t="s">
        <v>64</v>
      </c>
      <c r="F136" t="s">
        <v>9</v>
      </c>
      <c r="G136" s="2">
        <f>VLOOKUP(F136,mappings!$G$2:$H$6,2,FALSE)</f>
        <v>4</v>
      </c>
      <c r="H136" t="s">
        <v>163</v>
      </c>
      <c r="I136" s="2">
        <f>VLOOKUP(H136,mappings!$D$2:$E$6,2,FALSE)</f>
        <v>3</v>
      </c>
      <c r="J136" t="s">
        <v>10</v>
      </c>
      <c r="K136" t="s">
        <v>18</v>
      </c>
      <c r="L136" s="2">
        <f>VLOOKUP(K136,mappings!$A$2:$B$13,2,FALSE)</f>
        <v>8</v>
      </c>
      <c r="M136" t="s">
        <v>12</v>
      </c>
      <c r="N136" t="str">
        <f>VLOOKUP(E136,mappings!$L$1:$M$110,2,FALSE)</f>
        <v>Intellicast</v>
      </c>
      <c r="O136" t="str">
        <f>VLOOKUP(E136,mappings!L:O,3,FALSE)</f>
        <v>Website</v>
      </c>
      <c r="P136" t="str">
        <f>VLOOKUP(E136,mappings!L:P,4,FALSE)</f>
        <v>Other or unkown</v>
      </c>
    </row>
    <row r="137" spans="1:16" x14ac:dyDescent="0.2">
      <c r="A137">
        <v>136</v>
      </c>
      <c r="B137">
        <v>3880574320</v>
      </c>
      <c r="C137" t="s">
        <v>6</v>
      </c>
      <c r="D137" t="s">
        <v>31</v>
      </c>
      <c r="E137" t="s">
        <v>8</v>
      </c>
      <c r="F137" t="s">
        <v>16</v>
      </c>
      <c r="G137" s="2">
        <f>VLOOKUP(F137,mappings!$G$2:$H$6,2,FALSE)</f>
        <v>3</v>
      </c>
      <c r="H137" t="s">
        <v>163</v>
      </c>
      <c r="I137" s="2">
        <f>VLOOKUP(H137,mappings!$D$2:$E$6,2,FALSE)</f>
        <v>3</v>
      </c>
      <c r="J137" t="s">
        <v>10</v>
      </c>
      <c r="K137" t="s">
        <v>33</v>
      </c>
      <c r="L137" s="2">
        <f>VLOOKUP(K137,mappings!$A$2:$B$13,2,FALSE)</f>
        <v>5</v>
      </c>
      <c r="M137" t="s">
        <v>12</v>
      </c>
      <c r="N137" t="str">
        <f>VLOOKUP(E137,mappings!$L$1:$M$110,2,FALSE)</f>
        <v>No answer provided</v>
      </c>
      <c r="O137" t="str">
        <f>VLOOKUP(E137,mappings!L:O,3,FALSE)</f>
        <v>No answer provided</v>
      </c>
      <c r="P137" t="str">
        <f>VLOOKUP(E137,mappings!L:P,4,FALSE)</f>
        <v>No answer provided</v>
      </c>
    </row>
    <row r="138" spans="1:16" x14ac:dyDescent="0.2">
      <c r="A138">
        <v>137</v>
      </c>
      <c r="B138">
        <v>3880465916</v>
      </c>
      <c r="C138" t="s">
        <v>26</v>
      </c>
      <c r="D138" t="s">
        <v>27</v>
      </c>
      <c r="E138" t="s">
        <v>8</v>
      </c>
      <c r="F138" t="s">
        <v>28</v>
      </c>
      <c r="G138" s="2">
        <f>VLOOKUP(F138,mappings!$G$2:$H$6,2,FALSE)</f>
        <v>2</v>
      </c>
      <c r="H138" t="s">
        <v>161</v>
      </c>
      <c r="I138" s="2">
        <f>VLOOKUP(H138,mappings!$D$2:$E$6,2,FALSE)</f>
        <v>2</v>
      </c>
      <c r="J138" t="s">
        <v>10</v>
      </c>
      <c r="K138" t="s">
        <v>29</v>
      </c>
      <c r="L138" s="2">
        <f>VLOOKUP(K138,mappings!$A$2:$B$13,2,FALSE)</f>
        <v>1</v>
      </c>
      <c r="M138" t="s">
        <v>25</v>
      </c>
      <c r="N138" t="str">
        <f>VLOOKUP(E138,mappings!$L$1:$M$110,2,FALSE)</f>
        <v>No answer provided</v>
      </c>
      <c r="O138" t="str">
        <f>VLOOKUP(E138,mappings!L:O,3,FALSE)</f>
        <v>No answer provided</v>
      </c>
      <c r="P138" t="str">
        <f>VLOOKUP(E138,mappings!L:P,4,FALSE)</f>
        <v>No answer provided</v>
      </c>
    </row>
    <row r="139" spans="1:16" x14ac:dyDescent="0.2">
      <c r="A139">
        <v>138</v>
      </c>
      <c r="B139">
        <v>3880464921</v>
      </c>
      <c r="C139" t="s">
        <v>26</v>
      </c>
      <c r="D139" t="s">
        <v>21</v>
      </c>
      <c r="E139" t="s">
        <v>8</v>
      </c>
      <c r="F139" t="s">
        <v>16</v>
      </c>
      <c r="G139" s="2">
        <f>VLOOKUP(F139,mappings!$G$2:$H$6,2,FALSE)</f>
        <v>3</v>
      </c>
      <c r="H139" t="s">
        <v>161</v>
      </c>
      <c r="I139" s="2">
        <f>VLOOKUP(H139,mappings!$D$2:$E$6,2,FALSE)</f>
        <v>2</v>
      </c>
      <c r="J139" t="s">
        <v>10</v>
      </c>
      <c r="K139" t="s">
        <v>33</v>
      </c>
      <c r="L139" s="2">
        <f>VLOOKUP(K139,mappings!$A$2:$B$13,2,FALSE)</f>
        <v>5</v>
      </c>
      <c r="M139" t="s">
        <v>12</v>
      </c>
      <c r="N139" t="str">
        <f>VLOOKUP(E139,mappings!$L$1:$M$110,2,FALSE)</f>
        <v>No answer provided</v>
      </c>
      <c r="O139" t="str">
        <f>VLOOKUP(E139,mappings!L:O,3,FALSE)</f>
        <v>No answer provided</v>
      </c>
      <c r="P139" t="str">
        <f>VLOOKUP(E139,mappings!L:P,4,FALSE)</f>
        <v>No answer provided</v>
      </c>
    </row>
    <row r="140" spans="1:16" x14ac:dyDescent="0.2">
      <c r="A140">
        <v>139</v>
      </c>
      <c r="B140">
        <v>3880459984</v>
      </c>
      <c r="C140" t="s">
        <v>6</v>
      </c>
      <c r="D140" t="s">
        <v>7</v>
      </c>
      <c r="E140" t="s">
        <v>8</v>
      </c>
      <c r="F140" t="s">
        <v>16</v>
      </c>
      <c r="G140" s="2">
        <f>VLOOKUP(F140,mappings!$G$2:$H$6,2,FALSE)</f>
        <v>3</v>
      </c>
      <c r="H140" t="s">
        <v>163</v>
      </c>
      <c r="I140" s="2">
        <f>VLOOKUP(H140,mappings!$D$2:$E$6,2,FALSE)</f>
        <v>3</v>
      </c>
      <c r="J140" t="s">
        <v>10</v>
      </c>
      <c r="K140" t="s">
        <v>11</v>
      </c>
      <c r="L140" s="2">
        <f>VLOOKUP(K140,mappings!$A$2:$B$13,2,FALSE)</f>
        <v>4</v>
      </c>
      <c r="M140" t="s">
        <v>20</v>
      </c>
      <c r="N140" t="str">
        <f>VLOOKUP(E140,mappings!$L$1:$M$110,2,FALSE)</f>
        <v>No answer provided</v>
      </c>
      <c r="O140" t="str">
        <f>VLOOKUP(E140,mappings!L:O,3,FALSE)</f>
        <v>No answer provided</v>
      </c>
      <c r="P140" t="str">
        <f>VLOOKUP(E140,mappings!L:P,4,FALSE)</f>
        <v>No answer provided</v>
      </c>
    </row>
    <row r="141" spans="1:16" x14ac:dyDescent="0.2">
      <c r="A141">
        <v>140</v>
      </c>
      <c r="B141">
        <v>3880448211</v>
      </c>
      <c r="C141" t="s">
        <v>6</v>
      </c>
      <c r="D141" t="s">
        <v>7</v>
      </c>
      <c r="E141" t="s">
        <v>8</v>
      </c>
      <c r="F141" t="s">
        <v>9</v>
      </c>
      <c r="G141" s="2">
        <f>VLOOKUP(F141,mappings!$G$2:$H$6,2,FALSE)</f>
        <v>4</v>
      </c>
      <c r="H141" t="s">
        <v>163</v>
      </c>
      <c r="I141" s="2">
        <f>VLOOKUP(H141,mappings!$D$2:$E$6,2,FALSE)</f>
        <v>3</v>
      </c>
      <c r="J141" t="s">
        <v>10</v>
      </c>
      <c r="K141" t="s">
        <v>47</v>
      </c>
      <c r="L141" s="2">
        <f>VLOOKUP(K141,mappings!$A$2:$B$13,2,FALSE)</f>
        <v>9</v>
      </c>
      <c r="M141" t="s">
        <v>15</v>
      </c>
      <c r="N141" t="str">
        <f>VLOOKUP(E141,mappings!$L$1:$M$110,2,FALSE)</f>
        <v>No answer provided</v>
      </c>
      <c r="O141" t="str">
        <f>VLOOKUP(E141,mappings!L:O,3,FALSE)</f>
        <v>No answer provided</v>
      </c>
      <c r="P141" t="str">
        <f>VLOOKUP(E141,mappings!L:P,4,FALSE)</f>
        <v>No answer provided</v>
      </c>
    </row>
    <row r="142" spans="1:16" x14ac:dyDescent="0.2">
      <c r="A142">
        <v>141</v>
      </c>
      <c r="B142">
        <v>3880441785</v>
      </c>
      <c r="C142" t="s">
        <v>6</v>
      </c>
      <c r="D142" t="s">
        <v>1</v>
      </c>
      <c r="E142" t="s">
        <v>65</v>
      </c>
      <c r="F142" t="s">
        <v>9</v>
      </c>
      <c r="G142" s="2">
        <f>VLOOKUP(F142,mappings!$G$2:$H$6,2,FALSE)</f>
        <v>4</v>
      </c>
      <c r="H142" t="s">
        <v>163</v>
      </c>
      <c r="I142" s="2">
        <f>VLOOKUP(H142,mappings!$D$2:$E$6,2,FALSE)</f>
        <v>3</v>
      </c>
      <c r="J142" t="s">
        <v>10</v>
      </c>
      <c r="K142" t="s">
        <v>11</v>
      </c>
      <c r="L142" s="2">
        <f>VLOOKUP(K142,mappings!$A$2:$B$13,2,FALSE)</f>
        <v>4</v>
      </c>
      <c r="M142" t="s">
        <v>12</v>
      </c>
      <c r="N142" t="str">
        <f>VLOOKUP(E142,mappings!$L$1:$M$110,2,FALSE)</f>
        <v>Yahoo</v>
      </c>
      <c r="O142" t="str">
        <f>VLOOKUP(E142,mappings!L:O,3,FALSE)</f>
        <v>App</v>
      </c>
      <c r="P142" t="str">
        <f>VLOOKUP(E142,mappings!L:P,4,FALSE)</f>
        <v>Apple</v>
      </c>
    </row>
    <row r="143" spans="1:16" x14ac:dyDescent="0.2">
      <c r="A143">
        <v>142</v>
      </c>
      <c r="B143">
        <v>3880438117</v>
      </c>
      <c r="C143" t="s">
        <v>6</v>
      </c>
      <c r="D143" t="s">
        <v>1</v>
      </c>
      <c r="E143" t="s">
        <v>66</v>
      </c>
      <c r="F143" t="s">
        <v>28</v>
      </c>
      <c r="G143" s="2">
        <f>VLOOKUP(F143,mappings!$G$2:$H$6,2,FALSE)</f>
        <v>2</v>
      </c>
      <c r="H143" t="s">
        <v>163</v>
      </c>
      <c r="I143" s="2">
        <f>VLOOKUP(H143,mappings!$D$2:$E$6,2,FALSE)</f>
        <v>3</v>
      </c>
      <c r="J143" t="s">
        <v>10</v>
      </c>
      <c r="K143" t="s">
        <v>14</v>
      </c>
      <c r="L143" s="2">
        <f>VLOOKUP(K143,mappings!$A$2:$B$13,2,FALSE)</f>
        <v>6</v>
      </c>
      <c r="M143" t="s">
        <v>30</v>
      </c>
      <c r="N143" t="str">
        <f>VLOOKUP(E143,mappings!$L$1:$M$110,2,FALSE)</f>
        <v>Weatherbug</v>
      </c>
      <c r="O143" t="str">
        <f>VLOOKUP(E143,mappings!L:O,3,FALSE)</f>
        <v>Website</v>
      </c>
      <c r="P143" t="str">
        <f>VLOOKUP(E143,mappings!L:P,4,FALSE)</f>
        <v>Other or unkown</v>
      </c>
    </row>
    <row r="144" spans="1:16" x14ac:dyDescent="0.2">
      <c r="A144">
        <v>143</v>
      </c>
      <c r="B144">
        <v>3880436782</v>
      </c>
      <c r="C144" t="s">
        <v>6</v>
      </c>
      <c r="D144" t="s">
        <v>40</v>
      </c>
      <c r="E144" t="s">
        <v>8</v>
      </c>
      <c r="F144" t="s">
        <v>22</v>
      </c>
      <c r="G144" s="2">
        <f>VLOOKUP(F144,mappings!$G$2:$H$6,2,FALSE)</f>
        <v>1</v>
      </c>
      <c r="H144" t="s">
        <v>163</v>
      </c>
      <c r="I144" s="2">
        <f>VLOOKUP(H144,mappings!$D$2:$E$6,2,FALSE)</f>
        <v>3</v>
      </c>
      <c r="J144" t="s">
        <v>10</v>
      </c>
      <c r="K144" t="s">
        <v>39</v>
      </c>
      <c r="L144" s="2">
        <f>VLOOKUP(K144,mappings!$A$2:$B$13,2,FALSE)</f>
        <v>10</v>
      </c>
      <c r="M144" t="s">
        <v>12</v>
      </c>
      <c r="N144" t="str">
        <f>VLOOKUP(E144,mappings!$L$1:$M$110,2,FALSE)</f>
        <v>No answer provided</v>
      </c>
      <c r="O144" t="str">
        <f>VLOOKUP(E144,mappings!L:O,3,FALSE)</f>
        <v>No answer provided</v>
      </c>
      <c r="P144" t="str">
        <f>VLOOKUP(E144,mappings!L:P,4,FALSE)</f>
        <v>No answer provided</v>
      </c>
    </row>
    <row r="145" spans="1:16" x14ac:dyDescent="0.2">
      <c r="A145">
        <v>144</v>
      </c>
      <c r="B145">
        <v>3880427365</v>
      </c>
      <c r="C145" t="s">
        <v>6</v>
      </c>
      <c r="D145" t="s">
        <v>1</v>
      </c>
      <c r="E145" t="s">
        <v>67</v>
      </c>
      <c r="F145" t="s">
        <v>22</v>
      </c>
      <c r="G145" s="2">
        <f>VLOOKUP(F145,mappings!$G$2:$H$6,2,FALSE)</f>
        <v>1</v>
      </c>
      <c r="H145" t="s">
        <v>163</v>
      </c>
      <c r="I145" s="2">
        <f>VLOOKUP(H145,mappings!$D$2:$E$6,2,FALSE)</f>
        <v>3</v>
      </c>
      <c r="J145" t="s">
        <v>10</v>
      </c>
      <c r="K145" t="s">
        <v>39</v>
      </c>
      <c r="L145" s="2">
        <f>VLOOKUP(K145,mappings!$A$2:$B$13,2,FALSE)</f>
        <v>10</v>
      </c>
      <c r="M145" t="s">
        <v>38</v>
      </c>
      <c r="N145" t="str">
        <f>VLOOKUP(E145,mappings!$L$1:$M$110,2,FALSE)</f>
        <v>Weatherbug</v>
      </c>
      <c r="O145" t="str">
        <f>VLOOKUP(E145,mappings!L:O,3,FALSE)</f>
        <v>Website</v>
      </c>
      <c r="P145" t="str">
        <f>VLOOKUP(E145,mappings!L:P,4,FALSE)</f>
        <v>Other or unkown</v>
      </c>
    </row>
    <row r="146" spans="1:16" x14ac:dyDescent="0.2">
      <c r="A146">
        <v>145</v>
      </c>
      <c r="B146">
        <v>3880377127</v>
      </c>
      <c r="C146" t="s">
        <v>26</v>
      </c>
      <c r="D146" t="s">
        <v>27</v>
      </c>
      <c r="E146" t="s">
        <v>8</v>
      </c>
      <c r="F146" t="s">
        <v>16</v>
      </c>
      <c r="G146" s="2">
        <f>VLOOKUP(F146,mappings!$G$2:$H$6,2,FALSE)</f>
        <v>3</v>
      </c>
      <c r="H146" t="s">
        <v>163</v>
      </c>
      <c r="I146" s="2">
        <f>VLOOKUP(H146,mappings!$D$2:$E$6,2,FALSE)</f>
        <v>3</v>
      </c>
      <c r="J146" t="s">
        <v>10</v>
      </c>
      <c r="K146" t="s">
        <v>48</v>
      </c>
      <c r="L146" s="2">
        <f>VLOOKUP(K146,mappings!$A$2:$B$13,2,FALSE)</f>
        <v>7</v>
      </c>
      <c r="M146" t="s">
        <v>24</v>
      </c>
      <c r="N146" t="str">
        <f>VLOOKUP(E146,mappings!$L$1:$M$110,2,FALSE)</f>
        <v>No answer provided</v>
      </c>
      <c r="O146" t="str">
        <f>VLOOKUP(E146,mappings!L:O,3,FALSE)</f>
        <v>No answer provided</v>
      </c>
      <c r="P146" t="str">
        <f>VLOOKUP(E146,mappings!L:P,4,FALSE)</f>
        <v>No answer provided</v>
      </c>
    </row>
    <row r="147" spans="1:16" x14ac:dyDescent="0.2">
      <c r="A147">
        <v>146</v>
      </c>
      <c r="B147">
        <v>3880323654</v>
      </c>
      <c r="C147" t="s">
        <v>6</v>
      </c>
      <c r="D147" t="s">
        <v>31</v>
      </c>
      <c r="E147" t="s">
        <v>8</v>
      </c>
      <c r="F147" t="s">
        <v>22</v>
      </c>
      <c r="G147" s="2">
        <f>VLOOKUP(F147,mappings!$G$2:$H$6,2,FALSE)</f>
        <v>1</v>
      </c>
      <c r="H147" t="s">
        <v>163</v>
      </c>
      <c r="I147" s="2">
        <f>VLOOKUP(H147,mappings!$D$2:$E$6,2,FALSE)</f>
        <v>3</v>
      </c>
      <c r="J147" t="s">
        <v>10</v>
      </c>
      <c r="K147" t="s">
        <v>48</v>
      </c>
      <c r="L147" s="2">
        <f>VLOOKUP(K147,mappings!$A$2:$B$13,2,FALSE)</f>
        <v>7</v>
      </c>
      <c r="M147" t="s">
        <v>20</v>
      </c>
      <c r="N147" t="str">
        <f>VLOOKUP(E147,mappings!$L$1:$M$110,2,FALSE)</f>
        <v>No answer provided</v>
      </c>
      <c r="O147" t="str">
        <f>VLOOKUP(E147,mappings!L:O,3,FALSE)</f>
        <v>No answer provided</v>
      </c>
      <c r="P147" t="str">
        <f>VLOOKUP(E147,mappings!L:P,4,FALSE)</f>
        <v>No answer provided</v>
      </c>
    </row>
    <row r="148" spans="1:16" x14ac:dyDescent="0.2">
      <c r="A148">
        <v>147</v>
      </c>
      <c r="B148">
        <v>3880319089</v>
      </c>
      <c r="C148" t="s">
        <v>26</v>
      </c>
      <c r="D148" t="s">
        <v>1</v>
      </c>
      <c r="E148" t="s">
        <v>68</v>
      </c>
      <c r="F148" t="s">
        <v>16</v>
      </c>
      <c r="G148" s="2">
        <f>VLOOKUP(F148,mappings!$G$2:$H$6,2,FALSE)</f>
        <v>3</v>
      </c>
      <c r="H148" t="s">
        <v>162</v>
      </c>
      <c r="I148" s="2">
        <f>VLOOKUP(H148,mappings!$D$2:$E$6,2,FALSE)</f>
        <v>1</v>
      </c>
      <c r="J148" t="s">
        <v>10</v>
      </c>
      <c r="K148" t="s">
        <v>11</v>
      </c>
      <c r="L148" s="2">
        <f>VLOOKUP(K148,mappings!$A$2:$B$13,2,FALSE)</f>
        <v>4</v>
      </c>
      <c r="M148" t="s">
        <v>12</v>
      </c>
      <c r="N148" t="str">
        <f>VLOOKUP(E148,mappings!$L$1:$M$110,2,FALSE)</f>
        <v>Yahoo</v>
      </c>
      <c r="O148" t="str">
        <f>VLOOKUP(E148,mappings!L:O,3,FALSE)</f>
        <v>App</v>
      </c>
      <c r="P148" t="str">
        <f>VLOOKUP(E148,mappings!L:P,4,FALSE)</f>
        <v>Apple</v>
      </c>
    </row>
    <row r="149" spans="1:16" x14ac:dyDescent="0.2">
      <c r="A149">
        <v>148</v>
      </c>
      <c r="B149">
        <v>3880303554</v>
      </c>
      <c r="C149" t="s">
        <v>6</v>
      </c>
      <c r="D149" t="s">
        <v>1</v>
      </c>
      <c r="E149" t="s">
        <v>69</v>
      </c>
      <c r="F149" t="s">
        <v>9</v>
      </c>
      <c r="G149" s="2">
        <f>VLOOKUP(F149,mappings!$G$2:$H$6,2,FALSE)</f>
        <v>4</v>
      </c>
      <c r="H149" t="s">
        <v>163</v>
      </c>
      <c r="I149" s="2">
        <f>VLOOKUP(H149,mappings!$D$2:$E$6,2,FALSE)</f>
        <v>3</v>
      </c>
      <c r="J149" t="s">
        <v>10</v>
      </c>
      <c r="K149" t="s">
        <v>18</v>
      </c>
      <c r="L149" s="2">
        <f>VLOOKUP(K149,mappings!$A$2:$B$13,2,FALSE)</f>
        <v>8</v>
      </c>
      <c r="M149" t="s">
        <v>30</v>
      </c>
      <c r="N149" t="str">
        <f>VLOOKUP(E149,mappings!$L$1:$M$110,2,FALSE)</f>
        <v>Weatherbug</v>
      </c>
      <c r="O149" t="str">
        <f>VLOOKUP(E149,mappings!L:O,3,FALSE)</f>
        <v>Website</v>
      </c>
      <c r="P149" t="str">
        <f>VLOOKUP(E149,mappings!L:P,4,FALSE)</f>
        <v>Other or unkown</v>
      </c>
    </row>
    <row r="150" spans="1:16" x14ac:dyDescent="0.2">
      <c r="A150">
        <v>149</v>
      </c>
      <c r="B150">
        <v>3880299725</v>
      </c>
      <c r="C150" t="s">
        <v>6</v>
      </c>
      <c r="D150" t="s">
        <v>1</v>
      </c>
      <c r="E150" t="s">
        <v>70</v>
      </c>
      <c r="F150" t="s">
        <v>28</v>
      </c>
      <c r="G150" s="2">
        <f>VLOOKUP(F150,mappings!$G$2:$H$6,2,FALSE)</f>
        <v>2</v>
      </c>
      <c r="H150" t="s">
        <v>163</v>
      </c>
      <c r="I150" s="2">
        <f>VLOOKUP(H150,mappings!$D$2:$E$6,2,FALSE)</f>
        <v>3</v>
      </c>
      <c r="J150" t="s">
        <v>10</v>
      </c>
      <c r="K150" t="s">
        <v>11</v>
      </c>
      <c r="L150" s="2">
        <f>VLOOKUP(K150,mappings!$A$2:$B$13,2,FALSE)</f>
        <v>4</v>
      </c>
      <c r="M150" t="s">
        <v>30</v>
      </c>
      <c r="N150" t="str">
        <f>VLOOKUP(E150,mappings!$L$1:$M$110,2,FALSE)</f>
        <v>AccuWeather</v>
      </c>
      <c r="O150" t="str">
        <f>VLOOKUP(E150,mappings!L:O,3,FALSE)</f>
        <v>Website</v>
      </c>
      <c r="P150" t="str">
        <f>VLOOKUP(E150,mappings!L:P,4,FALSE)</f>
        <v>Other or unkown</v>
      </c>
    </row>
    <row r="151" spans="1:16" x14ac:dyDescent="0.2">
      <c r="A151">
        <v>150</v>
      </c>
      <c r="B151">
        <v>3880256330</v>
      </c>
      <c r="C151" t="s">
        <v>6</v>
      </c>
      <c r="D151" t="s">
        <v>7</v>
      </c>
      <c r="E151" t="s">
        <v>8</v>
      </c>
      <c r="F151" t="s">
        <v>16</v>
      </c>
      <c r="G151" s="2">
        <f>VLOOKUP(F151,mappings!$G$2:$H$6,2,FALSE)</f>
        <v>3</v>
      </c>
      <c r="H151" t="s">
        <v>163</v>
      </c>
      <c r="I151" s="2">
        <f>VLOOKUP(H151,mappings!$D$2:$E$6,2,FALSE)</f>
        <v>3</v>
      </c>
      <c r="J151" t="s">
        <v>10</v>
      </c>
      <c r="K151" t="s">
        <v>14</v>
      </c>
      <c r="L151" s="2">
        <f>VLOOKUP(K151,mappings!$A$2:$B$13,2,FALSE)</f>
        <v>6</v>
      </c>
      <c r="M151" t="s">
        <v>24</v>
      </c>
      <c r="N151" t="str">
        <f>VLOOKUP(E151,mappings!$L$1:$M$110,2,FALSE)</f>
        <v>No answer provided</v>
      </c>
      <c r="O151" t="str">
        <f>VLOOKUP(E151,mappings!L:O,3,FALSE)</f>
        <v>No answer provided</v>
      </c>
      <c r="P151" t="str">
        <f>VLOOKUP(E151,mappings!L:P,4,FALSE)</f>
        <v>No answer provided</v>
      </c>
    </row>
    <row r="152" spans="1:16" x14ac:dyDescent="0.2">
      <c r="A152">
        <v>151</v>
      </c>
      <c r="B152">
        <v>3880230736</v>
      </c>
      <c r="C152" t="s">
        <v>6</v>
      </c>
      <c r="D152" t="s">
        <v>21</v>
      </c>
      <c r="E152" t="s">
        <v>8</v>
      </c>
      <c r="F152" t="s">
        <v>22</v>
      </c>
      <c r="G152" s="2">
        <f>VLOOKUP(F152,mappings!$G$2:$H$6,2,FALSE)</f>
        <v>1</v>
      </c>
      <c r="H152" t="s">
        <v>163</v>
      </c>
      <c r="I152" s="2">
        <f>VLOOKUP(H152,mappings!$D$2:$E$6,2,FALSE)</f>
        <v>3</v>
      </c>
      <c r="J152" t="s">
        <v>10</v>
      </c>
      <c r="K152" t="s">
        <v>18</v>
      </c>
      <c r="L152" s="2">
        <f>VLOOKUP(K152,mappings!$A$2:$B$13,2,FALSE)</f>
        <v>8</v>
      </c>
      <c r="M152" t="s">
        <v>12</v>
      </c>
      <c r="N152" t="str">
        <f>VLOOKUP(E152,mappings!$L$1:$M$110,2,FALSE)</f>
        <v>No answer provided</v>
      </c>
      <c r="O152" t="str">
        <f>VLOOKUP(E152,mappings!L:O,3,FALSE)</f>
        <v>No answer provided</v>
      </c>
      <c r="P152" t="str">
        <f>VLOOKUP(E152,mappings!L:P,4,FALSE)</f>
        <v>No answer provided</v>
      </c>
    </row>
    <row r="153" spans="1:16" x14ac:dyDescent="0.2">
      <c r="A153">
        <v>152</v>
      </c>
      <c r="B153">
        <v>3880219305</v>
      </c>
      <c r="C153" t="s">
        <v>26</v>
      </c>
      <c r="D153" t="s">
        <v>27</v>
      </c>
      <c r="E153" t="s">
        <v>8</v>
      </c>
      <c r="F153" t="s">
        <v>16</v>
      </c>
      <c r="G153" s="2">
        <f>VLOOKUP(F153,mappings!$G$2:$H$6,2,FALSE)</f>
        <v>3</v>
      </c>
      <c r="H153" t="s">
        <v>163</v>
      </c>
      <c r="I153" s="2">
        <f>VLOOKUP(H153,mappings!$D$2:$E$6,2,FALSE)</f>
        <v>3</v>
      </c>
      <c r="J153" t="s">
        <v>10</v>
      </c>
      <c r="K153" t="s">
        <v>14</v>
      </c>
      <c r="L153" s="2">
        <f>VLOOKUP(K153,mappings!$A$2:$B$13,2,FALSE)</f>
        <v>6</v>
      </c>
      <c r="M153" t="s">
        <v>24</v>
      </c>
      <c r="N153" t="str">
        <f>VLOOKUP(E153,mappings!$L$1:$M$110,2,FALSE)</f>
        <v>No answer provided</v>
      </c>
      <c r="O153" t="str">
        <f>VLOOKUP(E153,mappings!L:O,3,FALSE)</f>
        <v>No answer provided</v>
      </c>
      <c r="P153" t="str">
        <f>VLOOKUP(E153,mappings!L:P,4,FALSE)</f>
        <v>No answer provided</v>
      </c>
    </row>
    <row r="154" spans="1:16" x14ac:dyDescent="0.2">
      <c r="A154">
        <v>153</v>
      </c>
      <c r="B154">
        <v>3880210450</v>
      </c>
      <c r="C154" t="s">
        <v>6</v>
      </c>
      <c r="D154" t="s">
        <v>21</v>
      </c>
      <c r="E154" t="s">
        <v>8</v>
      </c>
      <c r="F154" t="s">
        <v>9</v>
      </c>
      <c r="G154" s="2">
        <f>VLOOKUP(F154,mappings!$G$2:$H$6,2,FALSE)</f>
        <v>4</v>
      </c>
      <c r="H154" t="s">
        <v>163</v>
      </c>
      <c r="I154" s="2">
        <f>VLOOKUP(H154,mappings!$D$2:$E$6,2,FALSE)</f>
        <v>3</v>
      </c>
      <c r="J154" t="s">
        <v>10</v>
      </c>
      <c r="K154" t="s">
        <v>14</v>
      </c>
      <c r="L154" s="2">
        <f>VLOOKUP(K154,mappings!$A$2:$B$13,2,FALSE)</f>
        <v>6</v>
      </c>
      <c r="M154" t="s">
        <v>24</v>
      </c>
      <c r="N154" t="str">
        <f>VLOOKUP(E154,mappings!$L$1:$M$110,2,FALSE)</f>
        <v>No answer provided</v>
      </c>
      <c r="O154" t="str">
        <f>VLOOKUP(E154,mappings!L:O,3,FALSE)</f>
        <v>No answer provided</v>
      </c>
      <c r="P154" t="str">
        <f>VLOOKUP(E154,mappings!L:P,4,FALSE)</f>
        <v>No answer provided</v>
      </c>
    </row>
    <row r="155" spans="1:16" x14ac:dyDescent="0.2">
      <c r="A155">
        <v>154</v>
      </c>
      <c r="B155">
        <v>3880208319</v>
      </c>
      <c r="C155" t="s">
        <v>6</v>
      </c>
      <c r="D155" t="s">
        <v>27</v>
      </c>
      <c r="E155" t="s">
        <v>8</v>
      </c>
      <c r="F155" t="s">
        <v>16</v>
      </c>
      <c r="G155" s="2">
        <f>VLOOKUP(F155,mappings!$G$2:$H$6,2,FALSE)</f>
        <v>3</v>
      </c>
      <c r="H155" t="s">
        <v>161</v>
      </c>
      <c r="I155" s="2">
        <f>VLOOKUP(H155,mappings!$D$2:$E$6,2,FALSE)</f>
        <v>2</v>
      </c>
      <c r="J155" t="s">
        <v>10</v>
      </c>
      <c r="K155" t="s">
        <v>14</v>
      </c>
      <c r="L155" s="2">
        <f>VLOOKUP(K155,mappings!$A$2:$B$13,2,FALSE)</f>
        <v>6</v>
      </c>
      <c r="M155" t="s">
        <v>20</v>
      </c>
      <c r="N155" t="str">
        <f>VLOOKUP(E155,mappings!$L$1:$M$110,2,FALSE)</f>
        <v>No answer provided</v>
      </c>
      <c r="O155" t="str">
        <f>VLOOKUP(E155,mappings!L:O,3,FALSE)</f>
        <v>No answer provided</v>
      </c>
      <c r="P155" t="str">
        <f>VLOOKUP(E155,mappings!L:P,4,FALSE)</f>
        <v>No answer provided</v>
      </c>
    </row>
    <row r="156" spans="1:16" x14ac:dyDescent="0.2">
      <c r="A156">
        <v>155</v>
      </c>
      <c r="B156">
        <v>3880187634</v>
      </c>
      <c r="C156" t="s">
        <v>6</v>
      </c>
      <c r="D156" t="s">
        <v>27</v>
      </c>
      <c r="E156" t="s">
        <v>8</v>
      </c>
      <c r="F156" t="s">
        <v>22</v>
      </c>
      <c r="G156" s="2">
        <f>VLOOKUP(F156,mappings!$G$2:$H$6,2,FALSE)</f>
        <v>1</v>
      </c>
      <c r="H156" t="s">
        <v>163</v>
      </c>
      <c r="I156" s="2">
        <f>VLOOKUP(H156,mappings!$D$2:$E$6,2,FALSE)</f>
        <v>3</v>
      </c>
      <c r="J156" t="s">
        <v>10</v>
      </c>
      <c r="K156" t="s">
        <v>32</v>
      </c>
      <c r="L156" s="2">
        <f>VLOOKUP(K156,mappings!$A$2:$B$13,2,FALSE)</f>
        <v>2</v>
      </c>
      <c r="M156" t="s">
        <v>24</v>
      </c>
      <c r="N156" t="str">
        <f>VLOOKUP(E156,mappings!$L$1:$M$110,2,FALSE)</f>
        <v>No answer provided</v>
      </c>
      <c r="O156" t="str">
        <f>VLOOKUP(E156,mappings!L:O,3,FALSE)</f>
        <v>No answer provided</v>
      </c>
      <c r="P156" t="str">
        <f>VLOOKUP(E156,mappings!L:P,4,FALSE)</f>
        <v>No answer provided</v>
      </c>
    </row>
    <row r="157" spans="1:16" x14ac:dyDescent="0.2">
      <c r="A157">
        <v>156</v>
      </c>
      <c r="B157">
        <v>3880162442</v>
      </c>
      <c r="C157" t="s">
        <v>6</v>
      </c>
      <c r="D157" t="s">
        <v>7</v>
      </c>
      <c r="E157" t="s">
        <v>8</v>
      </c>
      <c r="F157" t="s">
        <v>16</v>
      </c>
      <c r="G157" s="2">
        <f>VLOOKUP(F157,mappings!$G$2:$H$6,2,FALSE)</f>
        <v>3</v>
      </c>
      <c r="H157" t="s">
        <v>162</v>
      </c>
      <c r="I157" s="2">
        <f>VLOOKUP(H157,mappings!$D$2:$E$6,2,FALSE)</f>
        <v>1</v>
      </c>
      <c r="J157" t="s">
        <v>10</v>
      </c>
      <c r="K157" t="s">
        <v>13</v>
      </c>
      <c r="L157" s="2">
        <f>VLOOKUP(K157,mappings!$A$2:$B$13,2,FALSE)</f>
        <v>11</v>
      </c>
      <c r="M157" t="s">
        <v>15</v>
      </c>
      <c r="N157" t="str">
        <f>VLOOKUP(E157,mappings!$L$1:$M$110,2,FALSE)</f>
        <v>No answer provided</v>
      </c>
      <c r="O157" t="str">
        <f>VLOOKUP(E157,mappings!L:O,3,FALSE)</f>
        <v>No answer provided</v>
      </c>
      <c r="P157" t="str">
        <f>VLOOKUP(E157,mappings!L:P,4,FALSE)</f>
        <v>No answer provided</v>
      </c>
    </row>
    <row r="158" spans="1:16" x14ac:dyDescent="0.2">
      <c r="A158">
        <v>157</v>
      </c>
      <c r="B158">
        <v>3880131987</v>
      </c>
      <c r="C158" t="s">
        <v>6</v>
      </c>
      <c r="D158" t="s">
        <v>7</v>
      </c>
      <c r="E158" t="s">
        <v>8</v>
      </c>
      <c r="F158" t="s">
        <v>16</v>
      </c>
      <c r="G158" s="2">
        <f>VLOOKUP(F158,mappings!$G$2:$H$6,2,FALSE)</f>
        <v>3</v>
      </c>
      <c r="H158" t="s">
        <v>163</v>
      </c>
      <c r="I158" s="2">
        <f>VLOOKUP(H158,mappings!$D$2:$E$6,2,FALSE)</f>
        <v>3</v>
      </c>
      <c r="J158" t="s">
        <v>10</v>
      </c>
      <c r="K158" t="s">
        <v>18</v>
      </c>
      <c r="L158" s="2">
        <f>VLOOKUP(K158,mappings!$A$2:$B$13,2,FALSE)</f>
        <v>8</v>
      </c>
      <c r="M158" t="s">
        <v>24</v>
      </c>
      <c r="N158" t="str">
        <f>VLOOKUP(E158,mappings!$L$1:$M$110,2,FALSE)</f>
        <v>No answer provided</v>
      </c>
      <c r="O158" t="str">
        <f>VLOOKUP(E158,mappings!L:O,3,FALSE)</f>
        <v>No answer provided</v>
      </c>
      <c r="P158" t="str">
        <f>VLOOKUP(E158,mappings!L:P,4,FALSE)</f>
        <v>No answer provided</v>
      </c>
    </row>
    <row r="159" spans="1:16" x14ac:dyDescent="0.2">
      <c r="A159">
        <v>158</v>
      </c>
      <c r="B159">
        <v>3880129691</v>
      </c>
      <c r="C159" t="s">
        <v>6</v>
      </c>
      <c r="D159" t="s">
        <v>7</v>
      </c>
      <c r="E159" t="s">
        <v>8</v>
      </c>
      <c r="F159" t="s">
        <v>9</v>
      </c>
      <c r="G159" s="2">
        <f>VLOOKUP(F159,mappings!$G$2:$H$6,2,FALSE)</f>
        <v>4</v>
      </c>
      <c r="H159" t="s">
        <v>163</v>
      </c>
      <c r="I159" s="2">
        <f>VLOOKUP(H159,mappings!$D$2:$E$6,2,FALSE)</f>
        <v>3</v>
      </c>
      <c r="J159" t="s">
        <v>10</v>
      </c>
      <c r="K159" t="s">
        <v>48</v>
      </c>
      <c r="L159" s="2">
        <f>VLOOKUP(K159,mappings!$A$2:$B$13,2,FALSE)</f>
        <v>7</v>
      </c>
      <c r="M159" t="s">
        <v>12</v>
      </c>
      <c r="N159" t="str">
        <f>VLOOKUP(E159,mappings!$L$1:$M$110,2,FALSE)</f>
        <v>No answer provided</v>
      </c>
      <c r="O159" t="str">
        <f>VLOOKUP(E159,mappings!L:O,3,FALSE)</f>
        <v>No answer provided</v>
      </c>
      <c r="P159" t="str">
        <f>VLOOKUP(E159,mappings!L:P,4,FALSE)</f>
        <v>No answer provided</v>
      </c>
    </row>
    <row r="160" spans="1:16" x14ac:dyDescent="0.2">
      <c r="A160">
        <v>159</v>
      </c>
      <c r="B160">
        <v>3880099657</v>
      </c>
      <c r="C160" t="s">
        <v>6</v>
      </c>
      <c r="D160" t="s">
        <v>31</v>
      </c>
      <c r="E160" t="s">
        <v>8</v>
      </c>
      <c r="F160" t="s">
        <v>22</v>
      </c>
      <c r="G160" s="2">
        <f>VLOOKUP(F160,mappings!$G$2:$H$6,2,FALSE)</f>
        <v>1</v>
      </c>
      <c r="H160" t="s">
        <v>163</v>
      </c>
      <c r="I160" s="2">
        <f>VLOOKUP(H160,mappings!$D$2:$E$6,2,FALSE)</f>
        <v>3</v>
      </c>
      <c r="J160" t="s">
        <v>10</v>
      </c>
      <c r="K160" t="s">
        <v>13</v>
      </c>
      <c r="L160" s="2">
        <f>VLOOKUP(K160,mappings!$A$2:$B$13,2,FALSE)</f>
        <v>11</v>
      </c>
      <c r="M160" t="s">
        <v>34</v>
      </c>
      <c r="N160" t="str">
        <f>VLOOKUP(E160,mappings!$L$1:$M$110,2,FALSE)</f>
        <v>No answer provided</v>
      </c>
      <c r="O160" t="str">
        <f>VLOOKUP(E160,mappings!L:O,3,FALSE)</f>
        <v>No answer provided</v>
      </c>
      <c r="P160" t="str">
        <f>VLOOKUP(E160,mappings!L:P,4,FALSE)</f>
        <v>No answer provided</v>
      </c>
    </row>
    <row r="161" spans="1:16" x14ac:dyDescent="0.2">
      <c r="A161">
        <v>160</v>
      </c>
      <c r="B161">
        <v>3880086571</v>
      </c>
      <c r="C161" t="s">
        <v>6</v>
      </c>
      <c r="D161" t="s">
        <v>7</v>
      </c>
      <c r="E161" t="s">
        <v>8</v>
      </c>
      <c r="F161" t="s">
        <v>9</v>
      </c>
      <c r="G161" s="2">
        <f>VLOOKUP(F161,mappings!$G$2:$H$6,2,FALSE)</f>
        <v>4</v>
      </c>
      <c r="H161" t="s">
        <v>163</v>
      </c>
      <c r="I161" s="2">
        <f>VLOOKUP(H161,mappings!$D$2:$E$6,2,FALSE)</f>
        <v>3</v>
      </c>
      <c r="J161" t="s">
        <v>10</v>
      </c>
      <c r="K161" t="s">
        <v>18</v>
      </c>
      <c r="L161" s="2">
        <f>VLOOKUP(K161,mappings!$A$2:$B$13,2,FALSE)</f>
        <v>8</v>
      </c>
      <c r="M161" t="s">
        <v>24</v>
      </c>
      <c r="N161" t="str">
        <f>VLOOKUP(E161,mappings!$L$1:$M$110,2,FALSE)</f>
        <v>No answer provided</v>
      </c>
      <c r="O161" t="str">
        <f>VLOOKUP(E161,mappings!L:O,3,FALSE)</f>
        <v>No answer provided</v>
      </c>
      <c r="P161" t="str">
        <f>VLOOKUP(E161,mappings!L:P,4,FALSE)</f>
        <v>No answer provided</v>
      </c>
    </row>
    <row r="162" spans="1:16" x14ac:dyDescent="0.2">
      <c r="A162">
        <v>161</v>
      </c>
      <c r="B162">
        <v>3880033304</v>
      </c>
      <c r="C162" t="s">
        <v>6</v>
      </c>
      <c r="D162" t="s">
        <v>31</v>
      </c>
      <c r="E162" t="s">
        <v>8</v>
      </c>
      <c r="F162" t="s">
        <v>9</v>
      </c>
      <c r="G162" s="2">
        <f>VLOOKUP(F162,mappings!$G$2:$H$6,2,FALSE)</f>
        <v>4</v>
      </c>
      <c r="H162" t="s">
        <v>162</v>
      </c>
      <c r="I162" s="2">
        <f>VLOOKUP(H162,mappings!$D$2:$E$6,2,FALSE)</f>
        <v>1</v>
      </c>
      <c r="J162" t="s">
        <v>10</v>
      </c>
      <c r="K162" t="s">
        <v>29</v>
      </c>
      <c r="L162" s="2">
        <f>VLOOKUP(K162,mappings!$A$2:$B$13,2,FALSE)</f>
        <v>1</v>
      </c>
      <c r="M162" t="s">
        <v>15</v>
      </c>
      <c r="N162" t="str">
        <f>VLOOKUP(E162,mappings!$L$1:$M$110,2,FALSE)</f>
        <v>No answer provided</v>
      </c>
      <c r="O162" t="str">
        <f>VLOOKUP(E162,mappings!L:O,3,FALSE)</f>
        <v>No answer provided</v>
      </c>
      <c r="P162" t="str">
        <f>VLOOKUP(E162,mappings!L:P,4,FALSE)</f>
        <v>No answer provided</v>
      </c>
    </row>
    <row r="163" spans="1:16" x14ac:dyDescent="0.2">
      <c r="A163">
        <v>162</v>
      </c>
      <c r="B163">
        <v>3879970050</v>
      </c>
      <c r="C163" t="s">
        <v>6</v>
      </c>
      <c r="D163" t="s">
        <v>7</v>
      </c>
      <c r="E163" t="s">
        <v>8</v>
      </c>
      <c r="F163" t="s">
        <v>9</v>
      </c>
      <c r="G163" s="2">
        <f>VLOOKUP(F163,mappings!$G$2:$H$6,2,FALSE)</f>
        <v>4</v>
      </c>
      <c r="H163" t="s">
        <v>162</v>
      </c>
      <c r="I163" s="2">
        <f>VLOOKUP(H163,mappings!$D$2:$E$6,2,FALSE)</f>
        <v>1</v>
      </c>
      <c r="J163" t="s">
        <v>36</v>
      </c>
      <c r="K163" t="s">
        <v>13</v>
      </c>
      <c r="L163" s="2">
        <f>VLOOKUP(K163,mappings!$A$2:$B$13,2,FALSE)</f>
        <v>11</v>
      </c>
      <c r="M163" t="s">
        <v>12</v>
      </c>
      <c r="N163" t="str">
        <f>VLOOKUP(E163,mappings!$L$1:$M$110,2,FALSE)</f>
        <v>No answer provided</v>
      </c>
      <c r="O163" t="str">
        <f>VLOOKUP(E163,mappings!L:O,3,FALSE)</f>
        <v>No answer provided</v>
      </c>
      <c r="P163" t="str">
        <f>VLOOKUP(E163,mappings!L:P,4,FALSE)</f>
        <v>No answer provided</v>
      </c>
    </row>
    <row r="164" spans="1:16" x14ac:dyDescent="0.2">
      <c r="A164">
        <v>163</v>
      </c>
      <c r="B164">
        <v>3879946254</v>
      </c>
      <c r="C164" t="s">
        <v>6</v>
      </c>
      <c r="D164" t="s">
        <v>21</v>
      </c>
      <c r="E164" t="s">
        <v>8</v>
      </c>
      <c r="F164" t="s">
        <v>9</v>
      </c>
      <c r="G164" s="2">
        <f>VLOOKUP(F164,mappings!$G$2:$H$6,2,FALSE)</f>
        <v>4</v>
      </c>
      <c r="H164" t="s">
        <v>163</v>
      </c>
      <c r="I164" s="2">
        <f>VLOOKUP(H164,mappings!$D$2:$E$6,2,FALSE)</f>
        <v>3</v>
      </c>
      <c r="J164" t="s">
        <v>10</v>
      </c>
      <c r="K164" t="s">
        <v>11</v>
      </c>
      <c r="L164" s="2">
        <f>VLOOKUP(K164,mappings!$A$2:$B$13,2,FALSE)</f>
        <v>4</v>
      </c>
      <c r="M164" t="s">
        <v>30</v>
      </c>
      <c r="N164" t="str">
        <f>VLOOKUP(E164,mappings!$L$1:$M$110,2,FALSE)</f>
        <v>No answer provided</v>
      </c>
      <c r="O164" t="str">
        <f>VLOOKUP(E164,mappings!L:O,3,FALSE)</f>
        <v>No answer provided</v>
      </c>
      <c r="P164" t="str">
        <f>VLOOKUP(E164,mappings!L:P,4,FALSE)</f>
        <v>No answer provided</v>
      </c>
    </row>
    <row r="165" spans="1:16" x14ac:dyDescent="0.2">
      <c r="A165">
        <v>164</v>
      </c>
      <c r="B165">
        <v>3879934990</v>
      </c>
      <c r="C165" t="s">
        <v>26</v>
      </c>
      <c r="D165" t="s">
        <v>31</v>
      </c>
      <c r="E165" t="s">
        <v>8</v>
      </c>
      <c r="F165" t="s">
        <v>22</v>
      </c>
      <c r="G165" s="2">
        <f>VLOOKUP(F165,mappings!$G$2:$H$6,2,FALSE)</f>
        <v>1</v>
      </c>
      <c r="H165" t="s">
        <v>163</v>
      </c>
      <c r="I165" s="2">
        <f>VLOOKUP(H165,mappings!$D$2:$E$6,2,FALSE)</f>
        <v>3</v>
      </c>
      <c r="J165" t="s">
        <v>10</v>
      </c>
      <c r="K165" t="s">
        <v>14</v>
      </c>
      <c r="L165" s="2">
        <f>VLOOKUP(K165,mappings!$A$2:$B$13,2,FALSE)</f>
        <v>6</v>
      </c>
      <c r="M165" t="s">
        <v>30</v>
      </c>
      <c r="N165" t="str">
        <f>VLOOKUP(E165,mappings!$L$1:$M$110,2,FALSE)</f>
        <v>No answer provided</v>
      </c>
      <c r="O165" t="str">
        <f>VLOOKUP(E165,mappings!L:O,3,FALSE)</f>
        <v>No answer provided</v>
      </c>
      <c r="P165" t="str">
        <f>VLOOKUP(E165,mappings!L:P,4,FALSE)</f>
        <v>No answer provided</v>
      </c>
    </row>
    <row r="166" spans="1:16" x14ac:dyDescent="0.2">
      <c r="A166">
        <v>165</v>
      </c>
      <c r="B166">
        <v>3879902865</v>
      </c>
      <c r="C166" t="s">
        <v>6</v>
      </c>
      <c r="D166" t="s">
        <v>41</v>
      </c>
      <c r="E166" t="s">
        <v>8</v>
      </c>
      <c r="F166" t="s">
        <v>22</v>
      </c>
      <c r="G166" s="2">
        <f>VLOOKUP(F166,mappings!$G$2:$H$6,2,FALSE)</f>
        <v>1</v>
      </c>
      <c r="H166" t="s">
        <v>163</v>
      </c>
      <c r="I166" s="2">
        <f>VLOOKUP(H166,mappings!$D$2:$E$6,2,FALSE)</f>
        <v>3</v>
      </c>
      <c r="J166" t="s">
        <v>10</v>
      </c>
      <c r="K166" t="s">
        <v>33</v>
      </c>
      <c r="L166" s="2">
        <f>VLOOKUP(K166,mappings!$A$2:$B$13,2,FALSE)</f>
        <v>5</v>
      </c>
      <c r="M166" t="s">
        <v>15</v>
      </c>
      <c r="N166" t="str">
        <f>VLOOKUP(E166,mappings!$L$1:$M$110,2,FALSE)</f>
        <v>No answer provided</v>
      </c>
      <c r="O166" t="str">
        <f>VLOOKUP(E166,mappings!L:O,3,FALSE)</f>
        <v>No answer provided</v>
      </c>
      <c r="P166" t="str">
        <f>VLOOKUP(E166,mappings!L:P,4,FALSE)</f>
        <v>No answer provided</v>
      </c>
    </row>
    <row r="167" spans="1:16" x14ac:dyDescent="0.2">
      <c r="A167">
        <v>166</v>
      </c>
      <c r="B167">
        <v>3879887212</v>
      </c>
      <c r="C167" t="s">
        <v>6</v>
      </c>
      <c r="D167" t="s">
        <v>7</v>
      </c>
      <c r="E167" t="s">
        <v>8</v>
      </c>
      <c r="F167" t="s">
        <v>9</v>
      </c>
      <c r="G167" s="2">
        <f>VLOOKUP(F167,mappings!$G$2:$H$6,2,FALSE)</f>
        <v>4</v>
      </c>
      <c r="H167" t="s">
        <v>163</v>
      </c>
      <c r="I167" s="2">
        <f>VLOOKUP(H167,mappings!$D$2:$E$6,2,FALSE)</f>
        <v>3</v>
      </c>
      <c r="J167" t="s">
        <v>10</v>
      </c>
      <c r="K167" t="s">
        <v>47</v>
      </c>
      <c r="L167" s="2">
        <f>VLOOKUP(K167,mappings!$A$2:$B$13,2,FALSE)</f>
        <v>9</v>
      </c>
      <c r="M167" t="s">
        <v>24</v>
      </c>
      <c r="N167" t="str">
        <f>VLOOKUP(E167,mappings!$L$1:$M$110,2,FALSE)</f>
        <v>No answer provided</v>
      </c>
      <c r="O167" t="str">
        <f>VLOOKUP(E167,mappings!L:O,3,FALSE)</f>
        <v>No answer provided</v>
      </c>
      <c r="P167" t="str">
        <f>VLOOKUP(E167,mappings!L:P,4,FALSE)</f>
        <v>No answer provided</v>
      </c>
    </row>
    <row r="168" spans="1:16" x14ac:dyDescent="0.2">
      <c r="A168">
        <v>167</v>
      </c>
      <c r="B168">
        <v>3879876964</v>
      </c>
      <c r="C168" t="s">
        <v>26</v>
      </c>
      <c r="D168" t="s">
        <v>41</v>
      </c>
      <c r="E168" t="s">
        <v>8</v>
      </c>
      <c r="F168" t="s">
        <v>16</v>
      </c>
      <c r="G168" s="2">
        <f>VLOOKUP(F168,mappings!$G$2:$H$6,2,FALSE)</f>
        <v>3</v>
      </c>
      <c r="H168" t="s">
        <v>162</v>
      </c>
      <c r="I168" s="2">
        <f>VLOOKUP(H168,mappings!$D$2:$E$6,2,FALSE)</f>
        <v>1</v>
      </c>
      <c r="J168" t="s">
        <v>10</v>
      </c>
      <c r="K168" t="s">
        <v>29</v>
      </c>
      <c r="L168" s="2">
        <f>VLOOKUP(K168,mappings!$A$2:$B$13,2,FALSE)</f>
        <v>1</v>
      </c>
      <c r="M168" t="s">
        <v>12</v>
      </c>
      <c r="N168" t="str">
        <f>VLOOKUP(E168,mappings!$L$1:$M$110,2,FALSE)</f>
        <v>No answer provided</v>
      </c>
      <c r="O168" t="str">
        <f>VLOOKUP(E168,mappings!L:O,3,FALSE)</f>
        <v>No answer provided</v>
      </c>
      <c r="P168" t="str">
        <f>VLOOKUP(E168,mappings!L:P,4,FALSE)</f>
        <v>No answer provided</v>
      </c>
    </row>
    <row r="169" spans="1:16" x14ac:dyDescent="0.2">
      <c r="A169">
        <v>168</v>
      </c>
      <c r="B169">
        <v>3879874372</v>
      </c>
      <c r="C169" t="s">
        <v>6</v>
      </c>
      <c r="D169" t="s">
        <v>31</v>
      </c>
      <c r="E169" t="s">
        <v>8</v>
      </c>
      <c r="F169" t="s">
        <v>9</v>
      </c>
      <c r="G169" s="2">
        <f>VLOOKUP(F169,mappings!$G$2:$H$6,2,FALSE)</f>
        <v>4</v>
      </c>
      <c r="H169" t="s">
        <v>163</v>
      </c>
      <c r="I169" s="2">
        <f>VLOOKUP(H169,mappings!$D$2:$E$6,2,FALSE)</f>
        <v>3</v>
      </c>
      <c r="J169" t="s">
        <v>10</v>
      </c>
      <c r="K169" t="s">
        <v>39</v>
      </c>
      <c r="L169" s="2">
        <f>VLOOKUP(K169,mappings!$A$2:$B$13,2,FALSE)</f>
        <v>10</v>
      </c>
      <c r="M169" t="s">
        <v>20</v>
      </c>
      <c r="N169" t="str">
        <f>VLOOKUP(E169,mappings!$L$1:$M$110,2,FALSE)</f>
        <v>No answer provided</v>
      </c>
      <c r="O169" t="str">
        <f>VLOOKUP(E169,mappings!L:O,3,FALSE)</f>
        <v>No answer provided</v>
      </c>
      <c r="P169" t="str">
        <f>VLOOKUP(E169,mappings!L:P,4,FALSE)</f>
        <v>No answer provided</v>
      </c>
    </row>
    <row r="170" spans="1:16" x14ac:dyDescent="0.2">
      <c r="A170">
        <v>169</v>
      </c>
      <c r="B170">
        <v>3879823141</v>
      </c>
      <c r="C170" t="s">
        <v>6</v>
      </c>
      <c r="D170" t="s">
        <v>21</v>
      </c>
      <c r="E170" t="s">
        <v>8</v>
      </c>
      <c r="F170" t="s">
        <v>22</v>
      </c>
      <c r="G170" s="2">
        <f>VLOOKUP(F170,mappings!$G$2:$H$6,2,FALSE)</f>
        <v>1</v>
      </c>
      <c r="H170" t="s">
        <v>163</v>
      </c>
      <c r="I170" s="2">
        <f>VLOOKUP(H170,mappings!$D$2:$E$6,2,FALSE)</f>
        <v>3</v>
      </c>
      <c r="J170" t="s">
        <v>10</v>
      </c>
      <c r="K170" t="s">
        <v>39</v>
      </c>
      <c r="L170" s="2">
        <f>VLOOKUP(K170,mappings!$A$2:$B$13,2,FALSE)</f>
        <v>10</v>
      </c>
      <c r="M170" t="s">
        <v>24</v>
      </c>
      <c r="N170" t="str">
        <f>VLOOKUP(E170,mappings!$L$1:$M$110,2,FALSE)</f>
        <v>No answer provided</v>
      </c>
      <c r="O170" t="str">
        <f>VLOOKUP(E170,mappings!L:O,3,FALSE)</f>
        <v>No answer provided</v>
      </c>
      <c r="P170" t="str">
        <f>VLOOKUP(E170,mappings!L:P,4,FALSE)</f>
        <v>No answer provided</v>
      </c>
    </row>
    <row r="171" spans="1:16" x14ac:dyDescent="0.2">
      <c r="A171">
        <v>170</v>
      </c>
      <c r="B171">
        <v>3879815451</v>
      </c>
      <c r="C171" t="s">
        <v>26</v>
      </c>
      <c r="D171" t="s">
        <v>40</v>
      </c>
      <c r="E171" t="s">
        <v>8</v>
      </c>
      <c r="F171" t="s">
        <v>16</v>
      </c>
      <c r="G171" s="2">
        <f>VLOOKUP(F171,mappings!$G$2:$H$6,2,FALSE)</f>
        <v>3</v>
      </c>
      <c r="H171" t="s">
        <v>163</v>
      </c>
      <c r="I171" s="2">
        <f>VLOOKUP(H171,mappings!$D$2:$E$6,2,FALSE)</f>
        <v>3</v>
      </c>
      <c r="J171" t="s">
        <v>10</v>
      </c>
      <c r="K171" t="s">
        <v>33</v>
      </c>
      <c r="L171" s="2">
        <f>VLOOKUP(K171,mappings!$A$2:$B$13,2,FALSE)</f>
        <v>5</v>
      </c>
      <c r="M171" t="s">
        <v>15</v>
      </c>
      <c r="N171" t="str">
        <f>VLOOKUP(E171,mappings!$L$1:$M$110,2,FALSE)</f>
        <v>No answer provided</v>
      </c>
      <c r="O171" t="str">
        <f>VLOOKUP(E171,mappings!L:O,3,FALSE)</f>
        <v>No answer provided</v>
      </c>
      <c r="P171" t="str">
        <f>VLOOKUP(E171,mappings!L:P,4,FALSE)</f>
        <v>No answer provided</v>
      </c>
    </row>
    <row r="172" spans="1:16" x14ac:dyDescent="0.2">
      <c r="A172">
        <v>171</v>
      </c>
      <c r="B172">
        <v>3879622928</v>
      </c>
      <c r="C172" t="s">
        <v>6</v>
      </c>
      <c r="D172" t="s">
        <v>21</v>
      </c>
      <c r="E172" t="s">
        <v>8</v>
      </c>
      <c r="F172" t="s">
        <v>22</v>
      </c>
      <c r="G172" s="2">
        <f>VLOOKUP(F172,mappings!$G$2:$H$6,2,FALSE)</f>
        <v>1</v>
      </c>
      <c r="H172" t="s">
        <v>162</v>
      </c>
      <c r="I172" s="2">
        <f>VLOOKUP(H172,mappings!$D$2:$E$6,2,FALSE)</f>
        <v>1</v>
      </c>
      <c r="J172" t="s">
        <v>10</v>
      </c>
      <c r="K172" t="s">
        <v>14</v>
      </c>
      <c r="L172" s="2">
        <f>VLOOKUP(K172,mappings!$A$2:$B$13,2,FALSE)</f>
        <v>6</v>
      </c>
      <c r="M172" t="s">
        <v>25</v>
      </c>
      <c r="N172" t="str">
        <f>VLOOKUP(E172,mappings!$L$1:$M$110,2,FALSE)</f>
        <v>No answer provided</v>
      </c>
      <c r="O172" t="str">
        <f>VLOOKUP(E172,mappings!L:O,3,FALSE)</f>
        <v>No answer provided</v>
      </c>
      <c r="P172" t="str">
        <f>VLOOKUP(E172,mappings!L:P,4,FALSE)</f>
        <v>No answer provided</v>
      </c>
    </row>
    <row r="173" spans="1:16" x14ac:dyDescent="0.2">
      <c r="A173">
        <v>172</v>
      </c>
      <c r="B173">
        <v>3879622165</v>
      </c>
      <c r="C173" t="s">
        <v>6</v>
      </c>
      <c r="D173" t="s">
        <v>21</v>
      </c>
      <c r="E173" t="s">
        <v>8</v>
      </c>
      <c r="F173" t="s">
        <v>16</v>
      </c>
      <c r="G173" s="2">
        <f>VLOOKUP(F173,mappings!$G$2:$H$6,2,FALSE)</f>
        <v>3</v>
      </c>
      <c r="H173" t="s">
        <v>163</v>
      </c>
      <c r="I173" s="2">
        <f>VLOOKUP(H173,mappings!$D$2:$E$6,2,FALSE)</f>
        <v>3</v>
      </c>
      <c r="J173" t="s">
        <v>10</v>
      </c>
      <c r="K173" t="s">
        <v>32</v>
      </c>
      <c r="L173" s="2">
        <f>VLOOKUP(K173,mappings!$A$2:$B$13,2,FALSE)</f>
        <v>2</v>
      </c>
      <c r="M173" t="s">
        <v>15</v>
      </c>
      <c r="N173" t="str">
        <f>VLOOKUP(E173,mappings!$L$1:$M$110,2,FALSE)</f>
        <v>No answer provided</v>
      </c>
      <c r="O173" t="str">
        <f>VLOOKUP(E173,mappings!L:O,3,FALSE)</f>
        <v>No answer provided</v>
      </c>
      <c r="P173" t="str">
        <f>VLOOKUP(E173,mappings!L:P,4,FALSE)</f>
        <v>No answer provided</v>
      </c>
    </row>
    <row r="174" spans="1:16" x14ac:dyDescent="0.2">
      <c r="A174">
        <v>173</v>
      </c>
      <c r="B174">
        <v>3879618163</v>
      </c>
      <c r="C174" t="s">
        <v>6</v>
      </c>
      <c r="D174" t="s">
        <v>1</v>
      </c>
      <c r="E174" t="s">
        <v>45</v>
      </c>
      <c r="F174" t="s">
        <v>9</v>
      </c>
      <c r="G174" s="2">
        <f>VLOOKUP(F174,mappings!$G$2:$H$6,2,FALSE)</f>
        <v>4</v>
      </c>
      <c r="H174" t="s">
        <v>163</v>
      </c>
      <c r="I174" s="2">
        <f>VLOOKUP(H174,mappings!$D$2:$E$6,2,FALSE)</f>
        <v>3</v>
      </c>
      <c r="J174" t="s">
        <v>10</v>
      </c>
      <c r="K174" t="s">
        <v>23</v>
      </c>
      <c r="L174" s="2">
        <f>VLOOKUP(K174,mappings!$A$2:$B$13,2,FALSE)</f>
        <v>3</v>
      </c>
      <c r="M174" t="s">
        <v>30</v>
      </c>
      <c r="N174" t="str">
        <f>VLOOKUP(E174,mappings!$L$1:$M$110,2,FALSE)</f>
        <v>The Weather Channel</v>
      </c>
      <c r="O174" t="str">
        <f>VLOOKUP(E174,mappings!L:O,3,FALSE)</f>
        <v>App</v>
      </c>
      <c r="P174" t="str">
        <f>VLOOKUP(E174,mappings!L:P,4,FALSE)</f>
        <v>Other or unkown</v>
      </c>
    </row>
    <row r="175" spans="1:16" x14ac:dyDescent="0.2">
      <c r="A175">
        <v>174</v>
      </c>
      <c r="B175">
        <v>3879505742</v>
      </c>
      <c r="C175" t="s">
        <v>26</v>
      </c>
      <c r="D175" t="s">
        <v>7</v>
      </c>
      <c r="E175" t="s">
        <v>8</v>
      </c>
      <c r="F175" t="s">
        <v>16</v>
      </c>
      <c r="G175" s="2">
        <f>VLOOKUP(F175,mappings!$G$2:$H$6,2,FALSE)</f>
        <v>3</v>
      </c>
      <c r="H175" t="s">
        <v>163</v>
      </c>
      <c r="I175" s="2">
        <f>VLOOKUP(H175,mappings!$D$2:$E$6,2,FALSE)</f>
        <v>3</v>
      </c>
      <c r="J175" t="s">
        <v>10</v>
      </c>
      <c r="K175" t="s">
        <v>14</v>
      </c>
      <c r="L175" s="2">
        <f>VLOOKUP(K175,mappings!$A$2:$B$13,2,FALSE)</f>
        <v>6</v>
      </c>
      <c r="M175" t="s">
        <v>12</v>
      </c>
      <c r="N175" t="str">
        <f>VLOOKUP(E175,mappings!$L$1:$M$110,2,FALSE)</f>
        <v>No answer provided</v>
      </c>
      <c r="O175" t="str">
        <f>VLOOKUP(E175,mappings!L:O,3,FALSE)</f>
        <v>No answer provided</v>
      </c>
      <c r="P175" t="str">
        <f>VLOOKUP(E175,mappings!L:P,4,FALSE)</f>
        <v>No answer provided</v>
      </c>
    </row>
    <row r="176" spans="1:16" x14ac:dyDescent="0.2">
      <c r="A176">
        <v>175</v>
      </c>
      <c r="B176">
        <v>3879492127</v>
      </c>
      <c r="C176" t="s">
        <v>6</v>
      </c>
      <c r="D176" t="s">
        <v>27</v>
      </c>
      <c r="E176" t="s">
        <v>8</v>
      </c>
      <c r="F176" t="s">
        <v>16</v>
      </c>
      <c r="G176" s="2">
        <f>VLOOKUP(F176,mappings!$G$2:$H$6,2,FALSE)</f>
        <v>3</v>
      </c>
      <c r="H176" t="s">
        <v>162</v>
      </c>
      <c r="I176" s="2">
        <f>VLOOKUP(H176,mappings!$D$2:$E$6,2,FALSE)</f>
        <v>1</v>
      </c>
      <c r="J176" t="s">
        <v>10</v>
      </c>
      <c r="K176" t="s">
        <v>11</v>
      </c>
      <c r="L176" s="2">
        <f>VLOOKUP(K176,mappings!$A$2:$B$13,2,FALSE)</f>
        <v>4</v>
      </c>
      <c r="M176" t="s">
        <v>42</v>
      </c>
      <c r="N176" t="str">
        <f>VLOOKUP(E176,mappings!$L$1:$M$110,2,FALSE)</f>
        <v>No answer provided</v>
      </c>
      <c r="O176" t="str">
        <f>VLOOKUP(E176,mappings!L:O,3,FALSE)</f>
        <v>No answer provided</v>
      </c>
      <c r="P176" t="str">
        <f>VLOOKUP(E176,mappings!L:P,4,FALSE)</f>
        <v>No answer provided</v>
      </c>
    </row>
    <row r="177" spans="1:16" x14ac:dyDescent="0.2">
      <c r="A177">
        <v>176</v>
      </c>
      <c r="B177">
        <v>3879466790</v>
      </c>
      <c r="C177" t="s">
        <v>26</v>
      </c>
      <c r="D177" t="s">
        <v>51</v>
      </c>
      <c r="E177" t="s">
        <v>8</v>
      </c>
      <c r="F177" t="s">
        <v>9</v>
      </c>
      <c r="G177" s="2">
        <f>VLOOKUP(F177,mappings!$G$2:$H$6,2,FALSE)</f>
        <v>4</v>
      </c>
      <c r="H177" t="s">
        <v>162</v>
      </c>
      <c r="I177" s="2">
        <f>VLOOKUP(H177,mappings!$D$2:$E$6,2,FALSE)</f>
        <v>1</v>
      </c>
      <c r="J177" t="s">
        <v>10</v>
      </c>
      <c r="K177" t="s">
        <v>13</v>
      </c>
      <c r="L177" s="2">
        <f>VLOOKUP(K177,mappings!$A$2:$B$13,2,FALSE)</f>
        <v>11</v>
      </c>
      <c r="M177" t="s">
        <v>8</v>
      </c>
      <c r="N177" t="str">
        <f>VLOOKUP(E177,mappings!$L$1:$M$110,2,FALSE)</f>
        <v>No answer provided</v>
      </c>
      <c r="O177" t="str">
        <f>VLOOKUP(E177,mappings!L:O,3,FALSE)</f>
        <v>No answer provided</v>
      </c>
      <c r="P177" t="str">
        <f>VLOOKUP(E177,mappings!L:P,4,FALSE)</f>
        <v>No answer provided</v>
      </c>
    </row>
    <row r="178" spans="1:16" x14ac:dyDescent="0.2">
      <c r="A178">
        <v>177</v>
      </c>
      <c r="B178">
        <v>3879405493</v>
      </c>
      <c r="C178" t="s">
        <v>26</v>
      </c>
      <c r="D178" t="s">
        <v>7</v>
      </c>
      <c r="E178" t="s">
        <v>8</v>
      </c>
      <c r="F178" t="s">
        <v>16</v>
      </c>
      <c r="G178" s="2">
        <f>VLOOKUP(F178,mappings!$G$2:$H$6,2,FALSE)</f>
        <v>3</v>
      </c>
      <c r="H178" t="s">
        <v>163</v>
      </c>
      <c r="I178" s="2">
        <f>VLOOKUP(H178,mappings!$D$2:$E$6,2,FALSE)</f>
        <v>3</v>
      </c>
      <c r="J178" t="s">
        <v>10</v>
      </c>
      <c r="K178" t="s">
        <v>48</v>
      </c>
      <c r="L178" s="2">
        <f>VLOOKUP(K178,mappings!$A$2:$B$13,2,FALSE)</f>
        <v>7</v>
      </c>
      <c r="M178" t="s">
        <v>24</v>
      </c>
      <c r="N178" t="str">
        <f>VLOOKUP(E178,mappings!$L$1:$M$110,2,FALSE)</f>
        <v>No answer provided</v>
      </c>
      <c r="O178" t="str">
        <f>VLOOKUP(E178,mappings!L:O,3,FALSE)</f>
        <v>No answer provided</v>
      </c>
      <c r="P178" t="str">
        <f>VLOOKUP(E178,mappings!L:P,4,FALSE)</f>
        <v>No answer provided</v>
      </c>
    </row>
    <row r="179" spans="1:16" x14ac:dyDescent="0.2">
      <c r="A179">
        <v>178</v>
      </c>
      <c r="B179">
        <v>3879399705</v>
      </c>
      <c r="C179" t="s">
        <v>26</v>
      </c>
      <c r="D179" t="s">
        <v>21</v>
      </c>
      <c r="E179" t="s">
        <v>8</v>
      </c>
      <c r="F179" t="s">
        <v>16</v>
      </c>
      <c r="G179" s="2">
        <f>VLOOKUP(F179,mappings!$G$2:$H$6,2,FALSE)</f>
        <v>3</v>
      </c>
      <c r="H179" t="s">
        <v>161</v>
      </c>
      <c r="I179" s="2">
        <f>VLOOKUP(H179,mappings!$D$2:$E$6,2,FALSE)</f>
        <v>2</v>
      </c>
      <c r="J179" t="s">
        <v>10</v>
      </c>
      <c r="K179" t="s">
        <v>11</v>
      </c>
      <c r="L179" s="2">
        <f>VLOOKUP(K179,mappings!$A$2:$B$13,2,FALSE)</f>
        <v>4</v>
      </c>
      <c r="M179" t="s">
        <v>34</v>
      </c>
      <c r="N179" t="str">
        <f>VLOOKUP(E179,mappings!$L$1:$M$110,2,FALSE)</f>
        <v>No answer provided</v>
      </c>
      <c r="O179" t="str">
        <f>VLOOKUP(E179,mappings!L:O,3,FALSE)</f>
        <v>No answer provided</v>
      </c>
      <c r="P179" t="str">
        <f>VLOOKUP(E179,mappings!L:P,4,FALSE)</f>
        <v>No answer provided</v>
      </c>
    </row>
    <row r="180" spans="1:16" x14ac:dyDescent="0.2">
      <c r="A180">
        <v>179</v>
      </c>
      <c r="B180">
        <v>3879387300</v>
      </c>
      <c r="C180" t="s">
        <v>6</v>
      </c>
      <c r="D180" t="s">
        <v>7</v>
      </c>
      <c r="E180" t="s">
        <v>8</v>
      </c>
      <c r="F180" t="s">
        <v>22</v>
      </c>
      <c r="G180" s="2">
        <f>VLOOKUP(F180,mappings!$G$2:$H$6,2,FALSE)</f>
        <v>1</v>
      </c>
      <c r="H180" t="s">
        <v>163</v>
      </c>
      <c r="I180" s="2">
        <f>VLOOKUP(H180,mappings!$D$2:$E$6,2,FALSE)</f>
        <v>3</v>
      </c>
      <c r="J180" t="s">
        <v>10</v>
      </c>
      <c r="K180" t="s">
        <v>39</v>
      </c>
      <c r="L180" s="2">
        <f>VLOOKUP(K180,mappings!$A$2:$B$13,2,FALSE)</f>
        <v>10</v>
      </c>
      <c r="M180" t="s">
        <v>38</v>
      </c>
      <c r="N180" t="str">
        <f>VLOOKUP(E180,mappings!$L$1:$M$110,2,FALSE)</f>
        <v>No answer provided</v>
      </c>
      <c r="O180" t="str">
        <f>VLOOKUP(E180,mappings!L:O,3,FALSE)</f>
        <v>No answer provided</v>
      </c>
      <c r="P180" t="str">
        <f>VLOOKUP(E180,mappings!L:P,4,FALSE)</f>
        <v>No answer provided</v>
      </c>
    </row>
    <row r="181" spans="1:16" x14ac:dyDescent="0.2">
      <c r="A181">
        <v>180</v>
      </c>
      <c r="B181">
        <v>3879361333</v>
      </c>
      <c r="C181" t="s">
        <v>6</v>
      </c>
      <c r="D181" t="s">
        <v>1</v>
      </c>
      <c r="E181" t="s">
        <v>71</v>
      </c>
      <c r="F181" t="s">
        <v>9</v>
      </c>
      <c r="G181" s="2">
        <f>VLOOKUP(F181,mappings!$G$2:$H$6,2,FALSE)</f>
        <v>4</v>
      </c>
      <c r="H181" t="s">
        <v>163</v>
      </c>
      <c r="I181" s="2">
        <f>VLOOKUP(H181,mappings!$D$2:$E$6,2,FALSE)</f>
        <v>3</v>
      </c>
      <c r="J181" t="s">
        <v>10</v>
      </c>
      <c r="K181" t="s">
        <v>23</v>
      </c>
      <c r="L181" s="2">
        <f>VLOOKUP(K181,mappings!$A$2:$B$13,2,FALSE)</f>
        <v>3</v>
      </c>
      <c r="M181" t="s">
        <v>20</v>
      </c>
      <c r="N181" t="str">
        <f>VLOOKUP(E181,mappings!$L$1:$M$110,2,FALSE)</f>
        <v>Weather Underground</v>
      </c>
      <c r="O181" t="str">
        <f>VLOOKUP(E181,mappings!L:O,3,FALSE)</f>
        <v>Website</v>
      </c>
      <c r="P181" t="str">
        <f>VLOOKUP(E181,mappings!L:P,4,FALSE)</f>
        <v>Other or unkown</v>
      </c>
    </row>
    <row r="182" spans="1:16" x14ac:dyDescent="0.2">
      <c r="A182">
        <v>181</v>
      </c>
      <c r="B182">
        <v>3879332676</v>
      </c>
      <c r="C182" t="s">
        <v>6</v>
      </c>
      <c r="D182" t="s">
        <v>1</v>
      </c>
      <c r="E182" t="s">
        <v>21</v>
      </c>
      <c r="F182" t="s">
        <v>9</v>
      </c>
      <c r="G182" s="2">
        <f>VLOOKUP(F182,mappings!$G$2:$H$6,2,FALSE)</f>
        <v>4</v>
      </c>
      <c r="H182" t="s">
        <v>163</v>
      </c>
      <c r="I182" s="2">
        <f>VLOOKUP(H182,mappings!$D$2:$E$6,2,FALSE)</f>
        <v>3</v>
      </c>
      <c r="J182" t="s">
        <v>10</v>
      </c>
      <c r="K182" t="s">
        <v>33</v>
      </c>
      <c r="L182" s="2">
        <f>VLOOKUP(K182,mappings!$A$2:$B$13,2,FALSE)</f>
        <v>5</v>
      </c>
      <c r="M182" t="s">
        <v>30</v>
      </c>
      <c r="N182" t="str">
        <f>VLOOKUP(E182,mappings!$L$1:$M$110,2,FALSE)</f>
        <v>The Weather Channel</v>
      </c>
      <c r="O182" t="str">
        <f>VLOOKUP(E182,mappings!L:O,3,FALSE)</f>
        <v>Website</v>
      </c>
      <c r="P182" t="str">
        <f>VLOOKUP(E182,mappings!L:P,4,FALSE)</f>
        <v>Other or unkown</v>
      </c>
    </row>
    <row r="183" spans="1:16" x14ac:dyDescent="0.2">
      <c r="A183">
        <v>182</v>
      </c>
      <c r="B183">
        <v>3879327814</v>
      </c>
      <c r="C183" t="s">
        <v>6</v>
      </c>
      <c r="D183" t="s">
        <v>1</v>
      </c>
      <c r="E183" t="s">
        <v>72</v>
      </c>
      <c r="F183" t="s">
        <v>16</v>
      </c>
      <c r="G183" s="2">
        <f>VLOOKUP(F183,mappings!$G$2:$H$6,2,FALSE)</f>
        <v>3</v>
      </c>
      <c r="H183" t="s">
        <v>163</v>
      </c>
      <c r="I183" s="2">
        <f>VLOOKUP(H183,mappings!$D$2:$E$6,2,FALSE)</f>
        <v>3</v>
      </c>
      <c r="J183" t="s">
        <v>10</v>
      </c>
      <c r="K183" t="s">
        <v>13</v>
      </c>
      <c r="L183" s="2">
        <f>VLOOKUP(K183,mappings!$A$2:$B$13,2,FALSE)</f>
        <v>11</v>
      </c>
      <c r="M183" t="s">
        <v>38</v>
      </c>
      <c r="N183" t="str">
        <f>VLOOKUP(E183,mappings!$L$1:$M$110,2,FALSE)</f>
        <v>NOAA</v>
      </c>
      <c r="O183" t="str">
        <f>VLOOKUP(E183,mappings!L:O,3,FALSE)</f>
        <v>Website</v>
      </c>
      <c r="P183" t="str">
        <f>VLOOKUP(E183,mappings!L:P,4,FALSE)</f>
        <v>Other or unkown</v>
      </c>
    </row>
    <row r="184" spans="1:16" x14ac:dyDescent="0.2">
      <c r="A184">
        <v>183</v>
      </c>
      <c r="B184">
        <v>3879326602</v>
      </c>
      <c r="C184" t="s">
        <v>6</v>
      </c>
      <c r="D184" t="s">
        <v>7</v>
      </c>
      <c r="E184" t="s">
        <v>8</v>
      </c>
      <c r="F184" t="s">
        <v>9</v>
      </c>
      <c r="G184" s="2">
        <f>VLOOKUP(F184,mappings!$G$2:$H$6,2,FALSE)</f>
        <v>4</v>
      </c>
      <c r="H184" t="s">
        <v>163</v>
      </c>
      <c r="I184" s="2">
        <f>VLOOKUP(H184,mappings!$D$2:$E$6,2,FALSE)</f>
        <v>3</v>
      </c>
      <c r="J184" t="s">
        <v>10</v>
      </c>
      <c r="K184" t="s">
        <v>14</v>
      </c>
      <c r="L184" s="2">
        <f>VLOOKUP(K184,mappings!$A$2:$B$13,2,FALSE)</f>
        <v>6</v>
      </c>
      <c r="M184" t="s">
        <v>30</v>
      </c>
      <c r="N184" t="str">
        <f>VLOOKUP(E184,mappings!$L$1:$M$110,2,FALSE)</f>
        <v>No answer provided</v>
      </c>
      <c r="O184" t="str">
        <f>VLOOKUP(E184,mappings!L:O,3,FALSE)</f>
        <v>No answer provided</v>
      </c>
      <c r="P184" t="str">
        <f>VLOOKUP(E184,mappings!L:P,4,FALSE)</f>
        <v>No answer provided</v>
      </c>
    </row>
    <row r="185" spans="1:16" x14ac:dyDescent="0.2">
      <c r="A185">
        <v>184</v>
      </c>
      <c r="B185">
        <v>3879325675</v>
      </c>
      <c r="C185" t="s">
        <v>26</v>
      </c>
      <c r="D185" t="s">
        <v>40</v>
      </c>
      <c r="E185" t="s">
        <v>8</v>
      </c>
      <c r="F185" t="s">
        <v>22</v>
      </c>
      <c r="G185" s="2">
        <f>VLOOKUP(F185,mappings!$G$2:$H$6,2,FALSE)</f>
        <v>1</v>
      </c>
      <c r="H185" t="s">
        <v>162</v>
      </c>
      <c r="I185" s="2">
        <f>VLOOKUP(H185,mappings!$D$2:$E$6,2,FALSE)</f>
        <v>1</v>
      </c>
      <c r="J185" t="s">
        <v>10</v>
      </c>
      <c r="K185" t="s">
        <v>13</v>
      </c>
      <c r="L185" s="2">
        <f>VLOOKUP(K185,mappings!$A$2:$B$13,2,FALSE)</f>
        <v>11</v>
      </c>
      <c r="M185" t="s">
        <v>8</v>
      </c>
      <c r="N185" t="str">
        <f>VLOOKUP(E185,mappings!$L$1:$M$110,2,FALSE)</f>
        <v>No answer provided</v>
      </c>
      <c r="O185" t="str">
        <f>VLOOKUP(E185,mappings!L:O,3,FALSE)</f>
        <v>No answer provided</v>
      </c>
      <c r="P185" t="str">
        <f>VLOOKUP(E185,mappings!L:P,4,FALSE)</f>
        <v>No answer provided</v>
      </c>
    </row>
    <row r="186" spans="1:16" x14ac:dyDescent="0.2">
      <c r="A186">
        <v>185</v>
      </c>
      <c r="B186">
        <v>3879323844</v>
      </c>
      <c r="C186" t="s">
        <v>6</v>
      </c>
      <c r="D186" t="s">
        <v>21</v>
      </c>
      <c r="E186" t="s">
        <v>8</v>
      </c>
      <c r="F186" t="s">
        <v>16</v>
      </c>
      <c r="G186" s="2">
        <f>VLOOKUP(F186,mappings!$G$2:$H$6,2,FALSE)</f>
        <v>3</v>
      </c>
      <c r="H186" t="s">
        <v>163</v>
      </c>
      <c r="I186" s="2">
        <f>VLOOKUP(H186,mappings!$D$2:$E$6,2,FALSE)</f>
        <v>3</v>
      </c>
      <c r="J186" t="s">
        <v>10</v>
      </c>
      <c r="K186" t="s">
        <v>23</v>
      </c>
      <c r="L186" s="2">
        <f>VLOOKUP(K186,mappings!$A$2:$B$13,2,FALSE)</f>
        <v>3</v>
      </c>
      <c r="M186" t="s">
        <v>24</v>
      </c>
      <c r="N186" t="str">
        <f>VLOOKUP(E186,mappings!$L$1:$M$110,2,FALSE)</f>
        <v>No answer provided</v>
      </c>
      <c r="O186" t="str">
        <f>VLOOKUP(E186,mappings!L:O,3,FALSE)</f>
        <v>No answer provided</v>
      </c>
      <c r="P186" t="str">
        <f>VLOOKUP(E186,mappings!L:P,4,FALSE)</f>
        <v>No answer provided</v>
      </c>
    </row>
    <row r="187" spans="1:16" x14ac:dyDescent="0.2">
      <c r="A187">
        <v>186</v>
      </c>
      <c r="B187">
        <v>3879315853</v>
      </c>
      <c r="C187" t="s">
        <v>6</v>
      </c>
      <c r="D187" t="s">
        <v>21</v>
      </c>
      <c r="E187" t="s">
        <v>8</v>
      </c>
      <c r="F187" t="s">
        <v>16</v>
      </c>
      <c r="G187" s="2">
        <f>VLOOKUP(F187,mappings!$G$2:$H$6,2,FALSE)</f>
        <v>3</v>
      </c>
      <c r="H187" t="s">
        <v>163</v>
      </c>
      <c r="I187" s="2">
        <f>VLOOKUP(H187,mappings!$D$2:$E$6,2,FALSE)</f>
        <v>3</v>
      </c>
      <c r="J187" t="s">
        <v>10</v>
      </c>
      <c r="K187" t="s">
        <v>33</v>
      </c>
      <c r="L187" s="2">
        <f>VLOOKUP(K187,mappings!$A$2:$B$13,2,FALSE)</f>
        <v>5</v>
      </c>
      <c r="M187" t="s">
        <v>25</v>
      </c>
      <c r="N187" t="str">
        <f>VLOOKUP(E187,mappings!$L$1:$M$110,2,FALSE)</f>
        <v>No answer provided</v>
      </c>
      <c r="O187" t="str">
        <f>VLOOKUP(E187,mappings!L:O,3,FALSE)</f>
        <v>No answer provided</v>
      </c>
      <c r="P187" t="str">
        <f>VLOOKUP(E187,mappings!L:P,4,FALSE)</f>
        <v>No answer provided</v>
      </c>
    </row>
    <row r="188" spans="1:16" x14ac:dyDescent="0.2">
      <c r="A188">
        <v>187</v>
      </c>
      <c r="B188">
        <v>3879274139</v>
      </c>
      <c r="C188" t="s">
        <v>6</v>
      </c>
      <c r="D188" t="s">
        <v>31</v>
      </c>
      <c r="E188" t="s">
        <v>8</v>
      </c>
      <c r="F188" t="s">
        <v>16</v>
      </c>
      <c r="G188" s="2">
        <f>VLOOKUP(F188,mappings!$G$2:$H$6,2,FALSE)</f>
        <v>3</v>
      </c>
      <c r="H188" t="s">
        <v>43</v>
      </c>
      <c r="I188" s="2">
        <f>VLOOKUP(H188,mappings!$D$2:$E$6,2,FALSE)</f>
        <v>4</v>
      </c>
      <c r="J188" t="s">
        <v>36</v>
      </c>
      <c r="K188" t="s">
        <v>14</v>
      </c>
      <c r="L188" s="2">
        <f>VLOOKUP(K188,mappings!$A$2:$B$13,2,FALSE)</f>
        <v>6</v>
      </c>
      <c r="M188" t="s">
        <v>30</v>
      </c>
      <c r="N188" t="str">
        <f>VLOOKUP(E188,mappings!$L$1:$M$110,2,FALSE)</f>
        <v>No answer provided</v>
      </c>
      <c r="O188" t="str">
        <f>VLOOKUP(E188,mappings!L:O,3,FALSE)</f>
        <v>No answer provided</v>
      </c>
      <c r="P188" t="str">
        <f>VLOOKUP(E188,mappings!L:P,4,FALSE)</f>
        <v>No answer provided</v>
      </c>
    </row>
    <row r="189" spans="1:16" x14ac:dyDescent="0.2">
      <c r="A189">
        <v>188</v>
      </c>
      <c r="B189">
        <v>3879266798</v>
      </c>
      <c r="C189" t="s">
        <v>6</v>
      </c>
      <c r="D189" t="s">
        <v>21</v>
      </c>
      <c r="E189" t="s">
        <v>8</v>
      </c>
      <c r="F189" t="s">
        <v>9</v>
      </c>
      <c r="G189" s="2">
        <f>VLOOKUP(F189,mappings!$G$2:$H$6,2,FALSE)</f>
        <v>4</v>
      </c>
      <c r="H189" t="s">
        <v>43</v>
      </c>
      <c r="I189" s="2">
        <f>VLOOKUP(H189,mappings!$D$2:$E$6,2,FALSE)</f>
        <v>4</v>
      </c>
      <c r="J189" t="s">
        <v>36</v>
      </c>
      <c r="K189" t="s">
        <v>33</v>
      </c>
      <c r="L189" s="2">
        <f>VLOOKUP(K189,mappings!$A$2:$B$13,2,FALSE)</f>
        <v>5</v>
      </c>
      <c r="M189" t="s">
        <v>30</v>
      </c>
      <c r="N189" t="str">
        <f>VLOOKUP(E189,mappings!$L$1:$M$110,2,FALSE)</f>
        <v>No answer provided</v>
      </c>
      <c r="O189" t="str">
        <f>VLOOKUP(E189,mappings!L:O,3,FALSE)</f>
        <v>No answer provided</v>
      </c>
      <c r="P189" t="str">
        <f>VLOOKUP(E189,mappings!L:P,4,FALSE)</f>
        <v>No answer provided</v>
      </c>
    </row>
    <row r="190" spans="1:16" x14ac:dyDescent="0.2">
      <c r="A190">
        <v>189</v>
      </c>
      <c r="B190">
        <v>3879261981</v>
      </c>
      <c r="C190" t="s">
        <v>6</v>
      </c>
      <c r="D190" t="s">
        <v>21</v>
      </c>
      <c r="E190" t="s">
        <v>8</v>
      </c>
      <c r="F190" t="s">
        <v>9</v>
      </c>
      <c r="G190" s="2">
        <f>VLOOKUP(F190,mappings!$G$2:$H$6,2,FALSE)</f>
        <v>4</v>
      </c>
      <c r="H190" t="s">
        <v>43</v>
      </c>
      <c r="I190" s="2">
        <f>VLOOKUP(H190,mappings!$D$2:$E$6,2,FALSE)</f>
        <v>4</v>
      </c>
      <c r="J190" t="s">
        <v>36</v>
      </c>
      <c r="K190" t="s">
        <v>13</v>
      </c>
      <c r="L190" s="2">
        <f>VLOOKUP(K190,mappings!$A$2:$B$13,2,FALSE)</f>
        <v>11</v>
      </c>
      <c r="M190" t="s">
        <v>12</v>
      </c>
      <c r="N190" t="str">
        <f>VLOOKUP(E190,mappings!$L$1:$M$110,2,FALSE)</f>
        <v>No answer provided</v>
      </c>
      <c r="O190" t="str">
        <f>VLOOKUP(E190,mappings!L:O,3,FALSE)</f>
        <v>No answer provided</v>
      </c>
      <c r="P190" t="str">
        <f>VLOOKUP(E190,mappings!L:P,4,FALSE)</f>
        <v>No answer provided</v>
      </c>
    </row>
    <row r="191" spans="1:16" x14ac:dyDescent="0.2">
      <c r="A191">
        <v>190</v>
      </c>
      <c r="B191">
        <v>3879258283</v>
      </c>
      <c r="C191" t="s">
        <v>6</v>
      </c>
      <c r="D191" t="s">
        <v>27</v>
      </c>
      <c r="E191" t="s">
        <v>8</v>
      </c>
      <c r="F191" t="s">
        <v>9</v>
      </c>
      <c r="G191" s="2">
        <f>VLOOKUP(F191,mappings!$G$2:$H$6,2,FALSE)</f>
        <v>4</v>
      </c>
      <c r="H191" t="s">
        <v>43</v>
      </c>
      <c r="I191" s="2">
        <f>VLOOKUP(H191,mappings!$D$2:$E$6,2,FALSE)</f>
        <v>4</v>
      </c>
      <c r="J191" t="s">
        <v>36</v>
      </c>
      <c r="K191" t="s">
        <v>11</v>
      </c>
      <c r="L191" s="2">
        <f>VLOOKUP(K191,mappings!$A$2:$B$13,2,FALSE)</f>
        <v>4</v>
      </c>
      <c r="M191" t="s">
        <v>38</v>
      </c>
      <c r="N191" t="str">
        <f>VLOOKUP(E191,mappings!$L$1:$M$110,2,FALSE)</f>
        <v>No answer provided</v>
      </c>
      <c r="O191" t="str">
        <f>VLOOKUP(E191,mappings!L:O,3,FALSE)</f>
        <v>No answer provided</v>
      </c>
      <c r="P191" t="str">
        <f>VLOOKUP(E191,mappings!L:P,4,FALSE)</f>
        <v>No answer provided</v>
      </c>
    </row>
    <row r="192" spans="1:16" x14ac:dyDescent="0.2">
      <c r="A192">
        <v>191</v>
      </c>
      <c r="B192">
        <v>3879248890</v>
      </c>
      <c r="C192" t="s">
        <v>6</v>
      </c>
      <c r="D192" t="s">
        <v>1</v>
      </c>
      <c r="E192" t="s">
        <v>73</v>
      </c>
      <c r="F192" t="s">
        <v>9</v>
      </c>
      <c r="G192" s="2">
        <f>VLOOKUP(F192,mappings!$G$2:$H$6,2,FALSE)</f>
        <v>4</v>
      </c>
      <c r="H192" t="s">
        <v>43</v>
      </c>
      <c r="I192" s="2">
        <f>VLOOKUP(H192,mappings!$D$2:$E$6,2,FALSE)</f>
        <v>4</v>
      </c>
      <c r="J192" t="s">
        <v>36</v>
      </c>
      <c r="K192" t="s">
        <v>11</v>
      </c>
      <c r="L192" s="2">
        <f>VLOOKUP(K192,mappings!$A$2:$B$13,2,FALSE)</f>
        <v>4</v>
      </c>
      <c r="M192" t="s">
        <v>25</v>
      </c>
      <c r="N192" t="str">
        <f>VLOOKUP(E192,mappings!$L$1:$M$110,2,FALSE)</f>
        <v>1weather</v>
      </c>
      <c r="O192" t="str">
        <f>VLOOKUP(E192,mappings!L:O,3,FALSE)</f>
        <v>App</v>
      </c>
      <c r="P192" t="str">
        <f>VLOOKUP(E192,mappings!L:P,4,FALSE)</f>
        <v>Android</v>
      </c>
    </row>
    <row r="193" spans="1:16" x14ac:dyDescent="0.2">
      <c r="A193">
        <v>192</v>
      </c>
      <c r="B193">
        <v>3879245036</v>
      </c>
      <c r="C193" t="s">
        <v>6</v>
      </c>
      <c r="D193" t="s">
        <v>1</v>
      </c>
      <c r="E193" t="s">
        <v>74</v>
      </c>
      <c r="F193" t="s">
        <v>9</v>
      </c>
      <c r="G193" s="2">
        <f>VLOOKUP(F193,mappings!$G$2:$H$6,2,FALSE)</f>
        <v>4</v>
      </c>
      <c r="H193" t="s">
        <v>43</v>
      </c>
      <c r="I193" s="2">
        <f>VLOOKUP(H193,mappings!$D$2:$E$6,2,FALSE)</f>
        <v>4</v>
      </c>
      <c r="J193" t="s">
        <v>36</v>
      </c>
      <c r="K193" t="s">
        <v>14</v>
      </c>
      <c r="L193" s="2">
        <f>VLOOKUP(K193,mappings!$A$2:$B$13,2,FALSE)</f>
        <v>6</v>
      </c>
      <c r="M193" t="s">
        <v>24</v>
      </c>
      <c r="N193" t="str">
        <f>VLOOKUP(E193,mappings!$L$1:$M$110,2,FALSE)</f>
        <v>Yahoo</v>
      </c>
      <c r="O193" t="str">
        <f>VLOOKUP(E193,mappings!L:O,3,FALSE)</f>
        <v>Website</v>
      </c>
      <c r="P193" t="str">
        <f>VLOOKUP(E193,mappings!L:P,4,FALSE)</f>
        <v>Other or unkown</v>
      </c>
    </row>
    <row r="194" spans="1:16" x14ac:dyDescent="0.2">
      <c r="A194">
        <v>193</v>
      </c>
      <c r="B194">
        <v>3879210502</v>
      </c>
      <c r="C194" t="s">
        <v>6</v>
      </c>
      <c r="D194" t="s">
        <v>27</v>
      </c>
      <c r="E194" t="s">
        <v>8</v>
      </c>
      <c r="F194" t="s">
        <v>16</v>
      </c>
      <c r="G194" s="2">
        <f>VLOOKUP(F194,mappings!$G$2:$H$6,2,FALSE)</f>
        <v>3</v>
      </c>
      <c r="H194" t="s">
        <v>163</v>
      </c>
      <c r="I194" s="2">
        <f>VLOOKUP(H194,mappings!$D$2:$E$6,2,FALSE)</f>
        <v>3</v>
      </c>
      <c r="J194" t="s">
        <v>10</v>
      </c>
      <c r="K194" t="s">
        <v>11</v>
      </c>
      <c r="L194" s="2">
        <f>VLOOKUP(K194,mappings!$A$2:$B$13,2,FALSE)</f>
        <v>4</v>
      </c>
      <c r="M194" t="s">
        <v>20</v>
      </c>
      <c r="N194" t="str">
        <f>VLOOKUP(E194,mappings!$L$1:$M$110,2,FALSE)</f>
        <v>No answer provided</v>
      </c>
      <c r="O194" t="str">
        <f>VLOOKUP(E194,mappings!L:O,3,FALSE)</f>
        <v>No answer provided</v>
      </c>
      <c r="P194" t="str">
        <f>VLOOKUP(E194,mappings!L:P,4,FALSE)</f>
        <v>No answer provided</v>
      </c>
    </row>
    <row r="195" spans="1:16" x14ac:dyDescent="0.2">
      <c r="A195">
        <v>194</v>
      </c>
      <c r="B195">
        <v>3879207640</v>
      </c>
      <c r="C195" t="s">
        <v>6</v>
      </c>
      <c r="D195" t="s">
        <v>21</v>
      </c>
      <c r="E195" t="s">
        <v>8</v>
      </c>
      <c r="F195" t="s">
        <v>16</v>
      </c>
      <c r="G195" s="2">
        <f>VLOOKUP(F195,mappings!$G$2:$H$6,2,FALSE)</f>
        <v>3</v>
      </c>
      <c r="H195" t="s">
        <v>163</v>
      </c>
      <c r="I195" s="2">
        <f>VLOOKUP(H195,mappings!$D$2:$E$6,2,FALSE)</f>
        <v>3</v>
      </c>
      <c r="J195" t="s">
        <v>10</v>
      </c>
      <c r="K195" t="s">
        <v>23</v>
      </c>
      <c r="L195" s="2">
        <f>VLOOKUP(K195,mappings!$A$2:$B$13,2,FALSE)</f>
        <v>3</v>
      </c>
      <c r="M195" t="s">
        <v>12</v>
      </c>
      <c r="N195" t="str">
        <f>VLOOKUP(E195,mappings!$L$1:$M$110,2,FALSE)</f>
        <v>No answer provided</v>
      </c>
      <c r="O195" t="str">
        <f>VLOOKUP(E195,mappings!L:O,3,FALSE)</f>
        <v>No answer provided</v>
      </c>
      <c r="P195" t="str">
        <f>VLOOKUP(E195,mappings!L:P,4,FALSE)</f>
        <v>No answer provided</v>
      </c>
    </row>
    <row r="196" spans="1:16" x14ac:dyDescent="0.2">
      <c r="A196">
        <v>195</v>
      </c>
      <c r="B196">
        <v>3879205854</v>
      </c>
      <c r="C196" t="s">
        <v>6</v>
      </c>
      <c r="D196" t="s">
        <v>7</v>
      </c>
      <c r="E196" t="s">
        <v>8</v>
      </c>
      <c r="F196" t="s">
        <v>22</v>
      </c>
      <c r="G196" s="2">
        <f>VLOOKUP(F196,mappings!$G$2:$H$6,2,FALSE)</f>
        <v>1</v>
      </c>
      <c r="H196" t="s">
        <v>162</v>
      </c>
      <c r="I196" s="2">
        <f>VLOOKUP(H196,mappings!$D$2:$E$6,2,FALSE)</f>
        <v>1</v>
      </c>
      <c r="J196" t="s">
        <v>10</v>
      </c>
      <c r="K196" t="s">
        <v>14</v>
      </c>
      <c r="L196" s="2">
        <f>VLOOKUP(K196,mappings!$A$2:$B$13,2,FALSE)</f>
        <v>6</v>
      </c>
      <c r="M196" t="s">
        <v>38</v>
      </c>
      <c r="N196" t="str">
        <f>VLOOKUP(E196,mappings!$L$1:$M$110,2,FALSE)</f>
        <v>No answer provided</v>
      </c>
      <c r="O196" t="str">
        <f>VLOOKUP(E196,mappings!L:O,3,FALSE)</f>
        <v>No answer provided</v>
      </c>
      <c r="P196" t="str">
        <f>VLOOKUP(E196,mappings!L:P,4,FALSE)</f>
        <v>No answer provided</v>
      </c>
    </row>
    <row r="197" spans="1:16" x14ac:dyDescent="0.2">
      <c r="A197">
        <v>196</v>
      </c>
      <c r="B197">
        <v>3879196296</v>
      </c>
      <c r="C197" t="s">
        <v>6</v>
      </c>
      <c r="D197" t="s">
        <v>31</v>
      </c>
      <c r="E197" t="s">
        <v>8</v>
      </c>
      <c r="F197" t="s">
        <v>9</v>
      </c>
      <c r="G197" s="2">
        <f>VLOOKUP(F197,mappings!$G$2:$H$6,2,FALSE)</f>
        <v>4</v>
      </c>
      <c r="H197" t="s">
        <v>43</v>
      </c>
      <c r="I197" s="2">
        <f>VLOOKUP(H197,mappings!$D$2:$E$6,2,FALSE)</f>
        <v>4</v>
      </c>
      <c r="J197" t="s">
        <v>36</v>
      </c>
      <c r="K197" t="s">
        <v>11</v>
      </c>
      <c r="L197" s="2">
        <f>VLOOKUP(K197,mappings!$A$2:$B$13,2,FALSE)</f>
        <v>4</v>
      </c>
      <c r="M197" t="s">
        <v>12</v>
      </c>
      <c r="N197" t="str">
        <f>VLOOKUP(E197,mappings!$L$1:$M$110,2,FALSE)</f>
        <v>No answer provided</v>
      </c>
      <c r="O197" t="str">
        <f>VLOOKUP(E197,mappings!L:O,3,FALSE)</f>
        <v>No answer provided</v>
      </c>
      <c r="P197" t="str">
        <f>VLOOKUP(E197,mappings!L:P,4,FALSE)</f>
        <v>No answer provided</v>
      </c>
    </row>
    <row r="198" spans="1:16" x14ac:dyDescent="0.2">
      <c r="A198">
        <v>197</v>
      </c>
      <c r="B198">
        <v>3879194705</v>
      </c>
      <c r="C198" t="s">
        <v>6</v>
      </c>
      <c r="D198" t="s">
        <v>7</v>
      </c>
      <c r="E198" t="s">
        <v>8</v>
      </c>
      <c r="F198" t="s">
        <v>9</v>
      </c>
      <c r="G198" s="2">
        <f>VLOOKUP(F198,mappings!$G$2:$H$6,2,FALSE)</f>
        <v>4</v>
      </c>
      <c r="H198" t="s">
        <v>163</v>
      </c>
      <c r="I198" s="2">
        <f>VLOOKUP(H198,mappings!$D$2:$E$6,2,FALSE)</f>
        <v>3</v>
      </c>
      <c r="J198" t="s">
        <v>10</v>
      </c>
      <c r="K198" t="s">
        <v>32</v>
      </c>
      <c r="L198" s="2">
        <f>VLOOKUP(K198,mappings!$A$2:$B$13,2,FALSE)</f>
        <v>2</v>
      </c>
      <c r="M198" t="s">
        <v>34</v>
      </c>
      <c r="N198" t="str">
        <f>VLOOKUP(E198,mappings!$L$1:$M$110,2,FALSE)</f>
        <v>No answer provided</v>
      </c>
      <c r="O198" t="str">
        <f>VLOOKUP(E198,mappings!L:O,3,FALSE)</f>
        <v>No answer provided</v>
      </c>
      <c r="P198" t="str">
        <f>VLOOKUP(E198,mappings!L:P,4,FALSE)</f>
        <v>No answer provided</v>
      </c>
    </row>
    <row r="199" spans="1:16" x14ac:dyDescent="0.2">
      <c r="A199">
        <v>198</v>
      </c>
      <c r="B199">
        <v>3879189511</v>
      </c>
      <c r="C199" t="s">
        <v>6</v>
      </c>
      <c r="D199" t="s">
        <v>7</v>
      </c>
      <c r="E199" t="s">
        <v>8</v>
      </c>
      <c r="F199" t="s">
        <v>9</v>
      </c>
      <c r="G199" s="2">
        <f>VLOOKUP(F199,mappings!$G$2:$H$6,2,FALSE)</f>
        <v>4</v>
      </c>
      <c r="H199" t="s">
        <v>161</v>
      </c>
      <c r="I199" s="2">
        <f>VLOOKUP(H199,mappings!$D$2:$E$6,2,FALSE)</f>
        <v>2</v>
      </c>
      <c r="J199" t="s">
        <v>10</v>
      </c>
      <c r="K199" t="s">
        <v>14</v>
      </c>
      <c r="L199" s="2">
        <f>VLOOKUP(K199,mappings!$A$2:$B$13,2,FALSE)</f>
        <v>6</v>
      </c>
      <c r="M199" t="s">
        <v>12</v>
      </c>
      <c r="N199" t="str">
        <f>VLOOKUP(E199,mappings!$L$1:$M$110,2,FALSE)</f>
        <v>No answer provided</v>
      </c>
      <c r="O199" t="str">
        <f>VLOOKUP(E199,mappings!L:O,3,FALSE)</f>
        <v>No answer provided</v>
      </c>
      <c r="P199" t="str">
        <f>VLOOKUP(E199,mappings!L:P,4,FALSE)</f>
        <v>No answer provided</v>
      </c>
    </row>
    <row r="200" spans="1:16" x14ac:dyDescent="0.2">
      <c r="A200">
        <v>199</v>
      </c>
      <c r="B200">
        <v>3879186514</v>
      </c>
      <c r="C200" t="s">
        <v>6</v>
      </c>
      <c r="D200" t="s">
        <v>31</v>
      </c>
      <c r="E200" t="s">
        <v>8</v>
      </c>
      <c r="F200" t="s">
        <v>9</v>
      </c>
      <c r="G200" s="2">
        <f>VLOOKUP(F200,mappings!$G$2:$H$6,2,FALSE)</f>
        <v>4</v>
      </c>
      <c r="H200" t="s">
        <v>43</v>
      </c>
      <c r="I200" s="2">
        <f>VLOOKUP(H200,mappings!$D$2:$E$6,2,FALSE)</f>
        <v>4</v>
      </c>
      <c r="J200" t="s">
        <v>36</v>
      </c>
      <c r="K200" t="s">
        <v>13</v>
      </c>
      <c r="L200" s="2">
        <f>VLOOKUP(K200,mappings!$A$2:$B$13,2,FALSE)</f>
        <v>11</v>
      </c>
      <c r="M200" t="s">
        <v>20</v>
      </c>
      <c r="N200" t="str">
        <f>VLOOKUP(E200,mappings!$L$1:$M$110,2,FALSE)</f>
        <v>No answer provided</v>
      </c>
      <c r="O200" t="str">
        <f>VLOOKUP(E200,mappings!L:O,3,FALSE)</f>
        <v>No answer provided</v>
      </c>
      <c r="P200" t="str">
        <f>VLOOKUP(E200,mappings!L:P,4,FALSE)</f>
        <v>No answer provided</v>
      </c>
    </row>
    <row r="201" spans="1:16" x14ac:dyDescent="0.2">
      <c r="A201">
        <v>200</v>
      </c>
      <c r="B201">
        <v>3879159385</v>
      </c>
      <c r="C201" t="s">
        <v>6</v>
      </c>
      <c r="D201" t="s">
        <v>7</v>
      </c>
      <c r="E201" t="s">
        <v>8</v>
      </c>
      <c r="F201" t="s">
        <v>9</v>
      </c>
      <c r="G201" s="2">
        <f>VLOOKUP(F201,mappings!$G$2:$H$6,2,FALSE)</f>
        <v>4</v>
      </c>
      <c r="H201" t="s">
        <v>43</v>
      </c>
      <c r="I201" s="2">
        <f>VLOOKUP(H201,mappings!$D$2:$E$6,2,FALSE)</f>
        <v>4</v>
      </c>
      <c r="J201" t="s">
        <v>36</v>
      </c>
      <c r="K201" t="s">
        <v>11</v>
      </c>
      <c r="L201" s="2">
        <f>VLOOKUP(K201,mappings!$A$2:$B$13,2,FALSE)</f>
        <v>4</v>
      </c>
      <c r="M201" t="s">
        <v>34</v>
      </c>
      <c r="N201" t="str">
        <f>VLOOKUP(E201,mappings!$L$1:$M$110,2,FALSE)</f>
        <v>No answer provided</v>
      </c>
      <c r="O201" t="str">
        <f>VLOOKUP(E201,mappings!L:O,3,FALSE)</f>
        <v>No answer provided</v>
      </c>
      <c r="P201" t="str">
        <f>VLOOKUP(E201,mappings!L:P,4,FALSE)</f>
        <v>No answer provided</v>
      </c>
    </row>
    <row r="202" spans="1:16" x14ac:dyDescent="0.2">
      <c r="A202">
        <v>201</v>
      </c>
      <c r="B202">
        <v>3879157578</v>
      </c>
      <c r="C202" t="s">
        <v>26</v>
      </c>
      <c r="D202" t="s">
        <v>31</v>
      </c>
      <c r="E202" t="s">
        <v>8</v>
      </c>
      <c r="F202" t="s">
        <v>16</v>
      </c>
      <c r="G202" s="2">
        <f>VLOOKUP(F202,mappings!$G$2:$H$6,2,FALSE)</f>
        <v>3</v>
      </c>
      <c r="H202" t="s">
        <v>161</v>
      </c>
      <c r="I202" s="2">
        <f>VLOOKUP(H202,mappings!$D$2:$E$6,2,FALSE)</f>
        <v>2</v>
      </c>
      <c r="J202" t="s">
        <v>10</v>
      </c>
      <c r="K202" t="s">
        <v>23</v>
      </c>
      <c r="L202" s="2">
        <f>VLOOKUP(K202,mappings!$A$2:$B$13,2,FALSE)</f>
        <v>3</v>
      </c>
      <c r="M202" t="s">
        <v>30</v>
      </c>
      <c r="N202" t="str">
        <f>VLOOKUP(E202,mappings!$L$1:$M$110,2,FALSE)</f>
        <v>No answer provided</v>
      </c>
      <c r="O202" t="str">
        <f>VLOOKUP(E202,mappings!L:O,3,FALSE)</f>
        <v>No answer provided</v>
      </c>
      <c r="P202" t="str">
        <f>VLOOKUP(E202,mappings!L:P,4,FALSE)</f>
        <v>No answer provided</v>
      </c>
    </row>
    <row r="203" spans="1:16" x14ac:dyDescent="0.2">
      <c r="A203">
        <v>202</v>
      </c>
      <c r="B203">
        <v>3879152338</v>
      </c>
      <c r="C203" t="s">
        <v>26</v>
      </c>
      <c r="D203" t="s">
        <v>7</v>
      </c>
      <c r="E203" t="s">
        <v>8</v>
      </c>
      <c r="F203" t="s">
        <v>16</v>
      </c>
      <c r="G203" s="2">
        <f>VLOOKUP(F203,mappings!$G$2:$H$6,2,FALSE)</f>
        <v>3</v>
      </c>
      <c r="H203" t="s">
        <v>161</v>
      </c>
      <c r="I203" s="2">
        <f>VLOOKUP(H203,mappings!$D$2:$E$6,2,FALSE)</f>
        <v>2</v>
      </c>
      <c r="J203" t="s">
        <v>10</v>
      </c>
      <c r="K203" t="s">
        <v>48</v>
      </c>
      <c r="L203" s="2">
        <f>VLOOKUP(K203,mappings!$A$2:$B$13,2,FALSE)</f>
        <v>7</v>
      </c>
      <c r="M203" t="s">
        <v>12</v>
      </c>
      <c r="N203" t="str">
        <f>VLOOKUP(E203,mappings!$L$1:$M$110,2,FALSE)</f>
        <v>No answer provided</v>
      </c>
      <c r="O203" t="str">
        <f>VLOOKUP(E203,mappings!L:O,3,FALSE)</f>
        <v>No answer provided</v>
      </c>
      <c r="P203" t="str">
        <f>VLOOKUP(E203,mappings!L:P,4,FALSE)</f>
        <v>No answer provided</v>
      </c>
    </row>
    <row r="204" spans="1:16" x14ac:dyDescent="0.2">
      <c r="A204">
        <v>203</v>
      </c>
      <c r="B204">
        <v>3879139489</v>
      </c>
      <c r="C204" t="s">
        <v>6</v>
      </c>
      <c r="D204" t="s">
        <v>51</v>
      </c>
      <c r="E204" t="s">
        <v>8</v>
      </c>
      <c r="F204" t="s">
        <v>22</v>
      </c>
      <c r="G204" s="2">
        <f>VLOOKUP(F204,mappings!$G$2:$H$6,2,FALSE)</f>
        <v>1</v>
      </c>
      <c r="H204" t="s">
        <v>43</v>
      </c>
      <c r="I204" s="2">
        <f>VLOOKUP(H204,mappings!$D$2:$E$6,2,FALSE)</f>
        <v>4</v>
      </c>
      <c r="J204" t="s">
        <v>36</v>
      </c>
      <c r="K204" t="s">
        <v>33</v>
      </c>
      <c r="L204" s="2">
        <f>VLOOKUP(K204,mappings!$A$2:$B$13,2,FALSE)</f>
        <v>5</v>
      </c>
      <c r="M204" t="s">
        <v>20</v>
      </c>
      <c r="N204" t="str">
        <f>VLOOKUP(E204,mappings!$L$1:$M$110,2,FALSE)</f>
        <v>No answer provided</v>
      </c>
      <c r="O204" t="str">
        <f>VLOOKUP(E204,mappings!L:O,3,FALSE)</f>
        <v>No answer provided</v>
      </c>
      <c r="P204" t="str">
        <f>VLOOKUP(E204,mappings!L:P,4,FALSE)</f>
        <v>No answer provided</v>
      </c>
    </row>
    <row r="205" spans="1:16" x14ac:dyDescent="0.2">
      <c r="A205">
        <v>204</v>
      </c>
      <c r="B205">
        <v>3879106766</v>
      </c>
      <c r="C205" t="s">
        <v>6</v>
      </c>
      <c r="D205" t="s">
        <v>7</v>
      </c>
      <c r="E205" t="s">
        <v>8</v>
      </c>
      <c r="F205" t="s">
        <v>9</v>
      </c>
      <c r="G205" s="2">
        <f>VLOOKUP(F205,mappings!$G$2:$H$6,2,FALSE)</f>
        <v>4</v>
      </c>
      <c r="H205" t="s">
        <v>43</v>
      </c>
      <c r="I205" s="2">
        <f>VLOOKUP(H205,mappings!$D$2:$E$6,2,FALSE)</f>
        <v>4</v>
      </c>
      <c r="J205" t="s">
        <v>10</v>
      </c>
      <c r="K205" t="s">
        <v>29</v>
      </c>
      <c r="L205" s="2">
        <f>VLOOKUP(K205,mappings!$A$2:$B$13,2,FALSE)</f>
        <v>1</v>
      </c>
      <c r="M205" t="s">
        <v>15</v>
      </c>
      <c r="N205" t="str">
        <f>VLOOKUP(E205,mappings!$L$1:$M$110,2,FALSE)</f>
        <v>No answer provided</v>
      </c>
      <c r="O205" t="str">
        <f>VLOOKUP(E205,mappings!L:O,3,FALSE)</f>
        <v>No answer provided</v>
      </c>
      <c r="P205" t="str">
        <f>VLOOKUP(E205,mappings!L:P,4,FALSE)</f>
        <v>No answer provided</v>
      </c>
    </row>
    <row r="206" spans="1:16" x14ac:dyDescent="0.2">
      <c r="A206">
        <v>205</v>
      </c>
      <c r="B206">
        <v>3879102520</v>
      </c>
      <c r="C206" t="s">
        <v>6</v>
      </c>
      <c r="D206" t="s">
        <v>31</v>
      </c>
      <c r="E206" t="s">
        <v>8</v>
      </c>
      <c r="F206" t="s">
        <v>9</v>
      </c>
      <c r="G206" s="2">
        <f>VLOOKUP(F206,mappings!$G$2:$H$6,2,FALSE)</f>
        <v>4</v>
      </c>
      <c r="H206" t="s">
        <v>163</v>
      </c>
      <c r="I206" s="2">
        <f>VLOOKUP(H206,mappings!$D$2:$E$6,2,FALSE)</f>
        <v>3</v>
      </c>
      <c r="J206" t="s">
        <v>10</v>
      </c>
      <c r="K206" t="s">
        <v>11</v>
      </c>
      <c r="L206" s="2">
        <f>VLOOKUP(K206,mappings!$A$2:$B$13,2,FALSE)</f>
        <v>4</v>
      </c>
      <c r="M206" t="s">
        <v>30</v>
      </c>
      <c r="N206" t="str">
        <f>VLOOKUP(E206,mappings!$L$1:$M$110,2,FALSE)</f>
        <v>No answer provided</v>
      </c>
      <c r="O206" t="str">
        <f>VLOOKUP(E206,mappings!L:O,3,FALSE)</f>
        <v>No answer provided</v>
      </c>
      <c r="P206" t="str">
        <f>VLOOKUP(E206,mappings!L:P,4,FALSE)</f>
        <v>No answer provided</v>
      </c>
    </row>
    <row r="207" spans="1:16" x14ac:dyDescent="0.2">
      <c r="A207">
        <v>206</v>
      </c>
      <c r="B207">
        <v>3879102450</v>
      </c>
      <c r="C207" t="s">
        <v>6</v>
      </c>
      <c r="D207" t="s">
        <v>21</v>
      </c>
      <c r="E207" t="s">
        <v>8</v>
      </c>
      <c r="F207" t="s">
        <v>16</v>
      </c>
      <c r="G207" s="2">
        <f>VLOOKUP(F207,mappings!$G$2:$H$6,2,FALSE)</f>
        <v>3</v>
      </c>
      <c r="H207" t="s">
        <v>43</v>
      </c>
      <c r="I207" s="2">
        <f>VLOOKUP(H207,mappings!$D$2:$E$6,2,FALSE)</f>
        <v>4</v>
      </c>
      <c r="J207" t="s">
        <v>36</v>
      </c>
      <c r="K207" t="s">
        <v>33</v>
      </c>
      <c r="L207" s="2">
        <f>VLOOKUP(K207,mappings!$A$2:$B$13,2,FALSE)</f>
        <v>5</v>
      </c>
      <c r="M207" t="s">
        <v>42</v>
      </c>
      <c r="N207" t="str">
        <f>VLOOKUP(E207,mappings!$L$1:$M$110,2,FALSE)</f>
        <v>No answer provided</v>
      </c>
      <c r="O207" t="str">
        <f>VLOOKUP(E207,mappings!L:O,3,FALSE)</f>
        <v>No answer provided</v>
      </c>
      <c r="P207" t="str">
        <f>VLOOKUP(E207,mappings!L:P,4,FALSE)</f>
        <v>No answer provided</v>
      </c>
    </row>
    <row r="208" spans="1:16" x14ac:dyDescent="0.2">
      <c r="A208">
        <v>207</v>
      </c>
      <c r="B208">
        <v>3879094933</v>
      </c>
      <c r="C208" t="s">
        <v>6</v>
      </c>
      <c r="D208" t="s">
        <v>27</v>
      </c>
      <c r="E208" t="s">
        <v>8</v>
      </c>
      <c r="F208" t="s">
        <v>9</v>
      </c>
      <c r="G208" s="2">
        <f>VLOOKUP(F208,mappings!$G$2:$H$6,2,FALSE)</f>
        <v>4</v>
      </c>
      <c r="H208" t="s">
        <v>163</v>
      </c>
      <c r="I208" s="2">
        <f>VLOOKUP(H208,mappings!$D$2:$E$6,2,FALSE)</f>
        <v>3</v>
      </c>
      <c r="J208" t="s">
        <v>10</v>
      </c>
      <c r="K208" t="s">
        <v>11</v>
      </c>
      <c r="L208" s="2">
        <f>VLOOKUP(K208,mappings!$A$2:$B$13,2,FALSE)</f>
        <v>4</v>
      </c>
      <c r="M208" t="s">
        <v>30</v>
      </c>
      <c r="N208" t="str">
        <f>VLOOKUP(E208,mappings!$L$1:$M$110,2,FALSE)</f>
        <v>No answer provided</v>
      </c>
      <c r="O208" t="str">
        <f>VLOOKUP(E208,mappings!L:O,3,FALSE)</f>
        <v>No answer provided</v>
      </c>
      <c r="P208" t="str">
        <f>VLOOKUP(E208,mappings!L:P,4,FALSE)</f>
        <v>No answer provided</v>
      </c>
    </row>
    <row r="209" spans="1:16" x14ac:dyDescent="0.2">
      <c r="A209">
        <v>208</v>
      </c>
      <c r="B209">
        <v>3879090979</v>
      </c>
      <c r="C209" t="s">
        <v>6</v>
      </c>
      <c r="D209" t="s">
        <v>7</v>
      </c>
      <c r="E209" t="s">
        <v>8</v>
      </c>
      <c r="F209" t="s">
        <v>16</v>
      </c>
      <c r="G209" s="2">
        <f>VLOOKUP(F209,mappings!$G$2:$H$6,2,FALSE)</f>
        <v>3</v>
      </c>
      <c r="H209" t="s">
        <v>43</v>
      </c>
      <c r="I209" s="2">
        <f>VLOOKUP(H209,mappings!$D$2:$E$6,2,FALSE)</f>
        <v>4</v>
      </c>
      <c r="J209" t="s">
        <v>10</v>
      </c>
      <c r="K209" t="s">
        <v>39</v>
      </c>
      <c r="L209" s="2">
        <f>VLOOKUP(K209,mappings!$A$2:$B$13,2,FALSE)</f>
        <v>10</v>
      </c>
      <c r="M209" t="s">
        <v>38</v>
      </c>
      <c r="N209" t="str">
        <f>VLOOKUP(E209,mappings!$L$1:$M$110,2,FALSE)</f>
        <v>No answer provided</v>
      </c>
      <c r="O209" t="str">
        <f>VLOOKUP(E209,mappings!L:O,3,FALSE)</f>
        <v>No answer provided</v>
      </c>
      <c r="P209" t="str">
        <f>VLOOKUP(E209,mappings!L:P,4,FALSE)</f>
        <v>No answer provided</v>
      </c>
    </row>
    <row r="210" spans="1:16" x14ac:dyDescent="0.2">
      <c r="A210">
        <v>209</v>
      </c>
      <c r="B210">
        <v>3879055766</v>
      </c>
      <c r="C210" t="s">
        <v>6</v>
      </c>
      <c r="D210" t="s">
        <v>1</v>
      </c>
      <c r="E210" t="s">
        <v>75</v>
      </c>
      <c r="F210" t="s">
        <v>22</v>
      </c>
      <c r="G210" s="2">
        <f>VLOOKUP(F210,mappings!$G$2:$H$6,2,FALSE)</f>
        <v>1</v>
      </c>
      <c r="H210" t="s">
        <v>163</v>
      </c>
      <c r="I210" s="2">
        <f>VLOOKUP(H210,mappings!$D$2:$E$6,2,FALSE)</f>
        <v>3</v>
      </c>
      <c r="J210" t="s">
        <v>10</v>
      </c>
      <c r="K210" t="s">
        <v>48</v>
      </c>
      <c r="L210" s="2">
        <f>VLOOKUP(K210,mappings!$A$2:$B$13,2,FALSE)</f>
        <v>7</v>
      </c>
      <c r="M210" t="s">
        <v>15</v>
      </c>
      <c r="N210" t="str">
        <f>VLOOKUP(E210,mappings!$L$1:$M$110,2,FALSE)</f>
        <v>Weatherbug</v>
      </c>
      <c r="O210" t="str">
        <f>VLOOKUP(E210,mappings!L:O,3,FALSE)</f>
        <v>App</v>
      </c>
      <c r="P210" t="str">
        <f>VLOOKUP(E210,mappings!L:P,4,FALSE)</f>
        <v>Other or unkown</v>
      </c>
    </row>
    <row r="211" spans="1:16" x14ac:dyDescent="0.2">
      <c r="A211">
        <v>210</v>
      </c>
      <c r="B211">
        <v>3879048742</v>
      </c>
      <c r="C211" t="s">
        <v>6</v>
      </c>
      <c r="D211" t="s">
        <v>7</v>
      </c>
      <c r="E211" t="s">
        <v>8</v>
      </c>
      <c r="F211" t="s">
        <v>16</v>
      </c>
      <c r="G211" s="2">
        <f>VLOOKUP(F211,mappings!$G$2:$H$6,2,FALSE)</f>
        <v>3</v>
      </c>
      <c r="H211" t="s">
        <v>163</v>
      </c>
      <c r="I211" s="2">
        <f>VLOOKUP(H211,mappings!$D$2:$E$6,2,FALSE)</f>
        <v>3</v>
      </c>
      <c r="J211" t="s">
        <v>10</v>
      </c>
      <c r="K211" t="s">
        <v>13</v>
      </c>
      <c r="L211" s="2">
        <f>VLOOKUP(K211,mappings!$A$2:$B$13,2,FALSE)</f>
        <v>11</v>
      </c>
      <c r="M211" t="s">
        <v>12</v>
      </c>
      <c r="N211" t="str">
        <f>VLOOKUP(E211,mappings!$L$1:$M$110,2,FALSE)</f>
        <v>No answer provided</v>
      </c>
      <c r="O211" t="str">
        <f>VLOOKUP(E211,mappings!L:O,3,FALSE)</f>
        <v>No answer provided</v>
      </c>
      <c r="P211" t="str">
        <f>VLOOKUP(E211,mappings!L:P,4,FALSE)</f>
        <v>No answer provided</v>
      </c>
    </row>
    <row r="212" spans="1:16" x14ac:dyDescent="0.2">
      <c r="A212">
        <v>211</v>
      </c>
      <c r="B212">
        <v>3879043041</v>
      </c>
      <c r="C212" t="s">
        <v>6</v>
      </c>
      <c r="D212" t="s">
        <v>31</v>
      </c>
      <c r="E212" t="s">
        <v>8</v>
      </c>
      <c r="F212" t="s">
        <v>28</v>
      </c>
      <c r="G212" s="2">
        <f>VLOOKUP(F212,mappings!$G$2:$H$6,2,FALSE)</f>
        <v>2</v>
      </c>
      <c r="H212" t="s">
        <v>43</v>
      </c>
      <c r="I212" s="2">
        <f>VLOOKUP(H212,mappings!$D$2:$E$6,2,FALSE)</f>
        <v>4</v>
      </c>
      <c r="J212" t="s">
        <v>36</v>
      </c>
      <c r="K212" t="s">
        <v>33</v>
      </c>
      <c r="L212" s="2">
        <f>VLOOKUP(K212,mappings!$A$2:$B$13,2,FALSE)</f>
        <v>5</v>
      </c>
      <c r="M212" t="s">
        <v>30</v>
      </c>
      <c r="N212" t="str">
        <f>VLOOKUP(E212,mappings!$L$1:$M$110,2,FALSE)</f>
        <v>No answer provided</v>
      </c>
      <c r="O212" t="str">
        <f>VLOOKUP(E212,mappings!L:O,3,FALSE)</f>
        <v>No answer provided</v>
      </c>
      <c r="P212" t="str">
        <f>VLOOKUP(E212,mappings!L:P,4,FALSE)</f>
        <v>No answer provided</v>
      </c>
    </row>
    <row r="213" spans="1:16" x14ac:dyDescent="0.2">
      <c r="A213">
        <v>212</v>
      </c>
      <c r="B213">
        <v>3879024100</v>
      </c>
      <c r="C213" t="s">
        <v>6</v>
      </c>
      <c r="D213" t="s">
        <v>41</v>
      </c>
      <c r="E213" t="s">
        <v>8</v>
      </c>
      <c r="F213" t="s">
        <v>9</v>
      </c>
      <c r="G213" s="2">
        <f>VLOOKUP(F213,mappings!$G$2:$H$6,2,FALSE)</f>
        <v>4</v>
      </c>
      <c r="H213" t="s">
        <v>43</v>
      </c>
      <c r="I213" s="2">
        <f>VLOOKUP(H213,mappings!$D$2:$E$6,2,FALSE)</f>
        <v>4</v>
      </c>
      <c r="J213" t="s">
        <v>10</v>
      </c>
      <c r="K213" t="s">
        <v>14</v>
      </c>
      <c r="L213" s="2">
        <f>VLOOKUP(K213,mappings!$A$2:$B$13,2,FALSE)</f>
        <v>6</v>
      </c>
      <c r="M213" t="s">
        <v>25</v>
      </c>
      <c r="N213" t="str">
        <f>VLOOKUP(E213,mappings!$L$1:$M$110,2,FALSE)</f>
        <v>No answer provided</v>
      </c>
      <c r="O213" t="str">
        <f>VLOOKUP(E213,mappings!L:O,3,FALSE)</f>
        <v>No answer provided</v>
      </c>
      <c r="P213" t="str">
        <f>VLOOKUP(E213,mappings!L:P,4,FALSE)</f>
        <v>No answer provided</v>
      </c>
    </row>
    <row r="214" spans="1:16" x14ac:dyDescent="0.2">
      <c r="A214">
        <v>213</v>
      </c>
      <c r="B214">
        <v>3879022427</v>
      </c>
      <c r="C214" t="s">
        <v>6</v>
      </c>
      <c r="D214" t="s">
        <v>1</v>
      </c>
      <c r="E214" t="s">
        <v>76</v>
      </c>
      <c r="F214" t="s">
        <v>22</v>
      </c>
      <c r="G214" s="2">
        <f>VLOOKUP(F214,mappings!$G$2:$H$6,2,FALSE)</f>
        <v>1</v>
      </c>
      <c r="H214" t="s">
        <v>43</v>
      </c>
      <c r="I214" s="2">
        <f>VLOOKUP(H214,mappings!$D$2:$E$6,2,FALSE)</f>
        <v>4</v>
      </c>
      <c r="J214" t="s">
        <v>36</v>
      </c>
      <c r="K214" t="s">
        <v>23</v>
      </c>
      <c r="L214" s="2">
        <f>VLOOKUP(K214,mappings!$A$2:$B$13,2,FALSE)</f>
        <v>3</v>
      </c>
      <c r="M214" t="s">
        <v>30</v>
      </c>
      <c r="N214" t="str">
        <f>VLOOKUP(E214,mappings!$L$1:$M$110,2,FALSE)</f>
        <v>Other or unknown</v>
      </c>
      <c r="O214" t="str">
        <f>VLOOKUP(E214,mappings!L:O,3,FALSE)</f>
        <v>App</v>
      </c>
      <c r="P214" t="str">
        <f>VLOOKUP(E214,mappings!L:P,4,FALSE)</f>
        <v>Android</v>
      </c>
    </row>
    <row r="215" spans="1:16" x14ac:dyDescent="0.2">
      <c r="A215">
        <v>214</v>
      </c>
      <c r="B215">
        <v>3879018623</v>
      </c>
      <c r="C215" t="s">
        <v>6</v>
      </c>
      <c r="D215" t="s">
        <v>21</v>
      </c>
      <c r="E215" t="s">
        <v>8</v>
      </c>
      <c r="F215" t="s">
        <v>16</v>
      </c>
      <c r="G215" s="2">
        <f>VLOOKUP(F215,mappings!$G$2:$H$6,2,FALSE)</f>
        <v>3</v>
      </c>
      <c r="H215" t="s">
        <v>43</v>
      </c>
      <c r="I215" s="2">
        <f>VLOOKUP(H215,mappings!$D$2:$E$6,2,FALSE)</f>
        <v>4</v>
      </c>
      <c r="J215" t="s">
        <v>36</v>
      </c>
      <c r="K215" t="s">
        <v>14</v>
      </c>
      <c r="L215" s="2">
        <f>VLOOKUP(K215,mappings!$A$2:$B$13,2,FALSE)</f>
        <v>6</v>
      </c>
      <c r="M215" t="s">
        <v>15</v>
      </c>
      <c r="N215" t="str">
        <f>VLOOKUP(E215,mappings!$L$1:$M$110,2,FALSE)</f>
        <v>No answer provided</v>
      </c>
      <c r="O215" t="str">
        <f>VLOOKUP(E215,mappings!L:O,3,FALSE)</f>
        <v>No answer provided</v>
      </c>
      <c r="P215" t="str">
        <f>VLOOKUP(E215,mappings!L:P,4,FALSE)</f>
        <v>No answer provided</v>
      </c>
    </row>
    <row r="216" spans="1:16" x14ac:dyDescent="0.2">
      <c r="A216">
        <v>215</v>
      </c>
      <c r="B216">
        <v>3879014394</v>
      </c>
      <c r="C216" t="s">
        <v>6</v>
      </c>
      <c r="D216" t="s">
        <v>1</v>
      </c>
      <c r="E216" t="s">
        <v>77</v>
      </c>
      <c r="F216" t="s">
        <v>28</v>
      </c>
      <c r="G216" s="2">
        <f>VLOOKUP(F216,mappings!$G$2:$H$6,2,FALSE)</f>
        <v>2</v>
      </c>
      <c r="H216" t="s">
        <v>43</v>
      </c>
      <c r="I216" s="2">
        <f>VLOOKUP(H216,mappings!$D$2:$E$6,2,FALSE)</f>
        <v>4</v>
      </c>
      <c r="J216" t="s">
        <v>10</v>
      </c>
      <c r="K216" t="s">
        <v>11</v>
      </c>
      <c r="L216" s="2">
        <f>VLOOKUP(K216,mappings!$A$2:$B$13,2,FALSE)</f>
        <v>4</v>
      </c>
      <c r="M216" t="s">
        <v>15</v>
      </c>
      <c r="N216" t="str">
        <f>VLOOKUP(E216,mappings!$L$1:$M$110,2,FALSE)</f>
        <v>Weatherbug</v>
      </c>
      <c r="O216" t="str">
        <f>VLOOKUP(E216,mappings!L:O,3,FALSE)</f>
        <v>Website</v>
      </c>
      <c r="P216" t="str">
        <f>VLOOKUP(E216,mappings!L:P,4,FALSE)</f>
        <v>Other or unkown</v>
      </c>
    </row>
    <row r="217" spans="1:16" x14ac:dyDescent="0.2">
      <c r="A217">
        <v>216</v>
      </c>
      <c r="B217">
        <v>3878997264</v>
      </c>
      <c r="C217" t="s">
        <v>6</v>
      </c>
      <c r="D217" t="s">
        <v>1</v>
      </c>
      <c r="E217" t="s">
        <v>78</v>
      </c>
      <c r="F217" t="s">
        <v>9</v>
      </c>
      <c r="G217" s="2">
        <f>VLOOKUP(F217,mappings!$G$2:$H$6,2,FALSE)</f>
        <v>4</v>
      </c>
      <c r="H217" t="s">
        <v>43</v>
      </c>
      <c r="I217" s="2">
        <f>VLOOKUP(H217,mappings!$D$2:$E$6,2,FALSE)</f>
        <v>4</v>
      </c>
      <c r="J217" t="s">
        <v>10</v>
      </c>
      <c r="K217" t="s">
        <v>39</v>
      </c>
      <c r="L217" s="2">
        <f>VLOOKUP(K217,mappings!$A$2:$B$13,2,FALSE)</f>
        <v>10</v>
      </c>
      <c r="M217" t="s">
        <v>15</v>
      </c>
      <c r="N217" t="str">
        <f>VLOOKUP(E217,mappings!$L$1:$M$110,2,FALSE)</f>
        <v>None</v>
      </c>
      <c r="O217" t="str">
        <f>VLOOKUP(E217,mappings!L:O,3,FALSE)</f>
        <v>App</v>
      </c>
      <c r="P217" t="str">
        <f>VLOOKUP(E217,mappings!L:P,4,FALSE)</f>
        <v>Other or unkown</v>
      </c>
    </row>
    <row r="218" spans="1:16" x14ac:dyDescent="0.2">
      <c r="A218">
        <v>217</v>
      </c>
      <c r="B218">
        <v>3878995654</v>
      </c>
      <c r="C218" t="s">
        <v>6</v>
      </c>
      <c r="D218" t="s">
        <v>27</v>
      </c>
      <c r="E218" t="s">
        <v>8</v>
      </c>
      <c r="F218" t="s">
        <v>22</v>
      </c>
      <c r="G218" s="2">
        <f>VLOOKUP(F218,mappings!$G$2:$H$6,2,FALSE)</f>
        <v>1</v>
      </c>
      <c r="H218" t="s">
        <v>163</v>
      </c>
      <c r="I218" s="2">
        <f>VLOOKUP(H218,mappings!$D$2:$E$6,2,FALSE)</f>
        <v>3</v>
      </c>
      <c r="J218" t="s">
        <v>10</v>
      </c>
      <c r="K218" t="s">
        <v>47</v>
      </c>
      <c r="L218" s="2">
        <f>VLOOKUP(K218,mappings!$A$2:$B$13,2,FALSE)</f>
        <v>9</v>
      </c>
      <c r="M218" t="s">
        <v>15</v>
      </c>
      <c r="N218" t="str">
        <f>VLOOKUP(E218,mappings!$L$1:$M$110,2,FALSE)</f>
        <v>No answer provided</v>
      </c>
      <c r="O218" t="str">
        <f>VLOOKUP(E218,mappings!L:O,3,FALSE)</f>
        <v>No answer provided</v>
      </c>
      <c r="P218" t="str">
        <f>VLOOKUP(E218,mappings!L:P,4,FALSE)</f>
        <v>No answer provided</v>
      </c>
    </row>
    <row r="219" spans="1:16" x14ac:dyDescent="0.2">
      <c r="A219">
        <v>218</v>
      </c>
      <c r="B219">
        <v>3878993313</v>
      </c>
      <c r="C219" t="s">
        <v>6</v>
      </c>
      <c r="D219" t="s">
        <v>31</v>
      </c>
      <c r="E219" t="s">
        <v>8</v>
      </c>
      <c r="F219" t="s">
        <v>22</v>
      </c>
      <c r="G219" s="2">
        <f>VLOOKUP(F219,mappings!$G$2:$H$6,2,FALSE)</f>
        <v>1</v>
      </c>
      <c r="H219" t="s">
        <v>43</v>
      </c>
      <c r="I219" s="2">
        <f>VLOOKUP(H219,mappings!$D$2:$E$6,2,FALSE)</f>
        <v>4</v>
      </c>
      <c r="J219" t="s">
        <v>36</v>
      </c>
      <c r="K219" t="s">
        <v>14</v>
      </c>
      <c r="L219" s="2">
        <f>VLOOKUP(K219,mappings!$A$2:$B$13,2,FALSE)</f>
        <v>6</v>
      </c>
      <c r="M219" t="s">
        <v>20</v>
      </c>
      <c r="N219" t="str">
        <f>VLOOKUP(E219,mappings!$L$1:$M$110,2,FALSE)</f>
        <v>No answer provided</v>
      </c>
      <c r="O219" t="str">
        <f>VLOOKUP(E219,mappings!L:O,3,FALSE)</f>
        <v>No answer provided</v>
      </c>
      <c r="P219" t="str">
        <f>VLOOKUP(E219,mappings!L:P,4,FALSE)</f>
        <v>No answer provided</v>
      </c>
    </row>
    <row r="220" spans="1:16" x14ac:dyDescent="0.2">
      <c r="A220">
        <v>219</v>
      </c>
      <c r="B220">
        <v>3878975679</v>
      </c>
      <c r="C220" t="s">
        <v>6</v>
      </c>
      <c r="D220" t="s">
        <v>31</v>
      </c>
      <c r="E220" t="s">
        <v>8</v>
      </c>
      <c r="F220" t="s">
        <v>28</v>
      </c>
      <c r="G220" s="2">
        <f>VLOOKUP(F220,mappings!$G$2:$H$6,2,FALSE)</f>
        <v>2</v>
      </c>
      <c r="H220" t="s">
        <v>43</v>
      </c>
      <c r="I220" s="2">
        <f>VLOOKUP(H220,mappings!$D$2:$E$6,2,FALSE)</f>
        <v>4</v>
      </c>
      <c r="J220" t="s">
        <v>36</v>
      </c>
      <c r="K220" t="s">
        <v>32</v>
      </c>
      <c r="L220" s="2">
        <f>VLOOKUP(K220,mappings!$A$2:$B$13,2,FALSE)</f>
        <v>2</v>
      </c>
      <c r="M220" t="s">
        <v>12</v>
      </c>
      <c r="N220" t="str">
        <f>VLOOKUP(E220,mappings!$L$1:$M$110,2,FALSE)</f>
        <v>No answer provided</v>
      </c>
      <c r="O220" t="str">
        <f>VLOOKUP(E220,mappings!L:O,3,FALSE)</f>
        <v>No answer provided</v>
      </c>
      <c r="P220" t="str">
        <f>VLOOKUP(E220,mappings!L:P,4,FALSE)</f>
        <v>No answer provided</v>
      </c>
    </row>
    <row r="221" spans="1:16" x14ac:dyDescent="0.2">
      <c r="A221">
        <v>220</v>
      </c>
      <c r="B221">
        <v>3878973380</v>
      </c>
      <c r="C221" t="s">
        <v>6</v>
      </c>
      <c r="D221" t="s">
        <v>21</v>
      </c>
      <c r="E221" t="s">
        <v>8</v>
      </c>
      <c r="F221" t="s">
        <v>9</v>
      </c>
      <c r="G221" s="2">
        <f>VLOOKUP(F221,mappings!$G$2:$H$6,2,FALSE)</f>
        <v>4</v>
      </c>
      <c r="H221" t="s">
        <v>163</v>
      </c>
      <c r="I221" s="2">
        <f>VLOOKUP(H221,mappings!$D$2:$E$6,2,FALSE)</f>
        <v>3</v>
      </c>
      <c r="J221" t="s">
        <v>10</v>
      </c>
      <c r="K221" t="s">
        <v>33</v>
      </c>
      <c r="L221" s="2">
        <f>VLOOKUP(K221,mappings!$A$2:$B$13,2,FALSE)</f>
        <v>5</v>
      </c>
      <c r="M221" t="s">
        <v>42</v>
      </c>
      <c r="N221" t="str">
        <f>VLOOKUP(E221,mappings!$L$1:$M$110,2,FALSE)</f>
        <v>No answer provided</v>
      </c>
      <c r="O221" t="str">
        <f>VLOOKUP(E221,mappings!L:O,3,FALSE)</f>
        <v>No answer provided</v>
      </c>
      <c r="P221" t="str">
        <f>VLOOKUP(E221,mappings!L:P,4,FALSE)</f>
        <v>No answer provided</v>
      </c>
    </row>
    <row r="222" spans="1:16" x14ac:dyDescent="0.2">
      <c r="A222">
        <v>221</v>
      </c>
      <c r="B222">
        <v>3878972273</v>
      </c>
      <c r="C222" t="s">
        <v>6</v>
      </c>
      <c r="D222" t="s">
        <v>7</v>
      </c>
      <c r="E222" t="s">
        <v>8</v>
      </c>
      <c r="F222" t="s">
        <v>22</v>
      </c>
      <c r="G222" s="2">
        <f>VLOOKUP(F222,mappings!$G$2:$H$6,2,FALSE)</f>
        <v>1</v>
      </c>
      <c r="H222" t="s">
        <v>163</v>
      </c>
      <c r="I222" s="2">
        <f>VLOOKUP(H222,mappings!$D$2:$E$6,2,FALSE)</f>
        <v>3</v>
      </c>
      <c r="J222" t="s">
        <v>10</v>
      </c>
      <c r="K222" t="s">
        <v>14</v>
      </c>
      <c r="L222" s="2">
        <f>VLOOKUP(K222,mappings!$A$2:$B$13,2,FALSE)</f>
        <v>6</v>
      </c>
      <c r="M222" t="s">
        <v>15</v>
      </c>
      <c r="N222" t="str">
        <f>VLOOKUP(E222,mappings!$L$1:$M$110,2,FALSE)</f>
        <v>No answer provided</v>
      </c>
      <c r="O222" t="str">
        <f>VLOOKUP(E222,mappings!L:O,3,FALSE)</f>
        <v>No answer provided</v>
      </c>
      <c r="P222" t="str">
        <f>VLOOKUP(E222,mappings!L:P,4,FALSE)</f>
        <v>No answer provided</v>
      </c>
    </row>
    <row r="223" spans="1:16" x14ac:dyDescent="0.2">
      <c r="A223">
        <v>222</v>
      </c>
      <c r="B223">
        <v>3878971737</v>
      </c>
      <c r="C223" t="s">
        <v>6</v>
      </c>
      <c r="D223" t="s">
        <v>21</v>
      </c>
      <c r="E223" t="s">
        <v>8</v>
      </c>
      <c r="F223" t="s">
        <v>9</v>
      </c>
      <c r="G223" s="2">
        <f>VLOOKUP(F223,mappings!$G$2:$H$6,2,FALSE)</f>
        <v>4</v>
      </c>
      <c r="H223" t="s">
        <v>43</v>
      </c>
      <c r="I223" s="2">
        <f>VLOOKUP(H223,mappings!$D$2:$E$6,2,FALSE)</f>
        <v>4</v>
      </c>
      <c r="J223" t="s">
        <v>36</v>
      </c>
      <c r="K223" t="s">
        <v>11</v>
      </c>
      <c r="L223" s="2">
        <f>VLOOKUP(K223,mappings!$A$2:$B$13,2,FALSE)</f>
        <v>4</v>
      </c>
      <c r="M223" t="s">
        <v>38</v>
      </c>
      <c r="N223" t="str">
        <f>VLOOKUP(E223,mappings!$L$1:$M$110,2,FALSE)</f>
        <v>No answer provided</v>
      </c>
      <c r="O223" t="str">
        <f>VLOOKUP(E223,mappings!L:O,3,FALSE)</f>
        <v>No answer provided</v>
      </c>
      <c r="P223" t="str">
        <f>VLOOKUP(E223,mappings!L:P,4,FALSE)</f>
        <v>No answer provided</v>
      </c>
    </row>
    <row r="224" spans="1:16" x14ac:dyDescent="0.2">
      <c r="A224">
        <v>223</v>
      </c>
      <c r="B224">
        <v>3878964663</v>
      </c>
      <c r="C224" t="s">
        <v>6</v>
      </c>
      <c r="D224" t="s">
        <v>41</v>
      </c>
      <c r="E224" t="s">
        <v>8</v>
      </c>
      <c r="F224" t="s">
        <v>28</v>
      </c>
      <c r="G224" s="2">
        <f>VLOOKUP(F224,mappings!$G$2:$H$6,2,FALSE)</f>
        <v>2</v>
      </c>
      <c r="H224" t="s">
        <v>43</v>
      </c>
      <c r="I224" s="2">
        <f>VLOOKUP(H224,mappings!$D$2:$E$6,2,FALSE)</f>
        <v>4</v>
      </c>
      <c r="J224" t="s">
        <v>36</v>
      </c>
      <c r="K224" t="s">
        <v>33</v>
      </c>
      <c r="L224" s="2">
        <f>VLOOKUP(K224,mappings!$A$2:$B$13,2,FALSE)</f>
        <v>5</v>
      </c>
      <c r="M224" t="s">
        <v>15</v>
      </c>
      <c r="N224" t="str">
        <f>VLOOKUP(E224,mappings!$L$1:$M$110,2,FALSE)</f>
        <v>No answer provided</v>
      </c>
      <c r="O224" t="str">
        <f>VLOOKUP(E224,mappings!L:O,3,FALSE)</f>
        <v>No answer provided</v>
      </c>
      <c r="P224" t="str">
        <f>VLOOKUP(E224,mappings!L:P,4,FALSE)</f>
        <v>No answer provided</v>
      </c>
    </row>
    <row r="225" spans="1:16" x14ac:dyDescent="0.2">
      <c r="A225">
        <v>224</v>
      </c>
      <c r="B225">
        <v>3878957212</v>
      </c>
      <c r="C225" t="s">
        <v>26</v>
      </c>
      <c r="D225" t="s">
        <v>31</v>
      </c>
      <c r="E225" t="s">
        <v>8</v>
      </c>
      <c r="F225" t="s">
        <v>22</v>
      </c>
      <c r="G225" s="2">
        <f>VLOOKUP(F225,mappings!$G$2:$H$6,2,FALSE)</f>
        <v>1</v>
      </c>
      <c r="H225" t="s">
        <v>163</v>
      </c>
      <c r="I225" s="2">
        <f>VLOOKUP(H225,mappings!$D$2:$E$6,2,FALSE)</f>
        <v>3</v>
      </c>
      <c r="J225" t="s">
        <v>10</v>
      </c>
      <c r="K225" t="s">
        <v>33</v>
      </c>
      <c r="L225" s="2">
        <f>VLOOKUP(K225,mappings!$A$2:$B$13,2,FALSE)</f>
        <v>5</v>
      </c>
      <c r="M225" t="s">
        <v>12</v>
      </c>
      <c r="N225" t="str">
        <f>VLOOKUP(E225,mappings!$L$1:$M$110,2,FALSE)</f>
        <v>No answer provided</v>
      </c>
      <c r="O225" t="str">
        <f>VLOOKUP(E225,mappings!L:O,3,FALSE)</f>
        <v>No answer provided</v>
      </c>
      <c r="P225" t="str">
        <f>VLOOKUP(E225,mappings!L:P,4,FALSE)</f>
        <v>No answer provided</v>
      </c>
    </row>
    <row r="226" spans="1:16" x14ac:dyDescent="0.2">
      <c r="A226">
        <v>225</v>
      </c>
      <c r="B226">
        <v>3878949789</v>
      </c>
      <c r="C226" t="s">
        <v>6</v>
      </c>
      <c r="D226" t="s">
        <v>1</v>
      </c>
      <c r="E226" t="s">
        <v>44</v>
      </c>
      <c r="F226" t="s">
        <v>16</v>
      </c>
      <c r="G226" s="2">
        <f>VLOOKUP(F226,mappings!$G$2:$H$6,2,FALSE)</f>
        <v>3</v>
      </c>
      <c r="H226" t="s">
        <v>43</v>
      </c>
      <c r="I226" s="2">
        <f>VLOOKUP(H226,mappings!$D$2:$E$6,2,FALSE)</f>
        <v>4</v>
      </c>
      <c r="J226" t="s">
        <v>10</v>
      </c>
      <c r="K226" t="s">
        <v>48</v>
      </c>
      <c r="L226" s="2">
        <f>VLOOKUP(K226,mappings!$A$2:$B$13,2,FALSE)</f>
        <v>7</v>
      </c>
      <c r="M226" t="s">
        <v>15</v>
      </c>
      <c r="N226" t="str">
        <f>VLOOKUP(E226,mappings!$L$1:$M$110,2,FALSE)</f>
        <v>Weatherbug</v>
      </c>
      <c r="O226" t="str">
        <f>VLOOKUP(E226,mappings!L:O,3,FALSE)</f>
        <v>Website</v>
      </c>
      <c r="P226" t="str">
        <f>VLOOKUP(E226,mappings!L:P,4,FALSE)</f>
        <v>Other or unkown</v>
      </c>
    </row>
    <row r="227" spans="1:16" x14ac:dyDescent="0.2">
      <c r="A227">
        <v>226</v>
      </c>
      <c r="B227">
        <v>3878945643</v>
      </c>
      <c r="C227" t="s">
        <v>6</v>
      </c>
      <c r="D227" t="s">
        <v>31</v>
      </c>
      <c r="E227" t="s">
        <v>8</v>
      </c>
      <c r="F227" t="s">
        <v>16</v>
      </c>
      <c r="G227" s="2">
        <f>VLOOKUP(F227,mappings!$G$2:$H$6,2,FALSE)</f>
        <v>3</v>
      </c>
      <c r="H227" t="s">
        <v>43</v>
      </c>
      <c r="I227" s="2">
        <f>VLOOKUP(H227,mappings!$D$2:$E$6,2,FALSE)</f>
        <v>4</v>
      </c>
      <c r="J227" t="s">
        <v>10</v>
      </c>
      <c r="K227" t="s">
        <v>23</v>
      </c>
      <c r="L227" s="2">
        <f>VLOOKUP(K227,mappings!$A$2:$B$13,2,FALSE)</f>
        <v>3</v>
      </c>
      <c r="M227" t="s">
        <v>15</v>
      </c>
      <c r="N227" t="str">
        <f>VLOOKUP(E227,mappings!$L$1:$M$110,2,FALSE)</f>
        <v>No answer provided</v>
      </c>
      <c r="O227" t="str">
        <f>VLOOKUP(E227,mappings!L:O,3,FALSE)</f>
        <v>No answer provided</v>
      </c>
      <c r="P227" t="str">
        <f>VLOOKUP(E227,mappings!L:P,4,FALSE)</f>
        <v>No answer provided</v>
      </c>
    </row>
    <row r="228" spans="1:16" x14ac:dyDescent="0.2">
      <c r="A228">
        <v>227</v>
      </c>
      <c r="B228">
        <v>3878940858</v>
      </c>
      <c r="C228" t="s">
        <v>6</v>
      </c>
      <c r="D228" t="s">
        <v>31</v>
      </c>
      <c r="E228" t="s">
        <v>8</v>
      </c>
      <c r="F228" t="s">
        <v>28</v>
      </c>
      <c r="G228" s="2">
        <f>VLOOKUP(F228,mappings!$G$2:$H$6,2,FALSE)</f>
        <v>2</v>
      </c>
      <c r="H228" t="s">
        <v>43</v>
      </c>
      <c r="I228" s="2">
        <f>VLOOKUP(H228,mappings!$D$2:$E$6,2,FALSE)</f>
        <v>4</v>
      </c>
      <c r="J228" t="s">
        <v>10</v>
      </c>
      <c r="K228" t="s">
        <v>29</v>
      </c>
      <c r="L228" s="2">
        <f>VLOOKUP(K228,mappings!$A$2:$B$13,2,FALSE)</f>
        <v>1</v>
      </c>
      <c r="M228" t="s">
        <v>8</v>
      </c>
      <c r="N228" t="str">
        <f>VLOOKUP(E228,mappings!$L$1:$M$110,2,FALSE)</f>
        <v>No answer provided</v>
      </c>
      <c r="O228" t="str">
        <f>VLOOKUP(E228,mappings!L:O,3,FALSE)</f>
        <v>No answer provided</v>
      </c>
      <c r="P228" t="str">
        <f>VLOOKUP(E228,mappings!L:P,4,FALSE)</f>
        <v>No answer provided</v>
      </c>
    </row>
    <row r="229" spans="1:16" x14ac:dyDescent="0.2">
      <c r="A229">
        <v>228</v>
      </c>
      <c r="B229">
        <v>3878922314</v>
      </c>
      <c r="C229" t="s">
        <v>6</v>
      </c>
      <c r="D229" t="s">
        <v>7</v>
      </c>
      <c r="E229" t="s">
        <v>8</v>
      </c>
      <c r="F229" t="s">
        <v>28</v>
      </c>
      <c r="G229" s="2">
        <f>VLOOKUP(F229,mappings!$G$2:$H$6,2,FALSE)</f>
        <v>2</v>
      </c>
      <c r="H229" t="s">
        <v>163</v>
      </c>
      <c r="I229" s="2">
        <f>VLOOKUP(H229,mappings!$D$2:$E$6,2,FALSE)</f>
        <v>3</v>
      </c>
      <c r="J229" t="s">
        <v>10</v>
      </c>
      <c r="K229" t="s">
        <v>47</v>
      </c>
      <c r="L229" s="2">
        <f>VLOOKUP(K229,mappings!$A$2:$B$13,2,FALSE)</f>
        <v>9</v>
      </c>
      <c r="M229" t="s">
        <v>30</v>
      </c>
      <c r="N229" t="str">
        <f>VLOOKUP(E229,mappings!$L$1:$M$110,2,FALSE)</f>
        <v>No answer provided</v>
      </c>
      <c r="O229" t="str">
        <f>VLOOKUP(E229,mappings!L:O,3,FALSE)</f>
        <v>No answer provided</v>
      </c>
      <c r="P229" t="str">
        <f>VLOOKUP(E229,mappings!L:P,4,FALSE)</f>
        <v>No answer provided</v>
      </c>
    </row>
    <row r="230" spans="1:16" x14ac:dyDescent="0.2">
      <c r="A230">
        <v>229</v>
      </c>
      <c r="B230">
        <v>3878908574</v>
      </c>
      <c r="C230" t="s">
        <v>6</v>
      </c>
      <c r="D230" t="s">
        <v>21</v>
      </c>
      <c r="E230" t="s">
        <v>8</v>
      </c>
      <c r="F230" t="s">
        <v>9</v>
      </c>
      <c r="G230" s="2">
        <f>VLOOKUP(F230,mappings!$G$2:$H$6,2,FALSE)</f>
        <v>4</v>
      </c>
      <c r="H230" t="s">
        <v>163</v>
      </c>
      <c r="I230" s="2">
        <f>VLOOKUP(H230,mappings!$D$2:$E$6,2,FALSE)</f>
        <v>3</v>
      </c>
      <c r="J230" t="s">
        <v>10</v>
      </c>
      <c r="K230" t="s">
        <v>47</v>
      </c>
      <c r="L230" s="2">
        <f>VLOOKUP(K230,mappings!$A$2:$B$13,2,FALSE)</f>
        <v>9</v>
      </c>
      <c r="M230" t="s">
        <v>25</v>
      </c>
      <c r="N230" t="str">
        <f>VLOOKUP(E230,mappings!$L$1:$M$110,2,FALSE)</f>
        <v>No answer provided</v>
      </c>
      <c r="O230" t="str">
        <f>VLOOKUP(E230,mappings!L:O,3,FALSE)</f>
        <v>No answer provided</v>
      </c>
      <c r="P230" t="str">
        <f>VLOOKUP(E230,mappings!L:P,4,FALSE)</f>
        <v>No answer provided</v>
      </c>
    </row>
    <row r="231" spans="1:16" x14ac:dyDescent="0.2">
      <c r="A231">
        <v>230</v>
      </c>
      <c r="B231">
        <v>3878851367</v>
      </c>
      <c r="C231" t="s">
        <v>6</v>
      </c>
      <c r="D231" t="s">
        <v>27</v>
      </c>
      <c r="E231" t="s">
        <v>8</v>
      </c>
      <c r="F231" t="s">
        <v>9</v>
      </c>
      <c r="G231" s="2">
        <f>VLOOKUP(F231,mappings!$G$2:$H$6,2,FALSE)</f>
        <v>4</v>
      </c>
      <c r="H231" t="s">
        <v>43</v>
      </c>
      <c r="I231" s="2">
        <f>VLOOKUP(H231,mappings!$D$2:$E$6,2,FALSE)</f>
        <v>4</v>
      </c>
      <c r="J231" t="s">
        <v>36</v>
      </c>
      <c r="K231" t="s">
        <v>13</v>
      </c>
      <c r="L231" s="2">
        <f>VLOOKUP(K231,mappings!$A$2:$B$13,2,FALSE)</f>
        <v>11</v>
      </c>
      <c r="M231" t="s">
        <v>30</v>
      </c>
      <c r="N231" t="str">
        <f>VLOOKUP(E231,mappings!$L$1:$M$110,2,FALSE)</f>
        <v>No answer provided</v>
      </c>
      <c r="O231" t="str">
        <f>VLOOKUP(E231,mappings!L:O,3,FALSE)</f>
        <v>No answer provided</v>
      </c>
      <c r="P231" t="str">
        <f>VLOOKUP(E231,mappings!L:P,4,FALSE)</f>
        <v>No answer provided</v>
      </c>
    </row>
    <row r="232" spans="1:16" x14ac:dyDescent="0.2">
      <c r="A232">
        <v>231</v>
      </c>
      <c r="B232">
        <v>3878801345</v>
      </c>
      <c r="C232" t="s">
        <v>6</v>
      </c>
      <c r="D232" t="s">
        <v>31</v>
      </c>
      <c r="E232" t="s">
        <v>8</v>
      </c>
      <c r="F232" t="s">
        <v>9</v>
      </c>
      <c r="G232" s="2">
        <f>VLOOKUP(F232,mappings!$G$2:$H$6,2,FALSE)</f>
        <v>4</v>
      </c>
      <c r="H232" t="s">
        <v>43</v>
      </c>
      <c r="I232" s="2">
        <f>VLOOKUP(H232,mappings!$D$2:$E$6,2,FALSE)</f>
        <v>4</v>
      </c>
      <c r="J232" t="s">
        <v>10</v>
      </c>
      <c r="K232" t="s">
        <v>14</v>
      </c>
      <c r="L232" s="2">
        <f>VLOOKUP(K232,mappings!$A$2:$B$13,2,FALSE)</f>
        <v>6</v>
      </c>
      <c r="M232" t="s">
        <v>12</v>
      </c>
      <c r="N232" t="str">
        <f>VLOOKUP(E232,mappings!$L$1:$M$110,2,FALSE)</f>
        <v>No answer provided</v>
      </c>
      <c r="O232" t="str">
        <f>VLOOKUP(E232,mappings!L:O,3,FALSE)</f>
        <v>No answer provided</v>
      </c>
      <c r="P232" t="str">
        <f>VLOOKUP(E232,mappings!L:P,4,FALSE)</f>
        <v>No answer provided</v>
      </c>
    </row>
    <row r="233" spans="1:16" x14ac:dyDescent="0.2">
      <c r="A233">
        <v>232</v>
      </c>
      <c r="B233">
        <v>3878776250</v>
      </c>
      <c r="C233" t="s">
        <v>6</v>
      </c>
      <c r="D233" t="s">
        <v>31</v>
      </c>
      <c r="E233" t="s">
        <v>8</v>
      </c>
      <c r="F233" t="s">
        <v>22</v>
      </c>
      <c r="G233" s="2">
        <f>VLOOKUP(F233,mappings!$G$2:$H$6,2,FALSE)</f>
        <v>1</v>
      </c>
      <c r="H233" t="s">
        <v>43</v>
      </c>
      <c r="I233" s="2">
        <f>VLOOKUP(H233,mappings!$D$2:$E$6,2,FALSE)</f>
        <v>4</v>
      </c>
      <c r="J233" t="s">
        <v>10</v>
      </c>
      <c r="K233" t="s">
        <v>13</v>
      </c>
      <c r="L233" s="2">
        <f>VLOOKUP(K233,mappings!$A$2:$B$13,2,FALSE)</f>
        <v>11</v>
      </c>
      <c r="M233" t="s">
        <v>12</v>
      </c>
      <c r="N233" t="str">
        <f>VLOOKUP(E233,mappings!$L$1:$M$110,2,FALSE)</f>
        <v>No answer provided</v>
      </c>
      <c r="O233" t="str">
        <f>VLOOKUP(E233,mappings!L:O,3,FALSE)</f>
        <v>No answer provided</v>
      </c>
      <c r="P233" t="str">
        <f>VLOOKUP(E233,mappings!L:P,4,FALSE)</f>
        <v>No answer provided</v>
      </c>
    </row>
    <row r="234" spans="1:16" x14ac:dyDescent="0.2">
      <c r="A234">
        <v>233</v>
      </c>
      <c r="B234">
        <v>3878773688</v>
      </c>
      <c r="C234" t="s">
        <v>6</v>
      </c>
      <c r="D234" t="s">
        <v>7</v>
      </c>
      <c r="E234" t="s">
        <v>8</v>
      </c>
      <c r="F234" t="s">
        <v>9</v>
      </c>
      <c r="G234" s="2">
        <f>VLOOKUP(F234,mappings!$G$2:$H$6,2,FALSE)</f>
        <v>4</v>
      </c>
      <c r="H234" t="s">
        <v>163</v>
      </c>
      <c r="I234" s="2">
        <f>VLOOKUP(H234,mappings!$D$2:$E$6,2,FALSE)</f>
        <v>3</v>
      </c>
      <c r="J234" t="s">
        <v>10</v>
      </c>
      <c r="K234" t="s">
        <v>11</v>
      </c>
      <c r="L234" s="2">
        <f>VLOOKUP(K234,mappings!$A$2:$B$13,2,FALSE)</f>
        <v>4</v>
      </c>
      <c r="M234" t="s">
        <v>30</v>
      </c>
      <c r="N234" t="str">
        <f>VLOOKUP(E234,mappings!$L$1:$M$110,2,FALSE)</f>
        <v>No answer provided</v>
      </c>
      <c r="O234" t="str">
        <f>VLOOKUP(E234,mappings!L:O,3,FALSE)</f>
        <v>No answer provided</v>
      </c>
      <c r="P234" t="str">
        <f>VLOOKUP(E234,mappings!L:P,4,FALSE)</f>
        <v>No answer provided</v>
      </c>
    </row>
    <row r="235" spans="1:16" x14ac:dyDescent="0.2">
      <c r="A235">
        <v>234</v>
      </c>
      <c r="B235">
        <v>3878724412</v>
      </c>
      <c r="C235" t="s">
        <v>6</v>
      </c>
      <c r="D235" t="s">
        <v>27</v>
      </c>
      <c r="E235" t="s">
        <v>8</v>
      </c>
      <c r="F235" t="s">
        <v>22</v>
      </c>
      <c r="G235" s="2">
        <f>VLOOKUP(F235,mappings!$G$2:$H$6,2,FALSE)</f>
        <v>1</v>
      </c>
      <c r="H235" t="s">
        <v>163</v>
      </c>
      <c r="I235" s="2">
        <f>VLOOKUP(H235,mappings!$D$2:$E$6,2,FALSE)</f>
        <v>3</v>
      </c>
      <c r="J235" t="s">
        <v>10</v>
      </c>
      <c r="K235" t="s">
        <v>14</v>
      </c>
      <c r="L235" s="2">
        <f>VLOOKUP(K235,mappings!$A$2:$B$13,2,FALSE)</f>
        <v>6</v>
      </c>
      <c r="M235" t="s">
        <v>20</v>
      </c>
      <c r="N235" t="str">
        <f>VLOOKUP(E235,mappings!$L$1:$M$110,2,FALSE)</f>
        <v>No answer provided</v>
      </c>
      <c r="O235" t="str">
        <f>VLOOKUP(E235,mappings!L:O,3,FALSE)</f>
        <v>No answer provided</v>
      </c>
      <c r="P235" t="str">
        <f>VLOOKUP(E235,mappings!L:P,4,FALSE)</f>
        <v>No answer provided</v>
      </c>
    </row>
    <row r="236" spans="1:16" x14ac:dyDescent="0.2">
      <c r="A236">
        <v>235</v>
      </c>
      <c r="B236">
        <v>3878675581</v>
      </c>
      <c r="C236" t="s">
        <v>6</v>
      </c>
      <c r="D236" t="s">
        <v>7</v>
      </c>
      <c r="E236" t="s">
        <v>8</v>
      </c>
      <c r="F236" t="s">
        <v>9</v>
      </c>
      <c r="G236" s="2">
        <f>VLOOKUP(F236,mappings!$G$2:$H$6,2,FALSE)</f>
        <v>4</v>
      </c>
      <c r="H236" t="s">
        <v>162</v>
      </c>
      <c r="I236" s="2">
        <f>VLOOKUP(H236,mappings!$D$2:$E$6,2,FALSE)</f>
        <v>1</v>
      </c>
      <c r="J236" t="s">
        <v>10</v>
      </c>
      <c r="K236" t="s">
        <v>32</v>
      </c>
      <c r="L236" s="2">
        <f>VLOOKUP(K236,mappings!$A$2:$B$13,2,FALSE)</f>
        <v>2</v>
      </c>
      <c r="M236" t="s">
        <v>15</v>
      </c>
      <c r="N236" t="str">
        <f>VLOOKUP(E236,mappings!$L$1:$M$110,2,FALSE)</f>
        <v>No answer provided</v>
      </c>
      <c r="O236" t="str">
        <f>VLOOKUP(E236,mappings!L:O,3,FALSE)</f>
        <v>No answer provided</v>
      </c>
      <c r="P236" t="str">
        <f>VLOOKUP(E236,mappings!L:P,4,FALSE)</f>
        <v>No answer provided</v>
      </c>
    </row>
    <row r="237" spans="1:16" x14ac:dyDescent="0.2">
      <c r="A237">
        <v>236</v>
      </c>
      <c r="B237">
        <v>3878672825</v>
      </c>
      <c r="C237" t="s">
        <v>6</v>
      </c>
      <c r="D237" t="s">
        <v>1</v>
      </c>
      <c r="E237" t="s">
        <v>70</v>
      </c>
      <c r="F237" t="s">
        <v>16</v>
      </c>
      <c r="G237" s="2">
        <f>VLOOKUP(F237,mappings!$G$2:$H$6,2,FALSE)</f>
        <v>3</v>
      </c>
      <c r="H237" t="s">
        <v>161</v>
      </c>
      <c r="I237" s="2">
        <f>VLOOKUP(H237,mappings!$D$2:$E$6,2,FALSE)</f>
        <v>2</v>
      </c>
      <c r="J237" t="s">
        <v>36</v>
      </c>
      <c r="K237" t="s">
        <v>14</v>
      </c>
      <c r="L237" s="2">
        <f>VLOOKUP(K237,mappings!$A$2:$B$13,2,FALSE)</f>
        <v>6</v>
      </c>
      <c r="M237" t="s">
        <v>24</v>
      </c>
      <c r="N237" t="str">
        <f>VLOOKUP(E237,mappings!$L$1:$M$110,2,FALSE)</f>
        <v>AccuWeather</v>
      </c>
      <c r="O237" t="str">
        <f>VLOOKUP(E237,mappings!L:O,3,FALSE)</f>
        <v>Website</v>
      </c>
      <c r="P237" t="str">
        <f>VLOOKUP(E237,mappings!L:P,4,FALSE)</f>
        <v>Other or unkown</v>
      </c>
    </row>
    <row r="238" spans="1:16" x14ac:dyDescent="0.2">
      <c r="A238">
        <v>237</v>
      </c>
      <c r="B238">
        <v>3878664404</v>
      </c>
      <c r="C238" t="s">
        <v>6</v>
      </c>
      <c r="D238" t="s">
        <v>51</v>
      </c>
      <c r="E238" t="s">
        <v>8</v>
      </c>
      <c r="F238" t="s">
        <v>9</v>
      </c>
      <c r="G238" s="2">
        <f>VLOOKUP(F238,mappings!$G$2:$H$6,2,FALSE)</f>
        <v>4</v>
      </c>
      <c r="H238" t="s">
        <v>43</v>
      </c>
      <c r="I238" s="2">
        <f>VLOOKUP(H238,mappings!$D$2:$E$6,2,FALSE)</f>
        <v>4</v>
      </c>
      <c r="J238" t="s">
        <v>10</v>
      </c>
      <c r="K238" t="s">
        <v>11</v>
      </c>
      <c r="L238" s="2">
        <f>VLOOKUP(K238,mappings!$A$2:$B$13,2,FALSE)</f>
        <v>4</v>
      </c>
      <c r="M238" t="s">
        <v>24</v>
      </c>
      <c r="N238" t="str">
        <f>VLOOKUP(E238,mappings!$L$1:$M$110,2,FALSE)</f>
        <v>No answer provided</v>
      </c>
      <c r="O238" t="str">
        <f>VLOOKUP(E238,mappings!L:O,3,FALSE)</f>
        <v>No answer provided</v>
      </c>
      <c r="P238" t="str">
        <f>VLOOKUP(E238,mappings!L:P,4,FALSE)</f>
        <v>No answer provided</v>
      </c>
    </row>
    <row r="239" spans="1:16" x14ac:dyDescent="0.2">
      <c r="A239">
        <v>238</v>
      </c>
      <c r="B239">
        <v>3878664002</v>
      </c>
      <c r="C239" t="s">
        <v>6</v>
      </c>
      <c r="D239" t="s">
        <v>1</v>
      </c>
      <c r="E239" t="s">
        <v>79</v>
      </c>
      <c r="F239" t="s">
        <v>28</v>
      </c>
      <c r="G239" s="2">
        <f>VLOOKUP(F239,mappings!$G$2:$H$6,2,FALSE)</f>
        <v>2</v>
      </c>
      <c r="H239" t="s">
        <v>43</v>
      </c>
      <c r="I239" s="2">
        <f>VLOOKUP(H239,mappings!$D$2:$E$6,2,FALSE)</f>
        <v>4</v>
      </c>
      <c r="J239" t="s">
        <v>10</v>
      </c>
      <c r="K239" t="s">
        <v>23</v>
      </c>
      <c r="L239" s="2">
        <f>VLOOKUP(K239,mappings!$A$2:$B$13,2,FALSE)</f>
        <v>3</v>
      </c>
      <c r="M239" t="s">
        <v>30</v>
      </c>
      <c r="N239" t="str">
        <f>VLOOKUP(E239,mappings!$L$1:$M$110,2,FALSE)</f>
        <v>Other search engines</v>
      </c>
      <c r="O239" t="str">
        <f>VLOOKUP(E239,mappings!L:O,3,FALSE)</f>
        <v>Website</v>
      </c>
      <c r="P239" t="str">
        <f>VLOOKUP(E239,mappings!L:P,4,FALSE)</f>
        <v>Other or unkown</v>
      </c>
    </row>
    <row r="240" spans="1:16" x14ac:dyDescent="0.2">
      <c r="A240">
        <v>239</v>
      </c>
      <c r="B240">
        <v>3878617605</v>
      </c>
      <c r="C240" t="s">
        <v>26</v>
      </c>
      <c r="D240" t="s">
        <v>41</v>
      </c>
      <c r="E240" t="s">
        <v>8</v>
      </c>
      <c r="F240" t="s">
        <v>22</v>
      </c>
      <c r="G240" s="2">
        <f>VLOOKUP(F240,mappings!$G$2:$H$6,2,FALSE)</f>
        <v>1</v>
      </c>
      <c r="H240" t="s">
        <v>163</v>
      </c>
      <c r="I240" s="2">
        <f>VLOOKUP(H240,mappings!$D$2:$E$6,2,FALSE)</f>
        <v>3</v>
      </c>
      <c r="J240" t="s">
        <v>10</v>
      </c>
      <c r="K240" t="s">
        <v>13</v>
      </c>
      <c r="L240" s="2">
        <f>VLOOKUP(K240,mappings!$A$2:$B$13,2,FALSE)</f>
        <v>11</v>
      </c>
      <c r="M240" t="s">
        <v>24</v>
      </c>
      <c r="N240" t="str">
        <f>VLOOKUP(E240,mappings!$L$1:$M$110,2,FALSE)</f>
        <v>No answer provided</v>
      </c>
      <c r="O240" t="str">
        <f>VLOOKUP(E240,mappings!L:O,3,FALSE)</f>
        <v>No answer provided</v>
      </c>
      <c r="P240" t="str">
        <f>VLOOKUP(E240,mappings!L:P,4,FALSE)</f>
        <v>No answer provided</v>
      </c>
    </row>
    <row r="241" spans="1:16" x14ac:dyDescent="0.2">
      <c r="A241">
        <v>240</v>
      </c>
      <c r="B241">
        <v>3878604937</v>
      </c>
      <c r="C241" t="s">
        <v>26</v>
      </c>
      <c r="D241" t="s">
        <v>27</v>
      </c>
      <c r="E241" t="s">
        <v>8</v>
      </c>
      <c r="F241" t="s">
        <v>16</v>
      </c>
      <c r="G241" s="2">
        <f>VLOOKUP(F241,mappings!$G$2:$H$6,2,FALSE)</f>
        <v>3</v>
      </c>
      <c r="H241" t="s">
        <v>163</v>
      </c>
      <c r="I241" s="2">
        <f>VLOOKUP(H241,mappings!$D$2:$E$6,2,FALSE)</f>
        <v>3</v>
      </c>
      <c r="J241" t="s">
        <v>10</v>
      </c>
      <c r="K241" t="s">
        <v>14</v>
      </c>
      <c r="L241" s="2">
        <f>VLOOKUP(K241,mappings!$A$2:$B$13,2,FALSE)</f>
        <v>6</v>
      </c>
      <c r="M241" t="s">
        <v>15</v>
      </c>
      <c r="N241" t="str">
        <f>VLOOKUP(E241,mappings!$L$1:$M$110,2,FALSE)</f>
        <v>No answer provided</v>
      </c>
      <c r="O241" t="str">
        <f>VLOOKUP(E241,mappings!L:O,3,FALSE)</f>
        <v>No answer provided</v>
      </c>
      <c r="P241" t="str">
        <f>VLOOKUP(E241,mappings!L:P,4,FALSE)</f>
        <v>No answer provided</v>
      </c>
    </row>
    <row r="242" spans="1:16" x14ac:dyDescent="0.2">
      <c r="A242">
        <v>241</v>
      </c>
      <c r="B242">
        <v>3878604458</v>
      </c>
      <c r="C242" t="s">
        <v>6</v>
      </c>
      <c r="D242" t="s">
        <v>31</v>
      </c>
      <c r="E242" t="s">
        <v>8</v>
      </c>
      <c r="F242" t="s">
        <v>16</v>
      </c>
      <c r="G242" s="2">
        <f>VLOOKUP(F242,mappings!$G$2:$H$6,2,FALSE)</f>
        <v>3</v>
      </c>
      <c r="H242" t="s">
        <v>161</v>
      </c>
      <c r="I242" s="2">
        <f>VLOOKUP(H242,mappings!$D$2:$E$6,2,FALSE)</f>
        <v>2</v>
      </c>
      <c r="J242" t="s">
        <v>36</v>
      </c>
      <c r="K242" t="s">
        <v>29</v>
      </c>
      <c r="L242" s="2">
        <f>VLOOKUP(K242,mappings!$A$2:$B$13,2,FALSE)</f>
        <v>1</v>
      </c>
      <c r="M242" t="s">
        <v>42</v>
      </c>
      <c r="N242" t="str">
        <f>VLOOKUP(E242,mappings!$L$1:$M$110,2,FALSE)</f>
        <v>No answer provided</v>
      </c>
      <c r="O242" t="str">
        <f>VLOOKUP(E242,mappings!L:O,3,FALSE)</f>
        <v>No answer provided</v>
      </c>
      <c r="P242" t="str">
        <f>VLOOKUP(E242,mappings!L:P,4,FALSE)</f>
        <v>No answer provided</v>
      </c>
    </row>
    <row r="243" spans="1:16" x14ac:dyDescent="0.2">
      <c r="A243">
        <v>242</v>
      </c>
      <c r="B243">
        <v>3878594142</v>
      </c>
      <c r="C243" t="s">
        <v>26</v>
      </c>
      <c r="D243" t="s">
        <v>40</v>
      </c>
      <c r="E243" t="s">
        <v>8</v>
      </c>
      <c r="F243" t="s">
        <v>22</v>
      </c>
      <c r="G243" s="2">
        <f>VLOOKUP(F243,mappings!$G$2:$H$6,2,FALSE)</f>
        <v>1</v>
      </c>
      <c r="H243" t="s">
        <v>161</v>
      </c>
      <c r="I243" s="2">
        <f>VLOOKUP(H243,mappings!$D$2:$E$6,2,FALSE)</f>
        <v>2</v>
      </c>
      <c r="J243" t="s">
        <v>36</v>
      </c>
      <c r="K243" t="s">
        <v>32</v>
      </c>
      <c r="L243" s="2">
        <f>VLOOKUP(K243,mappings!$A$2:$B$13,2,FALSE)</f>
        <v>2</v>
      </c>
      <c r="M243" t="s">
        <v>8</v>
      </c>
      <c r="N243" t="str">
        <f>VLOOKUP(E243,mappings!$L$1:$M$110,2,FALSE)</f>
        <v>No answer provided</v>
      </c>
      <c r="O243" t="str">
        <f>VLOOKUP(E243,mappings!L:O,3,FALSE)</f>
        <v>No answer provided</v>
      </c>
      <c r="P243" t="str">
        <f>VLOOKUP(E243,mappings!L:P,4,FALSE)</f>
        <v>No answer provided</v>
      </c>
    </row>
    <row r="244" spans="1:16" x14ac:dyDescent="0.2">
      <c r="A244">
        <v>243</v>
      </c>
      <c r="B244">
        <v>3878581130</v>
      </c>
      <c r="C244" t="s">
        <v>6</v>
      </c>
      <c r="D244" t="s">
        <v>31</v>
      </c>
      <c r="E244" t="s">
        <v>8</v>
      </c>
      <c r="F244" t="s">
        <v>16</v>
      </c>
      <c r="G244" s="2">
        <f>VLOOKUP(F244,mappings!$G$2:$H$6,2,FALSE)</f>
        <v>3</v>
      </c>
      <c r="H244" t="s">
        <v>43</v>
      </c>
      <c r="I244" s="2">
        <f>VLOOKUP(H244,mappings!$D$2:$E$6,2,FALSE)</f>
        <v>4</v>
      </c>
      <c r="J244" t="s">
        <v>36</v>
      </c>
      <c r="K244" t="s">
        <v>33</v>
      </c>
      <c r="L244" s="2">
        <f>VLOOKUP(K244,mappings!$A$2:$B$13,2,FALSE)</f>
        <v>5</v>
      </c>
      <c r="M244" t="s">
        <v>30</v>
      </c>
      <c r="N244" t="str">
        <f>VLOOKUP(E244,mappings!$L$1:$M$110,2,FALSE)</f>
        <v>No answer provided</v>
      </c>
      <c r="O244" t="str">
        <f>VLOOKUP(E244,mappings!L:O,3,FALSE)</f>
        <v>No answer provided</v>
      </c>
      <c r="P244" t="str">
        <f>VLOOKUP(E244,mappings!L:P,4,FALSE)</f>
        <v>No answer provided</v>
      </c>
    </row>
    <row r="245" spans="1:16" x14ac:dyDescent="0.2">
      <c r="A245">
        <v>244</v>
      </c>
      <c r="B245">
        <v>3878580386</v>
      </c>
      <c r="C245" t="s">
        <v>6</v>
      </c>
      <c r="D245" t="s">
        <v>7</v>
      </c>
      <c r="E245" t="s">
        <v>8</v>
      </c>
      <c r="F245" t="s">
        <v>16</v>
      </c>
      <c r="G245" s="2">
        <f>VLOOKUP(F245,mappings!$G$2:$H$6,2,FALSE)</f>
        <v>3</v>
      </c>
      <c r="H245" t="s">
        <v>161</v>
      </c>
      <c r="I245" s="2">
        <f>VLOOKUP(H245,mappings!$D$2:$E$6,2,FALSE)</f>
        <v>2</v>
      </c>
      <c r="J245" t="s">
        <v>36</v>
      </c>
      <c r="K245" t="s">
        <v>32</v>
      </c>
      <c r="L245" s="2">
        <f>VLOOKUP(K245,mappings!$A$2:$B$13,2,FALSE)</f>
        <v>2</v>
      </c>
      <c r="M245" t="s">
        <v>24</v>
      </c>
      <c r="N245" t="str">
        <f>VLOOKUP(E245,mappings!$L$1:$M$110,2,FALSE)</f>
        <v>No answer provided</v>
      </c>
      <c r="O245" t="str">
        <f>VLOOKUP(E245,mappings!L:O,3,FALSE)</f>
        <v>No answer provided</v>
      </c>
      <c r="P245" t="str">
        <f>VLOOKUP(E245,mappings!L:P,4,FALSE)</f>
        <v>No answer provided</v>
      </c>
    </row>
    <row r="246" spans="1:16" x14ac:dyDescent="0.2">
      <c r="A246">
        <v>245</v>
      </c>
      <c r="B246">
        <v>3878574698</v>
      </c>
      <c r="C246" t="s">
        <v>6</v>
      </c>
      <c r="D246" t="s">
        <v>1</v>
      </c>
      <c r="E246" t="s">
        <v>80</v>
      </c>
      <c r="F246" t="s">
        <v>22</v>
      </c>
      <c r="G246" s="2">
        <f>VLOOKUP(F246,mappings!$G$2:$H$6,2,FALSE)</f>
        <v>1</v>
      </c>
      <c r="H246" t="s">
        <v>161</v>
      </c>
      <c r="I246" s="2">
        <f>VLOOKUP(H246,mappings!$D$2:$E$6,2,FALSE)</f>
        <v>2</v>
      </c>
      <c r="J246" t="s">
        <v>36</v>
      </c>
      <c r="K246" t="s">
        <v>32</v>
      </c>
      <c r="L246" s="2">
        <f>VLOOKUP(K246,mappings!$A$2:$B$13,2,FALSE)</f>
        <v>2</v>
      </c>
      <c r="M246" t="s">
        <v>24</v>
      </c>
      <c r="N246" t="str">
        <f>VLOOKUP(E246,mappings!$L$1:$M$110,2,FALSE)</f>
        <v>NOAA</v>
      </c>
      <c r="O246" t="str">
        <f>VLOOKUP(E246,mappings!L:O,3,FALSE)</f>
        <v>Website</v>
      </c>
      <c r="P246" t="str">
        <f>VLOOKUP(E246,mappings!L:P,4,FALSE)</f>
        <v>Other or unkown</v>
      </c>
    </row>
    <row r="247" spans="1:16" x14ac:dyDescent="0.2">
      <c r="A247">
        <v>246</v>
      </c>
      <c r="B247">
        <v>3878562127</v>
      </c>
      <c r="C247" t="s">
        <v>26</v>
      </c>
      <c r="D247" t="s">
        <v>31</v>
      </c>
      <c r="E247" t="s">
        <v>8</v>
      </c>
      <c r="F247" t="s">
        <v>22</v>
      </c>
      <c r="G247" s="2">
        <f>VLOOKUP(F247,mappings!$G$2:$H$6,2,FALSE)</f>
        <v>1</v>
      </c>
      <c r="H247" t="s">
        <v>43</v>
      </c>
      <c r="I247" s="2">
        <f>VLOOKUP(H247,mappings!$D$2:$E$6,2,FALSE)</f>
        <v>4</v>
      </c>
      <c r="J247" t="s">
        <v>10</v>
      </c>
      <c r="K247" t="s">
        <v>13</v>
      </c>
      <c r="L247" s="2">
        <f>VLOOKUP(K247,mappings!$A$2:$B$13,2,FALSE)</f>
        <v>11</v>
      </c>
      <c r="M247" t="s">
        <v>24</v>
      </c>
      <c r="N247" t="str">
        <f>VLOOKUP(E247,mappings!$L$1:$M$110,2,FALSE)</f>
        <v>No answer provided</v>
      </c>
      <c r="O247" t="str">
        <f>VLOOKUP(E247,mappings!L:O,3,FALSE)</f>
        <v>No answer provided</v>
      </c>
      <c r="P247" t="str">
        <f>VLOOKUP(E247,mappings!L:P,4,FALSE)</f>
        <v>No answer provided</v>
      </c>
    </row>
    <row r="248" spans="1:16" x14ac:dyDescent="0.2">
      <c r="A248">
        <v>247</v>
      </c>
      <c r="B248">
        <v>3878555115</v>
      </c>
      <c r="C248" t="s">
        <v>6</v>
      </c>
      <c r="D248" t="s">
        <v>1</v>
      </c>
      <c r="E248" t="s">
        <v>66</v>
      </c>
      <c r="F248" t="s">
        <v>16</v>
      </c>
      <c r="G248" s="2">
        <f>VLOOKUP(F248,mappings!$G$2:$H$6,2,FALSE)</f>
        <v>3</v>
      </c>
      <c r="H248" t="s">
        <v>161</v>
      </c>
      <c r="I248" s="2">
        <f>VLOOKUP(H248,mappings!$D$2:$E$6,2,FALSE)</f>
        <v>2</v>
      </c>
      <c r="J248" t="s">
        <v>36</v>
      </c>
      <c r="K248" t="s">
        <v>13</v>
      </c>
      <c r="L248" s="2">
        <f>VLOOKUP(K248,mappings!$A$2:$B$13,2,FALSE)</f>
        <v>11</v>
      </c>
      <c r="M248" t="s">
        <v>24</v>
      </c>
      <c r="N248" t="str">
        <f>VLOOKUP(E248,mappings!$L$1:$M$110,2,FALSE)</f>
        <v>Weatherbug</v>
      </c>
      <c r="O248" t="str">
        <f>VLOOKUP(E248,mappings!L:O,3,FALSE)</f>
        <v>Website</v>
      </c>
      <c r="P248" t="str">
        <f>VLOOKUP(E248,mappings!L:P,4,FALSE)</f>
        <v>Other or unkown</v>
      </c>
    </row>
    <row r="249" spans="1:16" x14ac:dyDescent="0.2">
      <c r="A249">
        <v>248</v>
      </c>
      <c r="B249">
        <v>3878547877</v>
      </c>
      <c r="C249" t="s">
        <v>26</v>
      </c>
      <c r="D249" t="s">
        <v>27</v>
      </c>
      <c r="E249" t="s">
        <v>8</v>
      </c>
      <c r="F249" t="s">
        <v>28</v>
      </c>
      <c r="G249" s="2">
        <f>VLOOKUP(F249,mappings!$G$2:$H$6,2,FALSE)</f>
        <v>2</v>
      </c>
      <c r="H249" t="s">
        <v>43</v>
      </c>
      <c r="I249" s="2">
        <f>VLOOKUP(H249,mappings!$D$2:$E$6,2,FALSE)</f>
        <v>4</v>
      </c>
      <c r="J249" t="s">
        <v>36</v>
      </c>
      <c r="K249" t="s">
        <v>11</v>
      </c>
      <c r="L249" s="2">
        <f>VLOOKUP(K249,mappings!$A$2:$B$13,2,FALSE)</f>
        <v>4</v>
      </c>
      <c r="M249" t="s">
        <v>24</v>
      </c>
      <c r="N249" t="str">
        <f>VLOOKUP(E249,mappings!$L$1:$M$110,2,FALSE)</f>
        <v>No answer provided</v>
      </c>
      <c r="O249" t="str">
        <f>VLOOKUP(E249,mappings!L:O,3,FALSE)</f>
        <v>No answer provided</v>
      </c>
      <c r="P249" t="str">
        <f>VLOOKUP(E249,mappings!L:P,4,FALSE)</f>
        <v>No answer provided</v>
      </c>
    </row>
    <row r="250" spans="1:16" x14ac:dyDescent="0.2">
      <c r="A250">
        <v>249</v>
      </c>
      <c r="B250">
        <v>3878539231</v>
      </c>
      <c r="C250" t="s">
        <v>26</v>
      </c>
      <c r="D250" t="s">
        <v>27</v>
      </c>
      <c r="E250" t="s">
        <v>8</v>
      </c>
      <c r="F250" t="s">
        <v>16</v>
      </c>
      <c r="G250" s="2">
        <f>VLOOKUP(F250,mappings!$G$2:$H$6,2,FALSE)</f>
        <v>3</v>
      </c>
      <c r="H250" t="s">
        <v>163</v>
      </c>
      <c r="I250" s="2">
        <f>VLOOKUP(H250,mappings!$D$2:$E$6,2,FALSE)</f>
        <v>3</v>
      </c>
      <c r="J250" t="s">
        <v>10</v>
      </c>
      <c r="K250" t="s">
        <v>14</v>
      </c>
      <c r="L250" s="2">
        <f>VLOOKUP(K250,mappings!$A$2:$B$13,2,FALSE)</f>
        <v>6</v>
      </c>
      <c r="M250" t="s">
        <v>12</v>
      </c>
      <c r="N250" t="str">
        <f>VLOOKUP(E250,mappings!$L$1:$M$110,2,FALSE)</f>
        <v>No answer provided</v>
      </c>
      <c r="O250" t="str">
        <f>VLOOKUP(E250,mappings!L:O,3,FALSE)</f>
        <v>No answer provided</v>
      </c>
      <c r="P250" t="str">
        <f>VLOOKUP(E250,mappings!L:P,4,FALSE)</f>
        <v>No answer provided</v>
      </c>
    </row>
    <row r="251" spans="1:16" x14ac:dyDescent="0.2">
      <c r="A251">
        <v>250</v>
      </c>
      <c r="B251">
        <v>3878537531</v>
      </c>
      <c r="C251" t="s">
        <v>26</v>
      </c>
      <c r="D251" t="s">
        <v>7</v>
      </c>
      <c r="E251" t="s">
        <v>8</v>
      </c>
      <c r="F251" t="s">
        <v>22</v>
      </c>
      <c r="G251" s="2">
        <f>VLOOKUP(F251,mappings!$G$2:$H$6,2,FALSE)</f>
        <v>1</v>
      </c>
      <c r="H251" t="s">
        <v>43</v>
      </c>
      <c r="I251" s="2">
        <f>VLOOKUP(H251,mappings!$D$2:$E$6,2,FALSE)</f>
        <v>4</v>
      </c>
      <c r="J251" t="s">
        <v>10</v>
      </c>
      <c r="K251" t="s">
        <v>13</v>
      </c>
      <c r="L251" s="2">
        <f>VLOOKUP(K251,mappings!$A$2:$B$13,2,FALSE)</f>
        <v>11</v>
      </c>
      <c r="M251" t="s">
        <v>24</v>
      </c>
      <c r="N251" t="str">
        <f>VLOOKUP(E251,mappings!$L$1:$M$110,2,FALSE)</f>
        <v>No answer provided</v>
      </c>
      <c r="O251" t="str">
        <f>VLOOKUP(E251,mappings!L:O,3,FALSE)</f>
        <v>No answer provided</v>
      </c>
      <c r="P251" t="str">
        <f>VLOOKUP(E251,mappings!L:P,4,FALSE)</f>
        <v>No answer provided</v>
      </c>
    </row>
    <row r="252" spans="1:16" x14ac:dyDescent="0.2">
      <c r="A252">
        <v>251</v>
      </c>
      <c r="B252">
        <v>3878536105</v>
      </c>
      <c r="C252" t="s">
        <v>6</v>
      </c>
      <c r="D252" t="s">
        <v>1</v>
      </c>
      <c r="E252" t="s">
        <v>81</v>
      </c>
      <c r="F252" t="s">
        <v>16</v>
      </c>
      <c r="G252" s="2">
        <f>VLOOKUP(F252,mappings!$G$2:$H$6,2,FALSE)</f>
        <v>3</v>
      </c>
      <c r="H252" t="s">
        <v>161</v>
      </c>
      <c r="I252" s="2">
        <f>VLOOKUP(H252,mappings!$D$2:$E$6,2,FALSE)</f>
        <v>2</v>
      </c>
      <c r="J252" t="s">
        <v>36</v>
      </c>
      <c r="K252" t="s">
        <v>32</v>
      </c>
      <c r="L252" s="2">
        <f>VLOOKUP(K252,mappings!$A$2:$B$13,2,FALSE)</f>
        <v>2</v>
      </c>
      <c r="M252" t="s">
        <v>24</v>
      </c>
      <c r="N252" t="str">
        <f>VLOOKUP(E252,mappings!$L$1:$M$110,2,FALSE)</f>
        <v>Other or unknown</v>
      </c>
      <c r="O252" t="str">
        <f>VLOOKUP(E252,mappings!L:O,3,FALSE)</f>
        <v>App</v>
      </c>
      <c r="P252" t="str">
        <f>VLOOKUP(E252,mappings!L:P,4,FALSE)</f>
        <v>Android</v>
      </c>
    </row>
    <row r="253" spans="1:16" x14ac:dyDescent="0.2">
      <c r="A253">
        <v>252</v>
      </c>
      <c r="B253">
        <v>3878534855</v>
      </c>
      <c r="C253" t="s">
        <v>6</v>
      </c>
      <c r="D253" t="s">
        <v>40</v>
      </c>
      <c r="E253" t="s">
        <v>8</v>
      </c>
      <c r="F253" t="s">
        <v>22</v>
      </c>
      <c r="G253" s="2">
        <f>VLOOKUP(F253,mappings!$G$2:$H$6,2,FALSE)</f>
        <v>1</v>
      </c>
      <c r="H253" t="s">
        <v>43</v>
      </c>
      <c r="I253" s="2">
        <f>VLOOKUP(H253,mappings!$D$2:$E$6,2,FALSE)</f>
        <v>4</v>
      </c>
      <c r="J253" t="s">
        <v>36</v>
      </c>
      <c r="K253" t="s">
        <v>14</v>
      </c>
      <c r="L253" s="2">
        <f>VLOOKUP(K253,mappings!$A$2:$B$13,2,FALSE)</f>
        <v>6</v>
      </c>
      <c r="M253" t="s">
        <v>24</v>
      </c>
      <c r="N253" t="str">
        <f>VLOOKUP(E253,mappings!$L$1:$M$110,2,FALSE)</f>
        <v>No answer provided</v>
      </c>
      <c r="O253" t="str">
        <f>VLOOKUP(E253,mappings!L:O,3,FALSE)</f>
        <v>No answer provided</v>
      </c>
      <c r="P253" t="str">
        <f>VLOOKUP(E253,mappings!L:P,4,FALSE)</f>
        <v>No answer provided</v>
      </c>
    </row>
    <row r="254" spans="1:16" x14ac:dyDescent="0.2">
      <c r="A254">
        <v>253</v>
      </c>
      <c r="B254">
        <v>3878533095</v>
      </c>
      <c r="C254" t="s">
        <v>6</v>
      </c>
      <c r="D254" t="s">
        <v>7</v>
      </c>
      <c r="E254" t="s">
        <v>8</v>
      </c>
      <c r="F254" t="s">
        <v>9</v>
      </c>
      <c r="G254" s="2">
        <f>VLOOKUP(F254,mappings!$G$2:$H$6,2,FALSE)</f>
        <v>4</v>
      </c>
      <c r="H254" t="s">
        <v>161</v>
      </c>
      <c r="I254" s="2">
        <f>VLOOKUP(H254,mappings!$D$2:$E$6,2,FALSE)</f>
        <v>2</v>
      </c>
      <c r="J254" t="s">
        <v>36</v>
      </c>
      <c r="K254" t="s">
        <v>29</v>
      </c>
      <c r="L254" s="2">
        <f>VLOOKUP(K254,mappings!$A$2:$B$13,2,FALSE)</f>
        <v>1</v>
      </c>
      <c r="M254" t="s">
        <v>25</v>
      </c>
      <c r="N254" t="str">
        <f>VLOOKUP(E254,mappings!$L$1:$M$110,2,FALSE)</f>
        <v>No answer provided</v>
      </c>
      <c r="O254" t="str">
        <f>VLOOKUP(E254,mappings!L:O,3,FALSE)</f>
        <v>No answer provided</v>
      </c>
      <c r="P254" t="str">
        <f>VLOOKUP(E254,mappings!L:P,4,FALSE)</f>
        <v>No answer provided</v>
      </c>
    </row>
    <row r="255" spans="1:16" x14ac:dyDescent="0.2">
      <c r="A255">
        <v>254</v>
      </c>
      <c r="B255">
        <v>3878527607</v>
      </c>
      <c r="C255" t="s">
        <v>26</v>
      </c>
      <c r="D255" t="s">
        <v>7</v>
      </c>
      <c r="E255" t="s">
        <v>8</v>
      </c>
      <c r="F255" t="s">
        <v>28</v>
      </c>
      <c r="G255" s="2">
        <f>VLOOKUP(F255,mappings!$G$2:$H$6,2,FALSE)</f>
        <v>2</v>
      </c>
      <c r="H255" t="s">
        <v>43</v>
      </c>
      <c r="I255" s="2">
        <f>VLOOKUP(H255,mappings!$D$2:$E$6,2,FALSE)</f>
        <v>4</v>
      </c>
      <c r="J255" t="s">
        <v>36</v>
      </c>
      <c r="K255" t="s">
        <v>11</v>
      </c>
      <c r="L255" s="2">
        <f>VLOOKUP(K255,mappings!$A$2:$B$13,2,FALSE)</f>
        <v>4</v>
      </c>
      <c r="M255" t="s">
        <v>24</v>
      </c>
      <c r="N255" t="str">
        <f>VLOOKUP(E255,mappings!$L$1:$M$110,2,FALSE)</f>
        <v>No answer provided</v>
      </c>
      <c r="O255" t="str">
        <f>VLOOKUP(E255,mappings!L:O,3,FALSE)</f>
        <v>No answer provided</v>
      </c>
      <c r="P255" t="str">
        <f>VLOOKUP(E255,mappings!L:P,4,FALSE)</f>
        <v>No answer provided</v>
      </c>
    </row>
    <row r="256" spans="1:16" x14ac:dyDescent="0.2">
      <c r="A256">
        <v>255</v>
      </c>
      <c r="B256">
        <v>3878526543</v>
      </c>
      <c r="C256" t="s">
        <v>6</v>
      </c>
      <c r="D256" t="s">
        <v>1</v>
      </c>
      <c r="E256" t="s">
        <v>82</v>
      </c>
      <c r="F256" t="s">
        <v>9</v>
      </c>
      <c r="G256" s="2">
        <f>VLOOKUP(F256,mappings!$G$2:$H$6,2,FALSE)</f>
        <v>4</v>
      </c>
      <c r="H256" t="s">
        <v>43</v>
      </c>
      <c r="I256" s="2">
        <f>VLOOKUP(H256,mappings!$D$2:$E$6,2,FALSE)</f>
        <v>4</v>
      </c>
      <c r="J256" t="s">
        <v>10</v>
      </c>
      <c r="K256" t="s">
        <v>39</v>
      </c>
      <c r="L256" s="2">
        <f>VLOOKUP(K256,mappings!$A$2:$B$13,2,FALSE)</f>
        <v>10</v>
      </c>
      <c r="M256" t="s">
        <v>15</v>
      </c>
      <c r="N256" t="str">
        <f>VLOOKUP(E256,mappings!$L$1:$M$110,2,FALSE)</f>
        <v>Other or unknown</v>
      </c>
      <c r="O256" t="str">
        <f>VLOOKUP(E256,mappings!L:O,3,FALSE)</f>
        <v>Website</v>
      </c>
      <c r="P256" t="str">
        <f>VLOOKUP(E256,mappings!L:P,4,FALSE)</f>
        <v>Other or unkown</v>
      </c>
    </row>
    <row r="257" spans="1:16" x14ac:dyDescent="0.2">
      <c r="A257">
        <v>256</v>
      </c>
      <c r="B257">
        <v>3878522121</v>
      </c>
      <c r="C257" t="s">
        <v>6</v>
      </c>
      <c r="D257" t="s">
        <v>21</v>
      </c>
      <c r="E257" t="s">
        <v>8</v>
      </c>
      <c r="F257" t="s">
        <v>22</v>
      </c>
      <c r="G257" s="2">
        <f>VLOOKUP(F257,mappings!$G$2:$H$6,2,FALSE)</f>
        <v>1</v>
      </c>
      <c r="H257" t="s">
        <v>163</v>
      </c>
      <c r="I257" s="2">
        <f>VLOOKUP(H257,mappings!$D$2:$E$6,2,FALSE)</f>
        <v>3</v>
      </c>
      <c r="J257" t="s">
        <v>10</v>
      </c>
      <c r="K257" t="s">
        <v>23</v>
      </c>
      <c r="L257" s="2">
        <f>VLOOKUP(K257,mappings!$A$2:$B$13,2,FALSE)</f>
        <v>3</v>
      </c>
      <c r="M257" t="s">
        <v>15</v>
      </c>
      <c r="N257" t="str">
        <f>VLOOKUP(E257,mappings!$L$1:$M$110,2,FALSE)</f>
        <v>No answer provided</v>
      </c>
      <c r="O257" t="str">
        <f>VLOOKUP(E257,mappings!L:O,3,FALSE)</f>
        <v>No answer provided</v>
      </c>
      <c r="P257" t="str">
        <f>VLOOKUP(E257,mappings!L:P,4,FALSE)</f>
        <v>No answer provided</v>
      </c>
    </row>
    <row r="258" spans="1:16" x14ac:dyDescent="0.2">
      <c r="A258">
        <v>257</v>
      </c>
      <c r="B258">
        <v>3878521585</v>
      </c>
      <c r="C258" t="s">
        <v>26</v>
      </c>
      <c r="D258" t="s">
        <v>1</v>
      </c>
      <c r="E258" t="s">
        <v>83</v>
      </c>
      <c r="F258" t="s">
        <v>28</v>
      </c>
      <c r="G258" s="2">
        <f>VLOOKUP(F258,mappings!$G$2:$H$6,2,FALSE)</f>
        <v>2</v>
      </c>
      <c r="H258" t="s">
        <v>161</v>
      </c>
      <c r="I258" s="2">
        <f>VLOOKUP(H258,mappings!$D$2:$E$6,2,FALSE)</f>
        <v>2</v>
      </c>
      <c r="J258" t="s">
        <v>36</v>
      </c>
      <c r="K258" t="s">
        <v>32</v>
      </c>
      <c r="L258" s="2">
        <f>VLOOKUP(K258,mappings!$A$2:$B$13,2,FALSE)</f>
        <v>2</v>
      </c>
      <c r="M258" t="s">
        <v>24</v>
      </c>
      <c r="N258" t="str">
        <f>VLOOKUP(E258,mappings!$L$1:$M$110,2,FALSE)</f>
        <v>Yahoo</v>
      </c>
      <c r="O258" t="str">
        <f>VLOOKUP(E258,mappings!L:O,3,FALSE)</f>
        <v>App</v>
      </c>
      <c r="P258" t="str">
        <f>VLOOKUP(E258,mappings!L:P,4,FALSE)</f>
        <v>Apple</v>
      </c>
    </row>
    <row r="259" spans="1:16" x14ac:dyDescent="0.2">
      <c r="A259">
        <v>258</v>
      </c>
      <c r="B259">
        <v>3878520921</v>
      </c>
      <c r="C259" t="s">
        <v>6</v>
      </c>
      <c r="D259" t="s">
        <v>7</v>
      </c>
      <c r="E259" t="s">
        <v>8</v>
      </c>
      <c r="F259" t="s">
        <v>9</v>
      </c>
      <c r="G259" s="2">
        <f>VLOOKUP(F259,mappings!$G$2:$H$6,2,FALSE)</f>
        <v>4</v>
      </c>
      <c r="H259" t="s">
        <v>43</v>
      </c>
      <c r="I259" s="2">
        <f>VLOOKUP(H259,mappings!$D$2:$E$6,2,FALSE)</f>
        <v>4</v>
      </c>
      <c r="J259" t="s">
        <v>36</v>
      </c>
      <c r="K259" t="s">
        <v>47</v>
      </c>
      <c r="L259" s="2">
        <f>VLOOKUP(K259,mappings!$A$2:$B$13,2,FALSE)</f>
        <v>9</v>
      </c>
      <c r="M259" t="s">
        <v>24</v>
      </c>
      <c r="N259" t="str">
        <f>VLOOKUP(E259,mappings!$L$1:$M$110,2,FALSE)</f>
        <v>No answer provided</v>
      </c>
      <c r="O259" t="str">
        <f>VLOOKUP(E259,mappings!L:O,3,FALSE)</f>
        <v>No answer provided</v>
      </c>
      <c r="P259" t="str">
        <f>VLOOKUP(E259,mappings!L:P,4,FALSE)</f>
        <v>No answer provided</v>
      </c>
    </row>
    <row r="260" spans="1:16" x14ac:dyDescent="0.2">
      <c r="A260">
        <v>259</v>
      </c>
      <c r="B260">
        <v>3878517202</v>
      </c>
      <c r="C260" t="s">
        <v>6</v>
      </c>
      <c r="D260" t="s">
        <v>27</v>
      </c>
      <c r="E260" t="s">
        <v>8</v>
      </c>
      <c r="F260" t="s">
        <v>16</v>
      </c>
      <c r="G260" s="2">
        <f>VLOOKUP(F260,mappings!$G$2:$H$6,2,FALSE)</f>
        <v>3</v>
      </c>
      <c r="H260" t="s">
        <v>43</v>
      </c>
      <c r="I260" s="2">
        <f>VLOOKUP(H260,mappings!$D$2:$E$6,2,FALSE)</f>
        <v>4</v>
      </c>
      <c r="J260" t="s">
        <v>36</v>
      </c>
      <c r="K260" t="s">
        <v>11</v>
      </c>
      <c r="L260" s="2">
        <f>VLOOKUP(K260,mappings!$A$2:$B$13,2,FALSE)</f>
        <v>4</v>
      </c>
      <c r="M260" t="s">
        <v>30</v>
      </c>
      <c r="N260" t="str">
        <f>VLOOKUP(E260,mappings!$L$1:$M$110,2,FALSE)</f>
        <v>No answer provided</v>
      </c>
      <c r="O260" t="str">
        <f>VLOOKUP(E260,mappings!L:O,3,FALSE)</f>
        <v>No answer provided</v>
      </c>
      <c r="P260" t="str">
        <f>VLOOKUP(E260,mappings!L:P,4,FALSE)</f>
        <v>No answer provided</v>
      </c>
    </row>
    <row r="261" spans="1:16" x14ac:dyDescent="0.2">
      <c r="A261">
        <v>260</v>
      </c>
      <c r="B261">
        <v>3878516380</v>
      </c>
      <c r="C261" t="s">
        <v>6</v>
      </c>
      <c r="D261" t="s">
        <v>1</v>
      </c>
      <c r="E261" t="s">
        <v>84</v>
      </c>
      <c r="F261" t="s">
        <v>16</v>
      </c>
      <c r="G261" s="2">
        <f>VLOOKUP(F261,mappings!$G$2:$H$6,2,FALSE)</f>
        <v>3</v>
      </c>
      <c r="H261" t="s">
        <v>161</v>
      </c>
      <c r="I261" s="2">
        <f>VLOOKUP(H261,mappings!$D$2:$E$6,2,FALSE)</f>
        <v>2</v>
      </c>
      <c r="J261" t="s">
        <v>36</v>
      </c>
      <c r="K261" t="s">
        <v>13</v>
      </c>
      <c r="L261" s="2">
        <f>VLOOKUP(K261,mappings!$A$2:$B$13,2,FALSE)</f>
        <v>11</v>
      </c>
      <c r="M261" t="s">
        <v>8</v>
      </c>
      <c r="N261" t="str">
        <f>VLOOKUP(E261,mappings!$L$1:$M$110,2,FALSE)</f>
        <v>Other weather site</v>
      </c>
      <c r="O261" t="str">
        <f>VLOOKUP(E261,mappings!L:O,3,FALSE)</f>
        <v>Website</v>
      </c>
      <c r="P261" t="str">
        <f>VLOOKUP(E261,mappings!L:P,4,FALSE)</f>
        <v>Other or unkown</v>
      </c>
    </row>
    <row r="262" spans="1:16" x14ac:dyDescent="0.2">
      <c r="A262">
        <v>261</v>
      </c>
      <c r="B262">
        <v>3878513419</v>
      </c>
      <c r="C262" t="s">
        <v>26</v>
      </c>
      <c r="D262" t="s">
        <v>7</v>
      </c>
      <c r="E262" t="s">
        <v>8</v>
      </c>
      <c r="F262" t="s">
        <v>22</v>
      </c>
      <c r="G262" s="2">
        <f>VLOOKUP(F262,mappings!$G$2:$H$6,2,FALSE)</f>
        <v>1</v>
      </c>
      <c r="H262" t="s">
        <v>43</v>
      </c>
      <c r="I262" s="2">
        <f>VLOOKUP(H262,mappings!$D$2:$E$6,2,FALSE)</f>
        <v>4</v>
      </c>
      <c r="J262" t="s">
        <v>10</v>
      </c>
      <c r="K262" t="s">
        <v>13</v>
      </c>
      <c r="L262" s="2">
        <f>VLOOKUP(K262,mappings!$A$2:$B$13,2,FALSE)</f>
        <v>11</v>
      </c>
      <c r="M262" t="s">
        <v>24</v>
      </c>
      <c r="N262" t="str">
        <f>VLOOKUP(E262,mappings!$L$1:$M$110,2,FALSE)</f>
        <v>No answer provided</v>
      </c>
      <c r="O262" t="str">
        <f>VLOOKUP(E262,mappings!L:O,3,FALSE)</f>
        <v>No answer provided</v>
      </c>
      <c r="P262" t="str">
        <f>VLOOKUP(E262,mappings!L:P,4,FALSE)</f>
        <v>No answer provided</v>
      </c>
    </row>
    <row r="263" spans="1:16" x14ac:dyDescent="0.2">
      <c r="A263">
        <v>262</v>
      </c>
      <c r="B263">
        <v>3878510837</v>
      </c>
      <c r="C263" t="s">
        <v>26</v>
      </c>
      <c r="D263" t="s">
        <v>7</v>
      </c>
      <c r="E263" t="s">
        <v>8</v>
      </c>
      <c r="F263" t="s">
        <v>22</v>
      </c>
      <c r="G263" s="2">
        <f>VLOOKUP(F263,mappings!$G$2:$H$6,2,FALSE)</f>
        <v>1</v>
      </c>
      <c r="H263" t="s">
        <v>161</v>
      </c>
      <c r="I263" s="2">
        <f>VLOOKUP(H263,mappings!$D$2:$E$6,2,FALSE)</f>
        <v>2</v>
      </c>
      <c r="J263" t="s">
        <v>36</v>
      </c>
      <c r="K263" t="s">
        <v>23</v>
      </c>
      <c r="L263" s="2">
        <f>VLOOKUP(K263,mappings!$A$2:$B$13,2,FALSE)</f>
        <v>3</v>
      </c>
      <c r="M263" t="s">
        <v>24</v>
      </c>
      <c r="N263" t="str">
        <f>VLOOKUP(E263,mappings!$L$1:$M$110,2,FALSE)</f>
        <v>No answer provided</v>
      </c>
      <c r="O263" t="str">
        <f>VLOOKUP(E263,mappings!L:O,3,FALSE)</f>
        <v>No answer provided</v>
      </c>
      <c r="P263" t="str">
        <f>VLOOKUP(E263,mappings!L:P,4,FALSE)</f>
        <v>No answer provided</v>
      </c>
    </row>
    <row r="264" spans="1:16" x14ac:dyDescent="0.2">
      <c r="A264">
        <v>263</v>
      </c>
      <c r="B264">
        <v>3878488034</v>
      </c>
      <c r="C264" t="s">
        <v>6</v>
      </c>
      <c r="D264" t="s">
        <v>7</v>
      </c>
      <c r="E264" t="s">
        <v>8</v>
      </c>
      <c r="F264" t="s">
        <v>9</v>
      </c>
      <c r="G264" s="2">
        <f>VLOOKUP(F264,mappings!$G$2:$H$6,2,FALSE)</f>
        <v>4</v>
      </c>
      <c r="H264" t="s">
        <v>43</v>
      </c>
      <c r="I264" s="2">
        <f>VLOOKUP(H264,mappings!$D$2:$E$6,2,FALSE)</f>
        <v>4</v>
      </c>
      <c r="J264" t="s">
        <v>10</v>
      </c>
      <c r="K264" t="s">
        <v>14</v>
      </c>
      <c r="L264" s="2">
        <f>VLOOKUP(K264,mappings!$A$2:$B$13,2,FALSE)</f>
        <v>6</v>
      </c>
      <c r="M264" t="s">
        <v>24</v>
      </c>
      <c r="N264" t="str">
        <f>VLOOKUP(E264,mappings!$L$1:$M$110,2,FALSE)</f>
        <v>No answer provided</v>
      </c>
      <c r="O264" t="str">
        <f>VLOOKUP(E264,mappings!L:O,3,FALSE)</f>
        <v>No answer provided</v>
      </c>
      <c r="P264" t="str">
        <f>VLOOKUP(E264,mappings!L:P,4,FALSE)</f>
        <v>No answer provided</v>
      </c>
    </row>
    <row r="265" spans="1:16" x14ac:dyDescent="0.2">
      <c r="A265">
        <v>264</v>
      </c>
      <c r="B265">
        <v>3878487715</v>
      </c>
      <c r="C265" t="s">
        <v>6</v>
      </c>
      <c r="D265" t="s">
        <v>40</v>
      </c>
      <c r="E265" t="s">
        <v>8</v>
      </c>
      <c r="F265" t="s">
        <v>16</v>
      </c>
      <c r="G265" s="2">
        <f>VLOOKUP(F265,mappings!$G$2:$H$6,2,FALSE)</f>
        <v>3</v>
      </c>
      <c r="H265" t="s">
        <v>43</v>
      </c>
      <c r="I265" s="2">
        <f>VLOOKUP(H265,mappings!$D$2:$E$6,2,FALSE)</f>
        <v>4</v>
      </c>
      <c r="J265" t="s">
        <v>36</v>
      </c>
      <c r="K265" t="s">
        <v>13</v>
      </c>
      <c r="L265" s="2">
        <f>VLOOKUP(K265,mappings!$A$2:$B$13,2,FALSE)</f>
        <v>11</v>
      </c>
      <c r="M265" t="s">
        <v>24</v>
      </c>
      <c r="N265" t="str">
        <f>VLOOKUP(E265,mappings!$L$1:$M$110,2,FALSE)</f>
        <v>No answer provided</v>
      </c>
      <c r="O265" t="str">
        <f>VLOOKUP(E265,mappings!L:O,3,FALSE)</f>
        <v>No answer provided</v>
      </c>
      <c r="P265" t="str">
        <f>VLOOKUP(E265,mappings!L:P,4,FALSE)</f>
        <v>No answer provided</v>
      </c>
    </row>
    <row r="266" spans="1:16" x14ac:dyDescent="0.2">
      <c r="A266">
        <v>265</v>
      </c>
      <c r="B266">
        <v>3878487142</v>
      </c>
      <c r="C266" t="s">
        <v>26</v>
      </c>
      <c r="D266" t="s">
        <v>27</v>
      </c>
      <c r="E266" t="s">
        <v>8</v>
      </c>
      <c r="F266" t="s">
        <v>22</v>
      </c>
      <c r="G266" s="2">
        <f>VLOOKUP(F266,mappings!$G$2:$H$6,2,FALSE)</f>
        <v>1</v>
      </c>
      <c r="H266" t="s">
        <v>43</v>
      </c>
      <c r="I266" s="2">
        <f>VLOOKUP(H266,mappings!$D$2:$E$6,2,FALSE)</f>
        <v>4</v>
      </c>
      <c r="J266" t="s">
        <v>36</v>
      </c>
      <c r="K266" t="s">
        <v>14</v>
      </c>
      <c r="L266" s="2">
        <f>VLOOKUP(K266,mappings!$A$2:$B$13,2,FALSE)</f>
        <v>6</v>
      </c>
      <c r="M266" t="s">
        <v>25</v>
      </c>
      <c r="N266" t="str">
        <f>VLOOKUP(E266,mappings!$L$1:$M$110,2,FALSE)</f>
        <v>No answer provided</v>
      </c>
      <c r="O266" t="str">
        <f>VLOOKUP(E266,mappings!L:O,3,FALSE)</f>
        <v>No answer provided</v>
      </c>
      <c r="P266" t="str">
        <f>VLOOKUP(E266,mappings!L:P,4,FALSE)</f>
        <v>No answer provided</v>
      </c>
    </row>
    <row r="267" spans="1:16" x14ac:dyDescent="0.2">
      <c r="A267">
        <v>266</v>
      </c>
      <c r="B267">
        <v>3878483534</v>
      </c>
      <c r="C267" t="s">
        <v>26</v>
      </c>
      <c r="D267" t="s">
        <v>27</v>
      </c>
      <c r="E267" t="s">
        <v>8</v>
      </c>
      <c r="F267" t="s">
        <v>16</v>
      </c>
      <c r="G267" s="2">
        <f>VLOOKUP(F267,mappings!$G$2:$H$6,2,FALSE)</f>
        <v>3</v>
      </c>
      <c r="H267" t="s">
        <v>43</v>
      </c>
      <c r="I267" s="2">
        <f>VLOOKUP(H267,mappings!$D$2:$E$6,2,FALSE)</f>
        <v>4</v>
      </c>
      <c r="J267" t="s">
        <v>10</v>
      </c>
      <c r="K267" t="s">
        <v>13</v>
      </c>
      <c r="L267" s="2">
        <f>VLOOKUP(K267,mappings!$A$2:$B$13,2,FALSE)</f>
        <v>11</v>
      </c>
      <c r="M267" t="s">
        <v>24</v>
      </c>
      <c r="N267" t="str">
        <f>VLOOKUP(E267,mappings!$L$1:$M$110,2,FALSE)</f>
        <v>No answer provided</v>
      </c>
      <c r="O267" t="str">
        <f>VLOOKUP(E267,mappings!L:O,3,FALSE)</f>
        <v>No answer provided</v>
      </c>
      <c r="P267" t="str">
        <f>VLOOKUP(E267,mappings!L:P,4,FALSE)</f>
        <v>No answer provided</v>
      </c>
    </row>
    <row r="268" spans="1:16" x14ac:dyDescent="0.2">
      <c r="A268">
        <v>267</v>
      </c>
      <c r="B268">
        <v>3878479362</v>
      </c>
      <c r="C268" t="s">
        <v>6</v>
      </c>
      <c r="D268" t="s">
        <v>21</v>
      </c>
      <c r="E268" t="s">
        <v>8</v>
      </c>
      <c r="F268" t="s">
        <v>9</v>
      </c>
      <c r="G268" s="2">
        <f>VLOOKUP(F268,mappings!$G$2:$H$6,2,FALSE)</f>
        <v>4</v>
      </c>
      <c r="H268" t="s">
        <v>161</v>
      </c>
      <c r="I268" s="2">
        <f>VLOOKUP(H268,mappings!$D$2:$E$6,2,FALSE)</f>
        <v>2</v>
      </c>
      <c r="J268" t="s">
        <v>36</v>
      </c>
      <c r="K268" t="s">
        <v>11</v>
      </c>
      <c r="L268" s="2">
        <f>VLOOKUP(K268,mappings!$A$2:$B$13,2,FALSE)</f>
        <v>4</v>
      </c>
      <c r="M268" t="s">
        <v>24</v>
      </c>
      <c r="N268" t="str">
        <f>VLOOKUP(E268,mappings!$L$1:$M$110,2,FALSE)</f>
        <v>No answer provided</v>
      </c>
      <c r="O268" t="str">
        <f>VLOOKUP(E268,mappings!L:O,3,FALSE)</f>
        <v>No answer provided</v>
      </c>
      <c r="P268" t="str">
        <f>VLOOKUP(E268,mappings!L:P,4,FALSE)</f>
        <v>No answer provided</v>
      </c>
    </row>
    <row r="269" spans="1:16" x14ac:dyDescent="0.2">
      <c r="A269">
        <v>268</v>
      </c>
      <c r="B269">
        <v>3878466821</v>
      </c>
      <c r="C269" t="s">
        <v>6</v>
      </c>
      <c r="D269" t="s">
        <v>1</v>
      </c>
      <c r="E269" t="s">
        <v>85</v>
      </c>
      <c r="F269" t="s">
        <v>9</v>
      </c>
      <c r="G269" s="2">
        <f>VLOOKUP(F269,mappings!$G$2:$H$6,2,FALSE)</f>
        <v>4</v>
      </c>
      <c r="H269" t="s">
        <v>43</v>
      </c>
      <c r="I269" s="2">
        <f>VLOOKUP(H269,mappings!$D$2:$E$6,2,FALSE)</f>
        <v>4</v>
      </c>
      <c r="J269" t="s">
        <v>36</v>
      </c>
      <c r="K269" t="s">
        <v>13</v>
      </c>
      <c r="L269" s="2">
        <f>VLOOKUP(K269,mappings!$A$2:$B$13,2,FALSE)</f>
        <v>11</v>
      </c>
      <c r="M269" t="s">
        <v>24</v>
      </c>
      <c r="N269" t="str">
        <f>VLOOKUP(E269,mappings!$L$1:$M$110,2,FALSE)</f>
        <v>The Weather Channel</v>
      </c>
      <c r="O269" t="str">
        <f>VLOOKUP(E269,mappings!L:O,3,FALSE)</f>
        <v>Website</v>
      </c>
      <c r="P269" t="str">
        <f>VLOOKUP(E269,mappings!L:P,4,FALSE)</f>
        <v>Other or unkown</v>
      </c>
    </row>
    <row r="270" spans="1:16" x14ac:dyDescent="0.2">
      <c r="A270">
        <v>269</v>
      </c>
      <c r="B270">
        <v>3878465693</v>
      </c>
      <c r="C270" t="s">
        <v>6</v>
      </c>
      <c r="D270" t="s">
        <v>7</v>
      </c>
      <c r="E270" t="s">
        <v>8</v>
      </c>
      <c r="F270" t="s">
        <v>9</v>
      </c>
      <c r="G270" s="2">
        <f>VLOOKUP(F270,mappings!$G$2:$H$6,2,FALSE)</f>
        <v>4</v>
      </c>
      <c r="H270" t="s">
        <v>161</v>
      </c>
      <c r="I270" s="2">
        <f>VLOOKUP(H270,mappings!$D$2:$E$6,2,FALSE)</f>
        <v>2</v>
      </c>
      <c r="J270" t="s">
        <v>36</v>
      </c>
      <c r="K270" t="s">
        <v>13</v>
      </c>
      <c r="L270" s="2">
        <f>VLOOKUP(K270,mappings!$A$2:$B$13,2,FALSE)</f>
        <v>11</v>
      </c>
      <c r="M270" t="s">
        <v>34</v>
      </c>
      <c r="N270" t="str">
        <f>VLOOKUP(E270,mappings!$L$1:$M$110,2,FALSE)</f>
        <v>No answer provided</v>
      </c>
      <c r="O270" t="str">
        <f>VLOOKUP(E270,mappings!L:O,3,FALSE)</f>
        <v>No answer provided</v>
      </c>
      <c r="P270" t="str">
        <f>VLOOKUP(E270,mappings!L:P,4,FALSE)</f>
        <v>No answer provided</v>
      </c>
    </row>
    <row r="271" spans="1:16" x14ac:dyDescent="0.2">
      <c r="A271">
        <v>270</v>
      </c>
      <c r="B271">
        <v>3878464503</v>
      </c>
      <c r="C271" t="s">
        <v>6</v>
      </c>
      <c r="D271" t="s">
        <v>40</v>
      </c>
      <c r="E271" t="s">
        <v>8</v>
      </c>
      <c r="F271" t="s">
        <v>22</v>
      </c>
      <c r="G271" s="2">
        <f>VLOOKUP(F271,mappings!$G$2:$H$6,2,FALSE)</f>
        <v>1</v>
      </c>
      <c r="H271" t="s">
        <v>43</v>
      </c>
      <c r="I271" s="2">
        <f>VLOOKUP(H271,mappings!$D$2:$E$6,2,FALSE)</f>
        <v>4</v>
      </c>
      <c r="J271" t="s">
        <v>36</v>
      </c>
      <c r="K271" t="s">
        <v>18</v>
      </c>
      <c r="L271" s="2">
        <f>VLOOKUP(K271,mappings!$A$2:$B$13,2,FALSE)</f>
        <v>8</v>
      </c>
      <c r="M271" t="s">
        <v>24</v>
      </c>
      <c r="N271" t="str">
        <f>VLOOKUP(E271,mappings!$L$1:$M$110,2,FALSE)</f>
        <v>No answer provided</v>
      </c>
      <c r="O271" t="str">
        <f>VLOOKUP(E271,mappings!L:O,3,FALSE)</f>
        <v>No answer provided</v>
      </c>
      <c r="P271" t="str">
        <f>VLOOKUP(E271,mappings!L:P,4,FALSE)</f>
        <v>No answer provided</v>
      </c>
    </row>
    <row r="272" spans="1:16" x14ac:dyDescent="0.2">
      <c r="A272">
        <v>271</v>
      </c>
      <c r="B272">
        <v>3878462883</v>
      </c>
      <c r="C272" t="s">
        <v>26</v>
      </c>
      <c r="D272" t="s">
        <v>31</v>
      </c>
      <c r="E272" t="s">
        <v>8</v>
      </c>
      <c r="F272" t="s">
        <v>16</v>
      </c>
      <c r="G272" s="2">
        <f>VLOOKUP(F272,mappings!$G$2:$H$6,2,FALSE)</f>
        <v>3</v>
      </c>
      <c r="H272" t="s">
        <v>161</v>
      </c>
      <c r="I272" s="2">
        <f>VLOOKUP(H272,mappings!$D$2:$E$6,2,FALSE)</f>
        <v>2</v>
      </c>
      <c r="J272" t="s">
        <v>10</v>
      </c>
      <c r="K272" t="s">
        <v>13</v>
      </c>
      <c r="L272" s="2">
        <f>VLOOKUP(K272,mappings!$A$2:$B$13,2,FALSE)</f>
        <v>11</v>
      </c>
      <c r="M272" t="s">
        <v>24</v>
      </c>
      <c r="N272" t="str">
        <f>VLOOKUP(E272,mappings!$L$1:$M$110,2,FALSE)</f>
        <v>No answer provided</v>
      </c>
      <c r="O272" t="str">
        <f>VLOOKUP(E272,mappings!L:O,3,FALSE)</f>
        <v>No answer provided</v>
      </c>
      <c r="P272" t="str">
        <f>VLOOKUP(E272,mappings!L:P,4,FALSE)</f>
        <v>No answer provided</v>
      </c>
    </row>
    <row r="273" spans="1:16" x14ac:dyDescent="0.2">
      <c r="A273">
        <v>272</v>
      </c>
      <c r="B273">
        <v>3878450038</v>
      </c>
      <c r="C273" t="s">
        <v>6</v>
      </c>
      <c r="D273" t="s">
        <v>31</v>
      </c>
      <c r="E273" t="s">
        <v>8</v>
      </c>
      <c r="F273" t="s">
        <v>22</v>
      </c>
      <c r="G273" s="2">
        <f>VLOOKUP(F273,mappings!$G$2:$H$6,2,FALSE)</f>
        <v>1</v>
      </c>
      <c r="H273" t="s">
        <v>43</v>
      </c>
      <c r="I273" s="2">
        <f>VLOOKUP(H273,mappings!$D$2:$E$6,2,FALSE)</f>
        <v>4</v>
      </c>
      <c r="J273" t="s">
        <v>10</v>
      </c>
      <c r="K273" t="s">
        <v>13</v>
      </c>
      <c r="L273" s="2">
        <f>VLOOKUP(K273,mappings!$A$2:$B$13,2,FALSE)</f>
        <v>11</v>
      </c>
      <c r="M273" t="s">
        <v>20</v>
      </c>
      <c r="N273" t="str">
        <f>VLOOKUP(E273,mappings!$L$1:$M$110,2,FALSE)</f>
        <v>No answer provided</v>
      </c>
      <c r="O273" t="str">
        <f>VLOOKUP(E273,mappings!L:O,3,FALSE)</f>
        <v>No answer provided</v>
      </c>
      <c r="P273" t="str">
        <f>VLOOKUP(E273,mappings!L:P,4,FALSE)</f>
        <v>No answer provided</v>
      </c>
    </row>
    <row r="274" spans="1:16" x14ac:dyDescent="0.2">
      <c r="A274">
        <v>273</v>
      </c>
      <c r="B274">
        <v>3878449625</v>
      </c>
      <c r="C274" t="s">
        <v>26</v>
      </c>
      <c r="D274" t="s">
        <v>31</v>
      </c>
      <c r="E274" t="s">
        <v>8</v>
      </c>
      <c r="F274" t="s">
        <v>22</v>
      </c>
      <c r="G274" s="2">
        <f>VLOOKUP(F274,mappings!$G$2:$H$6,2,FALSE)</f>
        <v>1</v>
      </c>
      <c r="H274" t="s">
        <v>161</v>
      </c>
      <c r="I274" s="2">
        <f>VLOOKUP(H274,mappings!$D$2:$E$6,2,FALSE)</f>
        <v>2</v>
      </c>
      <c r="J274" t="s">
        <v>36</v>
      </c>
      <c r="K274" t="s">
        <v>32</v>
      </c>
      <c r="L274" s="2">
        <f>VLOOKUP(K274,mappings!$A$2:$B$13,2,FALSE)</f>
        <v>2</v>
      </c>
      <c r="M274" t="s">
        <v>24</v>
      </c>
      <c r="N274" t="str">
        <f>VLOOKUP(E274,mappings!$L$1:$M$110,2,FALSE)</f>
        <v>No answer provided</v>
      </c>
      <c r="O274" t="str">
        <f>VLOOKUP(E274,mappings!L:O,3,FALSE)</f>
        <v>No answer provided</v>
      </c>
      <c r="P274" t="str">
        <f>VLOOKUP(E274,mappings!L:P,4,FALSE)</f>
        <v>No answer provided</v>
      </c>
    </row>
    <row r="275" spans="1:16" x14ac:dyDescent="0.2">
      <c r="A275">
        <v>274</v>
      </c>
      <c r="B275">
        <v>3878445660</v>
      </c>
      <c r="C275" t="s">
        <v>6</v>
      </c>
      <c r="D275" t="s">
        <v>31</v>
      </c>
      <c r="E275" t="s">
        <v>8</v>
      </c>
      <c r="F275" t="s">
        <v>9</v>
      </c>
      <c r="G275" s="2">
        <f>VLOOKUP(F275,mappings!$G$2:$H$6,2,FALSE)</f>
        <v>4</v>
      </c>
      <c r="H275" t="s">
        <v>163</v>
      </c>
      <c r="I275" s="2">
        <f>VLOOKUP(H275,mappings!$D$2:$E$6,2,FALSE)</f>
        <v>3</v>
      </c>
      <c r="J275" t="s">
        <v>10</v>
      </c>
      <c r="K275" t="s">
        <v>23</v>
      </c>
      <c r="L275" s="2">
        <f>VLOOKUP(K275,mappings!$A$2:$B$13,2,FALSE)</f>
        <v>3</v>
      </c>
      <c r="M275" t="s">
        <v>24</v>
      </c>
      <c r="N275" t="str">
        <f>VLOOKUP(E275,mappings!$L$1:$M$110,2,FALSE)</f>
        <v>No answer provided</v>
      </c>
      <c r="O275" t="str">
        <f>VLOOKUP(E275,mappings!L:O,3,FALSE)</f>
        <v>No answer provided</v>
      </c>
      <c r="P275" t="str">
        <f>VLOOKUP(E275,mappings!L:P,4,FALSE)</f>
        <v>No answer provided</v>
      </c>
    </row>
    <row r="276" spans="1:16" x14ac:dyDescent="0.2">
      <c r="A276">
        <v>275</v>
      </c>
      <c r="B276">
        <v>3878443579</v>
      </c>
      <c r="C276" t="s">
        <v>6</v>
      </c>
      <c r="D276" t="s">
        <v>27</v>
      </c>
      <c r="E276" t="s">
        <v>8</v>
      </c>
      <c r="F276" t="s">
        <v>16</v>
      </c>
      <c r="G276" s="2">
        <f>VLOOKUP(F276,mappings!$G$2:$H$6,2,FALSE)</f>
        <v>3</v>
      </c>
      <c r="H276" t="s">
        <v>163</v>
      </c>
      <c r="I276" s="2">
        <f>VLOOKUP(H276,mappings!$D$2:$E$6,2,FALSE)</f>
        <v>3</v>
      </c>
      <c r="J276" t="s">
        <v>10</v>
      </c>
      <c r="K276" t="s">
        <v>14</v>
      </c>
      <c r="L276" s="2">
        <f>VLOOKUP(K276,mappings!$A$2:$B$13,2,FALSE)</f>
        <v>6</v>
      </c>
      <c r="M276" t="s">
        <v>24</v>
      </c>
      <c r="N276" t="str">
        <f>VLOOKUP(E276,mappings!$L$1:$M$110,2,FALSE)</f>
        <v>No answer provided</v>
      </c>
      <c r="O276" t="str">
        <f>VLOOKUP(E276,mappings!L:O,3,FALSE)</f>
        <v>No answer provided</v>
      </c>
      <c r="P276" t="str">
        <f>VLOOKUP(E276,mappings!L:P,4,FALSE)</f>
        <v>No answer provided</v>
      </c>
    </row>
    <row r="277" spans="1:16" x14ac:dyDescent="0.2">
      <c r="A277">
        <v>276</v>
      </c>
      <c r="B277">
        <v>3878436241</v>
      </c>
      <c r="C277" t="s">
        <v>26</v>
      </c>
      <c r="D277" t="s">
        <v>27</v>
      </c>
      <c r="E277" t="s">
        <v>8</v>
      </c>
      <c r="F277" t="s">
        <v>28</v>
      </c>
      <c r="G277" s="2">
        <f>VLOOKUP(F277,mappings!$G$2:$H$6,2,FALSE)</f>
        <v>2</v>
      </c>
      <c r="H277" t="s">
        <v>43</v>
      </c>
      <c r="I277" s="2">
        <f>VLOOKUP(H277,mappings!$D$2:$E$6,2,FALSE)</f>
        <v>4</v>
      </c>
      <c r="J277" t="s">
        <v>36</v>
      </c>
      <c r="K277" t="s">
        <v>48</v>
      </c>
      <c r="L277" s="2">
        <f>VLOOKUP(K277,mappings!$A$2:$B$13,2,FALSE)</f>
        <v>7</v>
      </c>
      <c r="M277" t="s">
        <v>24</v>
      </c>
      <c r="N277" t="str">
        <f>VLOOKUP(E277,mappings!$L$1:$M$110,2,FALSE)</f>
        <v>No answer provided</v>
      </c>
      <c r="O277" t="str">
        <f>VLOOKUP(E277,mappings!L:O,3,FALSE)</f>
        <v>No answer provided</v>
      </c>
      <c r="P277" t="str">
        <f>VLOOKUP(E277,mappings!L:P,4,FALSE)</f>
        <v>No answer provided</v>
      </c>
    </row>
    <row r="278" spans="1:16" x14ac:dyDescent="0.2">
      <c r="A278">
        <v>277</v>
      </c>
      <c r="B278">
        <v>3878436018</v>
      </c>
      <c r="C278" t="s">
        <v>6</v>
      </c>
      <c r="D278" t="s">
        <v>27</v>
      </c>
      <c r="E278" t="s">
        <v>8</v>
      </c>
      <c r="F278" t="s">
        <v>9</v>
      </c>
      <c r="G278" s="2">
        <f>VLOOKUP(F278,mappings!$G$2:$H$6,2,FALSE)</f>
        <v>4</v>
      </c>
      <c r="H278" t="s">
        <v>162</v>
      </c>
      <c r="I278" s="2">
        <f>VLOOKUP(H278,mappings!$D$2:$E$6,2,FALSE)</f>
        <v>1</v>
      </c>
      <c r="J278" t="s">
        <v>10</v>
      </c>
      <c r="K278" t="s">
        <v>23</v>
      </c>
      <c r="L278" s="2">
        <f>VLOOKUP(K278,mappings!$A$2:$B$13,2,FALSE)</f>
        <v>3</v>
      </c>
      <c r="M278" t="s">
        <v>24</v>
      </c>
      <c r="N278" t="str">
        <f>VLOOKUP(E278,mappings!$L$1:$M$110,2,FALSE)</f>
        <v>No answer provided</v>
      </c>
      <c r="O278" t="str">
        <f>VLOOKUP(E278,mappings!L:O,3,FALSE)</f>
        <v>No answer provided</v>
      </c>
      <c r="P278" t="str">
        <f>VLOOKUP(E278,mappings!L:P,4,FALSE)</f>
        <v>No answer provided</v>
      </c>
    </row>
    <row r="279" spans="1:16" x14ac:dyDescent="0.2">
      <c r="A279">
        <v>278</v>
      </c>
      <c r="B279">
        <v>3878432043</v>
      </c>
      <c r="C279" t="s">
        <v>6</v>
      </c>
      <c r="D279" t="s">
        <v>7</v>
      </c>
      <c r="E279" t="s">
        <v>8</v>
      </c>
      <c r="F279" t="s">
        <v>16</v>
      </c>
      <c r="G279" s="2">
        <f>VLOOKUP(F279,mappings!$G$2:$H$6,2,FALSE)</f>
        <v>3</v>
      </c>
      <c r="H279" t="s">
        <v>161</v>
      </c>
      <c r="I279" s="2">
        <f>VLOOKUP(H279,mappings!$D$2:$E$6,2,FALSE)</f>
        <v>2</v>
      </c>
      <c r="J279" t="s">
        <v>36</v>
      </c>
      <c r="K279" t="s">
        <v>32</v>
      </c>
      <c r="L279" s="2">
        <f>VLOOKUP(K279,mappings!$A$2:$B$13,2,FALSE)</f>
        <v>2</v>
      </c>
      <c r="M279" t="s">
        <v>12</v>
      </c>
      <c r="N279" t="str">
        <f>VLOOKUP(E279,mappings!$L$1:$M$110,2,FALSE)</f>
        <v>No answer provided</v>
      </c>
      <c r="O279" t="str">
        <f>VLOOKUP(E279,mappings!L:O,3,FALSE)</f>
        <v>No answer provided</v>
      </c>
      <c r="P279" t="str">
        <f>VLOOKUP(E279,mappings!L:P,4,FALSE)</f>
        <v>No answer provided</v>
      </c>
    </row>
    <row r="280" spans="1:16" x14ac:dyDescent="0.2">
      <c r="A280">
        <v>279</v>
      </c>
      <c r="B280">
        <v>3878431247</v>
      </c>
      <c r="C280" t="s">
        <v>6</v>
      </c>
      <c r="D280" t="s">
        <v>21</v>
      </c>
      <c r="E280" t="s">
        <v>8</v>
      </c>
      <c r="F280" t="s">
        <v>9</v>
      </c>
      <c r="G280" s="2">
        <f>VLOOKUP(F280,mappings!$G$2:$H$6,2,FALSE)</f>
        <v>4</v>
      </c>
      <c r="H280" t="s">
        <v>43</v>
      </c>
      <c r="I280" s="2">
        <f>VLOOKUP(H280,mappings!$D$2:$E$6,2,FALSE)</f>
        <v>4</v>
      </c>
      <c r="J280" t="s">
        <v>36</v>
      </c>
      <c r="K280" t="s">
        <v>23</v>
      </c>
      <c r="L280" s="2">
        <f>VLOOKUP(K280,mappings!$A$2:$B$13,2,FALSE)</f>
        <v>3</v>
      </c>
      <c r="M280" t="s">
        <v>24</v>
      </c>
      <c r="N280" t="str">
        <f>VLOOKUP(E280,mappings!$L$1:$M$110,2,FALSE)</f>
        <v>No answer provided</v>
      </c>
      <c r="O280" t="str">
        <f>VLOOKUP(E280,mappings!L:O,3,FALSE)</f>
        <v>No answer provided</v>
      </c>
      <c r="P280" t="str">
        <f>VLOOKUP(E280,mappings!L:P,4,FALSE)</f>
        <v>No answer provided</v>
      </c>
    </row>
    <row r="281" spans="1:16" x14ac:dyDescent="0.2">
      <c r="A281">
        <v>280</v>
      </c>
      <c r="B281">
        <v>3878426886</v>
      </c>
      <c r="C281" t="s">
        <v>6</v>
      </c>
      <c r="D281" t="s">
        <v>21</v>
      </c>
      <c r="E281" t="s">
        <v>8</v>
      </c>
      <c r="F281" t="s">
        <v>28</v>
      </c>
      <c r="G281" s="2">
        <f>VLOOKUP(F281,mappings!$G$2:$H$6,2,FALSE)</f>
        <v>2</v>
      </c>
      <c r="H281" t="s">
        <v>161</v>
      </c>
      <c r="I281" s="2">
        <f>VLOOKUP(H281,mappings!$D$2:$E$6,2,FALSE)</f>
        <v>2</v>
      </c>
      <c r="J281" t="s">
        <v>36</v>
      </c>
      <c r="K281" t="s">
        <v>14</v>
      </c>
      <c r="L281" s="2">
        <f>VLOOKUP(K281,mappings!$A$2:$B$13,2,FALSE)</f>
        <v>6</v>
      </c>
      <c r="M281" t="s">
        <v>20</v>
      </c>
      <c r="N281" t="str">
        <f>VLOOKUP(E281,mappings!$L$1:$M$110,2,FALSE)</f>
        <v>No answer provided</v>
      </c>
      <c r="O281" t="str">
        <f>VLOOKUP(E281,mappings!L:O,3,FALSE)</f>
        <v>No answer provided</v>
      </c>
      <c r="P281" t="str">
        <f>VLOOKUP(E281,mappings!L:P,4,FALSE)</f>
        <v>No answer provided</v>
      </c>
    </row>
    <row r="282" spans="1:16" x14ac:dyDescent="0.2">
      <c r="A282">
        <v>281</v>
      </c>
      <c r="B282">
        <v>3878426515</v>
      </c>
      <c r="C282" t="s">
        <v>6</v>
      </c>
      <c r="D282" t="s">
        <v>31</v>
      </c>
      <c r="E282" t="s">
        <v>8</v>
      </c>
      <c r="F282" t="s">
        <v>22</v>
      </c>
      <c r="G282" s="2">
        <f>VLOOKUP(F282,mappings!$G$2:$H$6,2,FALSE)</f>
        <v>1</v>
      </c>
      <c r="H282" t="s">
        <v>43</v>
      </c>
      <c r="I282" s="2">
        <f>VLOOKUP(H282,mappings!$D$2:$E$6,2,FALSE)</f>
        <v>4</v>
      </c>
      <c r="J282" t="s">
        <v>10</v>
      </c>
      <c r="K282" t="s">
        <v>11</v>
      </c>
      <c r="L282" s="2">
        <f>VLOOKUP(K282,mappings!$A$2:$B$13,2,FALSE)</f>
        <v>4</v>
      </c>
      <c r="M282" t="s">
        <v>38</v>
      </c>
      <c r="N282" t="str">
        <f>VLOOKUP(E282,mappings!$L$1:$M$110,2,FALSE)</f>
        <v>No answer provided</v>
      </c>
      <c r="O282" t="str">
        <f>VLOOKUP(E282,mappings!L:O,3,FALSE)</f>
        <v>No answer provided</v>
      </c>
      <c r="P282" t="str">
        <f>VLOOKUP(E282,mappings!L:P,4,FALSE)</f>
        <v>No answer provided</v>
      </c>
    </row>
    <row r="283" spans="1:16" x14ac:dyDescent="0.2">
      <c r="A283">
        <v>282</v>
      </c>
      <c r="B283">
        <v>3878425988</v>
      </c>
      <c r="C283" t="s">
        <v>26</v>
      </c>
      <c r="D283" t="s">
        <v>27</v>
      </c>
      <c r="E283" t="s">
        <v>8</v>
      </c>
      <c r="F283" t="s">
        <v>28</v>
      </c>
      <c r="G283" s="2">
        <f>VLOOKUP(F283,mappings!$G$2:$H$6,2,FALSE)</f>
        <v>2</v>
      </c>
      <c r="H283" t="s">
        <v>43</v>
      </c>
      <c r="I283" s="2">
        <f>VLOOKUP(H283,mappings!$D$2:$E$6,2,FALSE)</f>
        <v>4</v>
      </c>
      <c r="J283" t="s">
        <v>36</v>
      </c>
      <c r="K283" t="s">
        <v>13</v>
      </c>
      <c r="L283" s="2">
        <f>VLOOKUP(K283,mappings!$A$2:$B$13,2,FALSE)</f>
        <v>11</v>
      </c>
      <c r="M283" t="s">
        <v>24</v>
      </c>
      <c r="N283" t="str">
        <f>VLOOKUP(E283,mappings!$L$1:$M$110,2,FALSE)</f>
        <v>No answer provided</v>
      </c>
      <c r="O283" t="str">
        <f>VLOOKUP(E283,mappings!L:O,3,FALSE)</f>
        <v>No answer provided</v>
      </c>
      <c r="P283" t="str">
        <f>VLOOKUP(E283,mappings!L:P,4,FALSE)</f>
        <v>No answer provided</v>
      </c>
    </row>
    <row r="284" spans="1:16" x14ac:dyDescent="0.2">
      <c r="A284">
        <v>283</v>
      </c>
      <c r="B284">
        <v>3878424879</v>
      </c>
      <c r="C284" t="s">
        <v>6</v>
      </c>
      <c r="D284" t="s">
        <v>31</v>
      </c>
      <c r="E284" t="s">
        <v>8</v>
      </c>
      <c r="F284" t="s">
        <v>22</v>
      </c>
      <c r="G284" s="2">
        <f>VLOOKUP(F284,mappings!$G$2:$H$6,2,FALSE)</f>
        <v>1</v>
      </c>
      <c r="H284" t="s">
        <v>43</v>
      </c>
      <c r="I284" s="2">
        <f>VLOOKUP(H284,mappings!$D$2:$E$6,2,FALSE)</f>
        <v>4</v>
      </c>
      <c r="J284" t="s">
        <v>10</v>
      </c>
      <c r="K284" t="s">
        <v>32</v>
      </c>
      <c r="L284" s="2">
        <f>VLOOKUP(K284,mappings!$A$2:$B$13,2,FALSE)</f>
        <v>2</v>
      </c>
      <c r="M284" t="s">
        <v>34</v>
      </c>
      <c r="N284" t="str">
        <f>VLOOKUP(E284,mappings!$L$1:$M$110,2,FALSE)</f>
        <v>No answer provided</v>
      </c>
      <c r="O284" t="str">
        <f>VLOOKUP(E284,mappings!L:O,3,FALSE)</f>
        <v>No answer provided</v>
      </c>
      <c r="P284" t="str">
        <f>VLOOKUP(E284,mappings!L:P,4,FALSE)</f>
        <v>No answer provided</v>
      </c>
    </row>
    <row r="285" spans="1:16" x14ac:dyDescent="0.2">
      <c r="A285">
        <v>284</v>
      </c>
      <c r="B285">
        <v>3878417014</v>
      </c>
      <c r="C285" t="s">
        <v>6</v>
      </c>
      <c r="D285" t="s">
        <v>27</v>
      </c>
      <c r="E285" t="s">
        <v>8</v>
      </c>
      <c r="F285" t="s">
        <v>9</v>
      </c>
      <c r="G285" s="2">
        <f>VLOOKUP(F285,mappings!$G$2:$H$6,2,FALSE)</f>
        <v>4</v>
      </c>
      <c r="H285" t="s">
        <v>43</v>
      </c>
      <c r="I285" s="2">
        <f>VLOOKUP(H285,mappings!$D$2:$E$6,2,FALSE)</f>
        <v>4</v>
      </c>
      <c r="J285" t="s">
        <v>36</v>
      </c>
      <c r="K285" t="s">
        <v>33</v>
      </c>
      <c r="L285" s="2">
        <f>VLOOKUP(K285,mappings!$A$2:$B$13,2,FALSE)</f>
        <v>5</v>
      </c>
      <c r="M285" t="s">
        <v>30</v>
      </c>
      <c r="N285" t="str">
        <f>VLOOKUP(E285,mappings!$L$1:$M$110,2,FALSE)</f>
        <v>No answer provided</v>
      </c>
      <c r="O285" t="str">
        <f>VLOOKUP(E285,mappings!L:O,3,FALSE)</f>
        <v>No answer provided</v>
      </c>
      <c r="P285" t="str">
        <f>VLOOKUP(E285,mappings!L:P,4,FALSE)</f>
        <v>No answer provided</v>
      </c>
    </row>
    <row r="286" spans="1:16" x14ac:dyDescent="0.2">
      <c r="A286">
        <v>285</v>
      </c>
      <c r="B286">
        <v>3878413474</v>
      </c>
      <c r="C286" t="s">
        <v>6</v>
      </c>
      <c r="D286" t="s">
        <v>27</v>
      </c>
      <c r="E286" t="s">
        <v>8</v>
      </c>
      <c r="F286" t="s">
        <v>9</v>
      </c>
      <c r="G286" s="2">
        <f>VLOOKUP(F286,mappings!$G$2:$H$6,2,FALSE)</f>
        <v>4</v>
      </c>
      <c r="H286" t="s">
        <v>161</v>
      </c>
      <c r="I286" s="2">
        <f>VLOOKUP(H286,mappings!$D$2:$E$6,2,FALSE)</f>
        <v>2</v>
      </c>
      <c r="J286" t="s">
        <v>36</v>
      </c>
      <c r="K286" t="s">
        <v>13</v>
      </c>
      <c r="L286" s="2">
        <f>VLOOKUP(K286,mappings!$A$2:$B$13,2,FALSE)</f>
        <v>11</v>
      </c>
      <c r="M286" t="s">
        <v>12</v>
      </c>
      <c r="N286" t="str">
        <f>VLOOKUP(E286,mappings!$L$1:$M$110,2,FALSE)</f>
        <v>No answer provided</v>
      </c>
      <c r="O286" t="str">
        <f>VLOOKUP(E286,mappings!L:O,3,FALSE)</f>
        <v>No answer provided</v>
      </c>
      <c r="P286" t="str">
        <f>VLOOKUP(E286,mappings!L:P,4,FALSE)</f>
        <v>No answer provided</v>
      </c>
    </row>
    <row r="287" spans="1:16" x14ac:dyDescent="0.2">
      <c r="A287">
        <v>286</v>
      </c>
      <c r="B287">
        <v>3878409427</v>
      </c>
      <c r="C287" t="s">
        <v>26</v>
      </c>
      <c r="D287" t="s">
        <v>7</v>
      </c>
      <c r="E287" t="s">
        <v>8</v>
      </c>
      <c r="F287" t="s">
        <v>9</v>
      </c>
      <c r="G287" s="2">
        <f>VLOOKUP(F287,mappings!$G$2:$H$6,2,FALSE)</f>
        <v>4</v>
      </c>
      <c r="H287" t="s">
        <v>161</v>
      </c>
      <c r="I287" s="2">
        <f>VLOOKUP(H287,mappings!$D$2:$E$6,2,FALSE)</f>
        <v>2</v>
      </c>
      <c r="J287" t="s">
        <v>36</v>
      </c>
      <c r="K287" t="s">
        <v>23</v>
      </c>
      <c r="L287" s="2">
        <f>VLOOKUP(K287,mappings!$A$2:$B$13,2,FALSE)</f>
        <v>3</v>
      </c>
      <c r="M287" t="s">
        <v>12</v>
      </c>
      <c r="N287" t="str">
        <f>VLOOKUP(E287,mappings!$L$1:$M$110,2,FALSE)</f>
        <v>No answer provided</v>
      </c>
      <c r="O287" t="str">
        <f>VLOOKUP(E287,mappings!L:O,3,FALSE)</f>
        <v>No answer provided</v>
      </c>
      <c r="P287" t="str">
        <f>VLOOKUP(E287,mappings!L:P,4,FALSE)</f>
        <v>No answer provided</v>
      </c>
    </row>
    <row r="288" spans="1:16" x14ac:dyDescent="0.2">
      <c r="A288">
        <v>287</v>
      </c>
      <c r="B288">
        <v>3878405540</v>
      </c>
      <c r="C288" t="s">
        <v>26</v>
      </c>
      <c r="D288" t="s">
        <v>27</v>
      </c>
      <c r="E288" t="s">
        <v>8</v>
      </c>
      <c r="F288" t="s">
        <v>28</v>
      </c>
      <c r="G288" s="2">
        <f>VLOOKUP(F288,mappings!$G$2:$H$6,2,FALSE)</f>
        <v>2</v>
      </c>
      <c r="H288" t="s">
        <v>43</v>
      </c>
      <c r="I288" s="2">
        <f>VLOOKUP(H288,mappings!$D$2:$E$6,2,FALSE)</f>
        <v>4</v>
      </c>
      <c r="J288" t="s">
        <v>10</v>
      </c>
      <c r="K288" t="s">
        <v>11</v>
      </c>
      <c r="L288" s="2">
        <f>VLOOKUP(K288,mappings!$A$2:$B$13,2,FALSE)</f>
        <v>4</v>
      </c>
      <c r="M288" t="s">
        <v>12</v>
      </c>
      <c r="N288" t="str">
        <f>VLOOKUP(E288,mappings!$L$1:$M$110,2,FALSE)</f>
        <v>No answer provided</v>
      </c>
      <c r="O288" t="str">
        <f>VLOOKUP(E288,mappings!L:O,3,FALSE)</f>
        <v>No answer provided</v>
      </c>
      <c r="P288" t="str">
        <f>VLOOKUP(E288,mappings!L:P,4,FALSE)</f>
        <v>No answer provided</v>
      </c>
    </row>
    <row r="289" spans="1:16" x14ac:dyDescent="0.2">
      <c r="A289">
        <v>288</v>
      </c>
      <c r="B289">
        <v>3878404884</v>
      </c>
      <c r="C289" t="s">
        <v>6</v>
      </c>
      <c r="D289" t="s">
        <v>21</v>
      </c>
      <c r="E289" t="s">
        <v>8</v>
      </c>
      <c r="F289" t="s">
        <v>9</v>
      </c>
      <c r="G289" s="2">
        <f>VLOOKUP(F289,mappings!$G$2:$H$6,2,FALSE)</f>
        <v>4</v>
      </c>
      <c r="H289" t="s">
        <v>43</v>
      </c>
      <c r="I289" s="2">
        <f>VLOOKUP(H289,mappings!$D$2:$E$6,2,FALSE)</f>
        <v>4</v>
      </c>
      <c r="J289" t="s">
        <v>10</v>
      </c>
      <c r="K289" t="s">
        <v>32</v>
      </c>
      <c r="L289" s="2">
        <f>VLOOKUP(K289,mappings!$A$2:$B$13,2,FALSE)</f>
        <v>2</v>
      </c>
      <c r="M289" t="s">
        <v>15</v>
      </c>
      <c r="N289" t="str">
        <f>VLOOKUP(E289,mappings!$L$1:$M$110,2,FALSE)</f>
        <v>No answer provided</v>
      </c>
      <c r="O289" t="str">
        <f>VLOOKUP(E289,mappings!L:O,3,FALSE)</f>
        <v>No answer provided</v>
      </c>
      <c r="P289" t="str">
        <f>VLOOKUP(E289,mappings!L:P,4,FALSE)</f>
        <v>No answer provided</v>
      </c>
    </row>
    <row r="290" spans="1:16" x14ac:dyDescent="0.2">
      <c r="A290">
        <v>289</v>
      </c>
      <c r="B290">
        <v>3878404363</v>
      </c>
      <c r="C290" t="s">
        <v>26</v>
      </c>
      <c r="D290" t="s">
        <v>7</v>
      </c>
      <c r="E290" t="s">
        <v>8</v>
      </c>
      <c r="F290" t="s">
        <v>9</v>
      </c>
      <c r="G290" s="2">
        <f>VLOOKUP(F290,mappings!$G$2:$H$6,2,FALSE)</f>
        <v>4</v>
      </c>
      <c r="H290" t="s">
        <v>43</v>
      </c>
      <c r="I290" s="2">
        <f>VLOOKUP(H290,mappings!$D$2:$E$6,2,FALSE)</f>
        <v>4</v>
      </c>
      <c r="J290" t="s">
        <v>36</v>
      </c>
      <c r="K290" t="s">
        <v>47</v>
      </c>
      <c r="L290" s="2">
        <f>VLOOKUP(K290,mappings!$A$2:$B$13,2,FALSE)</f>
        <v>9</v>
      </c>
      <c r="M290" t="s">
        <v>12</v>
      </c>
      <c r="N290" t="str">
        <f>VLOOKUP(E290,mappings!$L$1:$M$110,2,FALSE)</f>
        <v>No answer provided</v>
      </c>
      <c r="O290" t="str">
        <f>VLOOKUP(E290,mappings!L:O,3,FALSE)</f>
        <v>No answer provided</v>
      </c>
      <c r="P290" t="str">
        <f>VLOOKUP(E290,mappings!L:P,4,FALSE)</f>
        <v>No answer provided</v>
      </c>
    </row>
    <row r="291" spans="1:16" x14ac:dyDescent="0.2">
      <c r="A291">
        <v>290</v>
      </c>
      <c r="B291">
        <v>3878404022</v>
      </c>
      <c r="C291" t="s">
        <v>6</v>
      </c>
      <c r="D291" t="s">
        <v>7</v>
      </c>
      <c r="E291" t="s">
        <v>8</v>
      </c>
      <c r="F291" t="s">
        <v>9</v>
      </c>
      <c r="G291" s="2">
        <f>VLOOKUP(F291,mappings!$G$2:$H$6,2,FALSE)</f>
        <v>4</v>
      </c>
      <c r="H291" t="s">
        <v>161</v>
      </c>
      <c r="I291" s="2">
        <f>VLOOKUP(H291,mappings!$D$2:$E$6,2,FALSE)</f>
        <v>2</v>
      </c>
      <c r="J291" t="s">
        <v>36</v>
      </c>
      <c r="K291" t="s">
        <v>18</v>
      </c>
      <c r="L291" s="2">
        <f>VLOOKUP(K291,mappings!$A$2:$B$13,2,FALSE)</f>
        <v>8</v>
      </c>
      <c r="M291" t="s">
        <v>15</v>
      </c>
      <c r="N291" t="str">
        <f>VLOOKUP(E291,mappings!$L$1:$M$110,2,FALSE)</f>
        <v>No answer provided</v>
      </c>
      <c r="O291" t="str">
        <f>VLOOKUP(E291,mappings!L:O,3,FALSE)</f>
        <v>No answer provided</v>
      </c>
      <c r="P291" t="str">
        <f>VLOOKUP(E291,mappings!L:P,4,FALSE)</f>
        <v>No answer provided</v>
      </c>
    </row>
    <row r="292" spans="1:16" x14ac:dyDescent="0.2">
      <c r="A292">
        <v>291</v>
      </c>
      <c r="B292">
        <v>3878401700</v>
      </c>
      <c r="C292" t="s">
        <v>6</v>
      </c>
      <c r="D292" t="s">
        <v>31</v>
      </c>
      <c r="E292" t="s">
        <v>8</v>
      </c>
      <c r="F292" t="s">
        <v>16</v>
      </c>
      <c r="G292" s="2">
        <f>VLOOKUP(F292,mappings!$G$2:$H$6,2,FALSE)</f>
        <v>3</v>
      </c>
      <c r="H292" t="s">
        <v>43</v>
      </c>
      <c r="I292" s="2">
        <f>VLOOKUP(H292,mappings!$D$2:$E$6,2,FALSE)</f>
        <v>4</v>
      </c>
      <c r="J292" t="s">
        <v>36</v>
      </c>
      <c r="K292" t="s">
        <v>23</v>
      </c>
      <c r="L292" s="2">
        <f>VLOOKUP(K292,mappings!$A$2:$B$13,2,FALSE)</f>
        <v>3</v>
      </c>
      <c r="M292" t="s">
        <v>25</v>
      </c>
      <c r="N292" t="str">
        <f>VLOOKUP(E292,mappings!$L$1:$M$110,2,FALSE)</f>
        <v>No answer provided</v>
      </c>
      <c r="O292" t="str">
        <f>VLOOKUP(E292,mappings!L:O,3,FALSE)</f>
        <v>No answer provided</v>
      </c>
      <c r="P292" t="str">
        <f>VLOOKUP(E292,mappings!L:P,4,FALSE)</f>
        <v>No answer provided</v>
      </c>
    </row>
    <row r="293" spans="1:16" x14ac:dyDescent="0.2">
      <c r="A293">
        <v>292</v>
      </c>
      <c r="B293">
        <v>3878398785</v>
      </c>
      <c r="C293" t="s">
        <v>6</v>
      </c>
      <c r="D293" t="s">
        <v>7</v>
      </c>
      <c r="E293" t="s">
        <v>8</v>
      </c>
      <c r="F293" t="s">
        <v>16</v>
      </c>
      <c r="G293" s="2">
        <f>VLOOKUP(F293,mappings!$G$2:$H$6,2,FALSE)</f>
        <v>3</v>
      </c>
      <c r="H293" t="s">
        <v>161</v>
      </c>
      <c r="I293" s="2">
        <f>VLOOKUP(H293,mappings!$D$2:$E$6,2,FALSE)</f>
        <v>2</v>
      </c>
      <c r="J293" t="s">
        <v>36</v>
      </c>
      <c r="K293" t="s">
        <v>14</v>
      </c>
      <c r="L293" s="2">
        <f>VLOOKUP(K293,mappings!$A$2:$B$13,2,FALSE)</f>
        <v>6</v>
      </c>
      <c r="M293" t="s">
        <v>12</v>
      </c>
      <c r="N293" t="str">
        <f>VLOOKUP(E293,mappings!$L$1:$M$110,2,FALSE)</f>
        <v>No answer provided</v>
      </c>
      <c r="O293" t="str">
        <f>VLOOKUP(E293,mappings!L:O,3,FALSE)</f>
        <v>No answer provided</v>
      </c>
      <c r="P293" t="str">
        <f>VLOOKUP(E293,mappings!L:P,4,FALSE)</f>
        <v>No answer provided</v>
      </c>
    </row>
    <row r="294" spans="1:16" x14ac:dyDescent="0.2">
      <c r="A294">
        <v>293</v>
      </c>
      <c r="B294">
        <v>3878396691</v>
      </c>
      <c r="C294" t="s">
        <v>6</v>
      </c>
      <c r="D294" t="s">
        <v>31</v>
      </c>
      <c r="E294" t="s">
        <v>8</v>
      </c>
      <c r="F294" t="s">
        <v>22</v>
      </c>
      <c r="G294" s="2">
        <f>VLOOKUP(F294,mappings!$G$2:$H$6,2,FALSE)</f>
        <v>1</v>
      </c>
      <c r="H294" t="s">
        <v>161</v>
      </c>
      <c r="I294" s="2">
        <f>VLOOKUP(H294,mappings!$D$2:$E$6,2,FALSE)</f>
        <v>2</v>
      </c>
      <c r="J294" t="s">
        <v>10</v>
      </c>
      <c r="K294" t="s">
        <v>33</v>
      </c>
      <c r="L294" s="2">
        <f>VLOOKUP(K294,mappings!$A$2:$B$13,2,FALSE)</f>
        <v>5</v>
      </c>
      <c r="M294" t="s">
        <v>25</v>
      </c>
      <c r="N294" t="str">
        <f>VLOOKUP(E294,mappings!$L$1:$M$110,2,FALSE)</f>
        <v>No answer provided</v>
      </c>
      <c r="O294" t="str">
        <f>VLOOKUP(E294,mappings!L:O,3,FALSE)</f>
        <v>No answer provided</v>
      </c>
      <c r="P294" t="str">
        <f>VLOOKUP(E294,mappings!L:P,4,FALSE)</f>
        <v>No answer provided</v>
      </c>
    </row>
    <row r="295" spans="1:16" x14ac:dyDescent="0.2">
      <c r="A295">
        <v>294</v>
      </c>
      <c r="B295">
        <v>3878392986</v>
      </c>
      <c r="C295" t="s">
        <v>26</v>
      </c>
      <c r="D295" t="s">
        <v>40</v>
      </c>
      <c r="E295" t="s">
        <v>8</v>
      </c>
      <c r="F295" t="s">
        <v>9</v>
      </c>
      <c r="G295" s="2">
        <f>VLOOKUP(F295,mappings!$G$2:$H$6,2,FALSE)</f>
        <v>4</v>
      </c>
      <c r="H295" t="s">
        <v>43</v>
      </c>
      <c r="I295" s="2">
        <f>VLOOKUP(H295,mappings!$D$2:$E$6,2,FALSE)</f>
        <v>4</v>
      </c>
      <c r="J295" t="s">
        <v>36</v>
      </c>
      <c r="K295" t="s">
        <v>32</v>
      </c>
      <c r="L295" s="2">
        <f>VLOOKUP(K295,mappings!$A$2:$B$13,2,FALSE)</f>
        <v>2</v>
      </c>
      <c r="M295" t="s">
        <v>15</v>
      </c>
      <c r="N295" t="str">
        <f>VLOOKUP(E295,mappings!$L$1:$M$110,2,FALSE)</f>
        <v>No answer provided</v>
      </c>
      <c r="O295" t="str">
        <f>VLOOKUP(E295,mappings!L:O,3,FALSE)</f>
        <v>No answer provided</v>
      </c>
      <c r="P295" t="str">
        <f>VLOOKUP(E295,mappings!L:P,4,FALSE)</f>
        <v>No answer provided</v>
      </c>
    </row>
    <row r="296" spans="1:16" x14ac:dyDescent="0.2">
      <c r="A296">
        <v>295</v>
      </c>
      <c r="B296">
        <v>3878388646</v>
      </c>
      <c r="C296" t="s">
        <v>6</v>
      </c>
      <c r="D296" t="s">
        <v>1</v>
      </c>
      <c r="E296" t="s">
        <v>86</v>
      </c>
      <c r="F296" t="s">
        <v>9</v>
      </c>
      <c r="G296" s="2">
        <f>VLOOKUP(F296,mappings!$G$2:$H$6,2,FALSE)</f>
        <v>4</v>
      </c>
      <c r="H296" t="s">
        <v>43</v>
      </c>
      <c r="I296" s="2">
        <f>VLOOKUP(H296,mappings!$D$2:$E$6,2,FALSE)</f>
        <v>4</v>
      </c>
      <c r="J296" t="s">
        <v>36</v>
      </c>
      <c r="K296" t="s">
        <v>32</v>
      </c>
      <c r="L296" s="2">
        <f>VLOOKUP(K296,mappings!$A$2:$B$13,2,FALSE)</f>
        <v>2</v>
      </c>
      <c r="M296" t="s">
        <v>24</v>
      </c>
      <c r="N296" t="str">
        <f>VLOOKUP(E296,mappings!$L$1:$M$110,2,FALSE)</f>
        <v>Weather Underground</v>
      </c>
      <c r="O296" t="str">
        <f>VLOOKUP(E296,mappings!L:O,3,FALSE)</f>
        <v>Website</v>
      </c>
      <c r="P296" t="str">
        <f>VLOOKUP(E296,mappings!L:P,4,FALSE)</f>
        <v>Other or unkown</v>
      </c>
    </row>
    <row r="297" spans="1:16" x14ac:dyDescent="0.2">
      <c r="A297">
        <v>296</v>
      </c>
      <c r="B297">
        <v>3878386420</v>
      </c>
      <c r="C297" t="s">
        <v>26</v>
      </c>
      <c r="D297" t="s">
        <v>21</v>
      </c>
      <c r="E297" t="s">
        <v>8</v>
      </c>
      <c r="F297" t="s">
        <v>22</v>
      </c>
      <c r="G297" s="2">
        <f>VLOOKUP(F297,mappings!$G$2:$H$6,2,FALSE)</f>
        <v>1</v>
      </c>
      <c r="H297" t="s">
        <v>162</v>
      </c>
      <c r="I297" s="2">
        <f>VLOOKUP(H297,mappings!$D$2:$E$6,2,FALSE)</f>
        <v>1</v>
      </c>
      <c r="J297" t="s">
        <v>10</v>
      </c>
      <c r="K297" t="s">
        <v>29</v>
      </c>
      <c r="L297" s="2">
        <f>VLOOKUP(K297,mappings!$A$2:$B$13,2,FALSE)</f>
        <v>1</v>
      </c>
      <c r="M297" t="s">
        <v>24</v>
      </c>
      <c r="N297" t="str">
        <f>VLOOKUP(E297,mappings!$L$1:$M$110,2,FALSE)</f>
        <v>No answer provided</v>
      </c>
      <c r="O297" t="str">
        <f>VLOOKUP(E297,mappings!L:O,3,FALSE)</f>
        <v>No answer provided</v>
      </c>
      <c r="P297" t="str">
        <f>VLOOKUP(E297,mappings!L:P,4,FALSE)</f>
        <v>No answer provided</v>
      </c>
    </row>
    <row r="298" spans="1:16" x14ac:dyDescent="0.2">
      <c r="A298">
        <v>297</v>
      </c>
      <c r="B298">
        <v>3878381396</v>
      </c>
      <c r="C298" t="s">
        <v>6</v>
      </c>
      <c r="D298" t="s">
        <v>1</v>
      </c>
      <c r="E298" t="s">
        <v>87</v>
      </c>
      <c r="F298" t="s">
        <v>22</v>
      </c>
      <c r="G298" s="2">
        <f>VLOOKUP(F298,mappings!$G$2:$H$6,2,FALSE)</f>
        <v>1</v>
      </c>
      <c r="H298" t="s">
        <v>43</v>
      </c>
      <c r="I298" s="2">
        <f>VLOOKUP(H298,mappings!$D$2:$E$6,2,FALSE)</f>
        <v>4</v>
      </c>
      <c r="J298" t="s">
        <v>10</v>
      </c>
      <c r="K298" t="s">
        <v>11</v>
      </c>
      <c r="L298" s="2">
        <f>VLOOKUP(K298,mappings!$A$2:$B$13,2,FALSE)</f>
        <v>4</v>
      </c>
      <c r="M298" t="s">
        <v>24</v>
      </c>
      <c r="N298" t="str">
        <f>VLOOKUP(E298,mappings!$L$1:$M$110,2,FALSE)</f>
        <v>Weather Underground</v>
      </c>
      <c r="O298" t="str">
        <f>VLOOKUP(E298,mappings!L:O,3,FALSE)</f>
        <v>Website</v>
      </c>
      <c r="P298" t="str">
        <f>VLOOKUP(E298,mappings!L:P,4,FALSE)</f>
        <v>Other or unkown</v>
      </c>
    </row>
    <row r="299" spans="1:16" x14ac:dyDescent="0.2">
      <c r="A299">
        <v>298</v>
      </c>
      <c r="B299">
        <v>3878370379</v>
      </c>
      <c r="C299" t="s">
        <v>6</v>
      </c>
      <c r="D299" t="s">
        <v>7</v>
      </c>
      <c r="E299" t="s">
        <v>8</v>
      </c>
      <c r="F299" t="s">
        <v>16</v>
      </c>
      <c r="G299" s="2">
        <f>VLOOKUP(F299,mappings!$G$2:$H$6,2,FALSE)</f>
        <v>3</v>
      </c>
      <c r="H299" t="s">
        <v>162</v>
      </c>
      <c r="I299" s="2">
        <f>VLOOKUP(H299,mappings!$D$2:$E$6,2,FALSE)</f>
        <v>1</v>
      </c>
      <c r="J299" t="s">
        <v>10</v>
      </c>
      <c r="K299" t="s">
        <v>48</v>
      </c>
      <c r="L299" s="2">
        <f>VLOOKUP(K299,mappings!$A$2:$B$13,2,FALSE)</f>
        <v>7</v>
      </c>
      <c r="M299" t="s">
        <v>12</v>
      </c>
      <c r="N299" t="str">
        <f>VLOOKUP(E299,mappings!$L$1:$M$110,2,FALSE)</f>
        <v>No answer provided</v>
      </c>
      <c r="O299" t="str">
        <f>VLOOKUP(E299,mappings!L:O,3,FALSE)</f>
        <v>No answer provided</v>
      </c>
      <c r="P299" t="str">
        <f>VLOOKUP(E299,mappings!L:P,4,FALSE)</f>
        <v>No answer provided</v>
      </c>
    </row>
    <row r="300" spans="1:16" x14ac:dyDescent="0.2">
      <c r="A300">
        <v>299</v>
      </c>
      <c r="B300">
        <v>3878365414</v>
      </c>
      <c r="C300" t="s">
        <v>6</v>
      </c>
      <c r="D300" t="s">
        <v>31</v>
      </c>
      <c r="E300" t="s">
        <v>8</v>
      </c>
      <c r="F300" t="s">
        <v>22</v>
      </c>
      <c r="G300" s="2">
        <f>VLOOKUP(F300,mappings!$G$2:$H$6,2,FALSE)</f>
        <v>1</v>
      </c>
      <c r="H300" t="s">
        <v>43</v>
      </c>
      <c r="I300" s="2">
        <f>VLOOKUP(H300,mappings!$D$2:$E$6,2,FALSE)</f>
        <v>4</v>
      </c>
      <c r="J300" t="s">
        <v>10</v>
      </c>
      <c r="K300" t="s">
        <v>11</v>
      </c>
      <c r="L300" s="2">
        <f>VLOOKUP(K300,mappings!$A$2:$B$13,2,FALSE)</f>
        <v>4</v>
      </c>
      <c r="M300" t="s">
        <v>20</v>
      </c>
      <c r="N300" t="str">
        <f>VLOOKUP(E300,mappings!$L$1:$M$110,2,FALSE)</f>
        <v>No answer provided</v>
      </c>
      <c r="O300" t="str">
        <f>VLOOKUP(E300,mappings!L:O,3,FALSE)</f>
        <v>No answer provided</v>
      </c>
      <c r="P300" t="str">
        <f>VLOOKUP(E300,mappings!L:P,4,FALSE)</f>
        <v>No answer provided</v>
      </c>
    </row>
    <row r="301" spans="1:16" x14ac:dyDescent="0.2">
      <c r="A301">
        <v>300</v>
      </c>
      <c r="B301">
        <v>3878359420</v>
      </c>
      <c r="C301" t="s">
        <v>26</v>
      </c>
      <c r="D301" t="s">
        <v>27</v>
      </c>
      <c r="E301" t="s">
        <v>8</v>
      </c>
      <c r="F301" t="s">
        <v>28</v>
      </c>
      <c r="G301" s="2">
        <f>VLOOKUP(F301,mappings!$G$2:$H$6,2,FALSE)</f>
        <v>2</v>
      </c>
      <c r="H301" t="s">
        <v>163</v>
      </c>
      <c r="I301" s="2">
        <f>VLOOKUP(H301,mappings!$D$2:$E$6,2,FALSE)</f>
        <v>3</v>
      </c>
      <c r="J301" t="s">
        <v>10</v>
      </c>
      <c r="K301" t="s">
        <v>11</v>
      </c>
      <c r="L301" s="2">
        <f>VLOOKUP(K301,mappings!$A$2:$B$13,2,FALSE)</f>
        <v>4</v>
      </c>
      <c r="M301" t="s">
        <v>12</v>
      </c>
      <c r="N301" t="str">
        <f>VLOOKUP(E301,mappings!$L$1:$M$110,2,FALSE)</f>
        <v>No answer provided</v>
      </c>
      <c r="O301" t="str">
        <f>VLOOKUP(E301,mappings!L:O,3,FALSE)</f>
        <v>No answer provided</v>
      </c>
      <c r="P301" t="str">
        <f>VLOOKUP(E301,mappings!L:P,4,FALSE)</f>
        <v>No answer provided</v>
      </c>
    </row>
    <row r="302" spans="1:16" x14ac:dyDescent="0.2">
      <c r="A302">
        <v>301</v>
      </c>
      <c r="B302">
        <v>3878352834</v>
      </c>
      <c r="C302" t="s">
        <v>6</v>
      </c>
      <c r="D302" t="s">
        <v>7</v>
      </c>
      <c r="E302" t="s">
        <v>8</v>
      </c>
      <c r="F302" t="s">
        <v>22</v>
      </c>
      <c r="G302" s="2">
        <f>VLOOKUP(F302,mappings!$G$2:$H$6,2,FALSE)</f>
        <v>1</v>
      </c>
      <c r="H302" t="s">
        <v>163</v>
      </c>
      <c r="I302" s="2">
        <f>VLOOKUP(H302,mappings!$D$2:$E$6,2,FALSE)</f>
        <v>3</v>
      </c>
      <c r="J302" t="s">
        <v>10</v>
      </c>
      <c r="K302" t="s">
        <v>33</v>
      </c>
      <c r="L302" s="2">
        <f>VLOOKUP(K302,mappings!$A$2:$B$13,2,FALSE)</f>
        <v>5</v>
      </c>
      <c r="M302" t="s">
        <v>24</v>
      </c>
      <c r="N302" t="str">
        <f>VLOOKUP(E302,mappings!$L$1:$M$110,2,FALSE)</f>
        <v>No answer provided</v>
      </c>
      <c r="O302" t="str">
        <f>VLOOKUP(E302,mappings!L:O,3,FALSE)</f>
        <v>No answer provided</v>
      </c>
      <c r="P302" t="str">
        <f>VLOOKUP(E302,mappings!L:P,4,FALSE)</f>
        <v>No answer provided</v>
      </c>
    </row>
    <row r="303" spans="1:16" x14ac:dyDescent="0.2">
      <c r="A303">
        <v>302</v>
      </c>
      <c r="B303">
        <v>3878349775</v>
      </c>
      <c r="C303" t="s">
        <v>6</v>
      </c>
      <c r="D303" t="s">
        <v>31</v>
      </c>
      <c r="E303" t="s">
        <v>8</v>
      </c>
      <c r="F303" t="s">
        <v>22</v>
      </c>
      <c r="G303" s="2">
        <f>VLOOKUP(F303,mappings!$G$2:$H$6,2,FALSE)</f>
        <v>1</v>
      </c>
      <c r="H303" t="s">
        <v>43</v>
      </c>
      <c r="I303" s="2">
        <f>VLOOKUP(H303,mappings!$D$2:$E$6,2,FALSE)</f>
        <v>4</v>
      </c>
      <c r="J303" t="s">
        <v>10</v>
      </c>
      <c r="K303" t="s">
        <v>33</v>
      </c>
      <c r="L303" s="2">
        <f>VLOOKUP(K303,mappings!$A$2:$B$13,2,FALSE)</f>
        <v>5</v>
      </c>
      <c r="M303" t="s">
        <v>24</v>
      </c>
      <c r="N303" t="str">
        <f>VLOOKUP(E303,mappings!$L$1:$M$110,2,FALSE)</f>
        <v>No answer provided</v>
      </c>
      <c r="O303" t="str">
        <f>VLOOKUP(E303,mappings!L:O,3,FALSE)</f>
        <v>No answer provided</v>
      </c>
      <c r="P303" t="str">
        <f>VLOOKUP(E303,mappings!L:P,4,FALSE)</f>
        <v>No answer provided</v>
      </c>
    </row>
    <row r="304" spans="1:16" x14ac:dyDescent="0.2">
      <c r="A304">
        <v>303</v>
      </c>
      <c r="B304">
        <v>3878349239</v>
      </c>
      <c r="C304" t="s">
        <v>6</v>
      </c>
      <c r="D304" t="s">
        <v>21</v>
      </c>
      <c r="E304" t="s">
        <v>8</v>
      </c>
      <c r="F304" t="s">
        <v>9</v>
      </c>
      <c r="G304" s="2">
        <f>VLOOKUP(F304,mappings!$G$2:$H$6,2,FALSE)</f>
        <v>4</v>
      </c>
      <c r="H304" t="s">
        <v>43</v>
      </c>
      <c r="I304" s="2">
        <f>VLOOKUP(H304,mappings!$D$2:$E$6,2,FALSE)</f>
        <v>4</v>
      </c>
      <c r="J304" t="s">
        <v>10</v>
      </c>
      <c r="K304" t="s">
        <v>13</v>
      </c>
      <c r="L304" s="2">
        <f>VLOOKUP(K304,mappings!$A$2:$B$13,2,FALSE)</f>
        <v>11</v>
      </c>
      <c r="M304" t="s">
        <v>12</v>
      </c>
      <c r="N304" t="str">
        <f>VLOOKUP(E304,mappings!$L$1:$M$110,2,FALSE)</f>
        <v>No answer provided</v>
      </c>
      <c r="O304" t="str">
        <f>VLOOKUP(E304,mappings!L:O,3,FALSE)</f>
        <v>No answer provided</v>
      </c>
      <c r="P304" t="str">
        <f>VLOOKUP(E304,mappings!L:P,4,FALSE)</f>
        <v>No answer provided</v>
      </c>
    </row>
    <row r="305" spans="1:16" x14ac:dyDescent="0.2">
      <c r="A305">
        <v>304</v>
      </c>
      <c r="B305">
        <v>3878348366</v>
      </c>
      <c r="C305" t="s">
        <v>26</v>
      </c>
      <c r="D305" t="s">
        <v>41</v>
      </c>
      <c r="E305" t="s">
        <v>8</v>
      </c>
      <c r="F305" t="s">
        <v>22</v>
      </c>
      <c r="G305" s="2">
        <f>VLOOKUP(F305,mappings!$G$2:$H$6,2,FALSE)</f>
        <v>1</v>
      </c>
      <c r="H305" t="s">
        <v>43</v>
      </c>
      <c r="I305" s="2">
        <f>VLOOKUP(H305,mappings!$D$2:$E$6,2,FALSE)</f>
        <v>4</v>
      </c>
      <c r="J305" t="s">
        <v>36</v>
      </c>
      <c r="K305" t="s">
        <v>13</v>
      </c>
      <c r="L305" s="2">
        <f>VLOOKUP(K305,mappings!$A$2:$B$13,2,FALSE)</f>
        <v>11</v>
      </c>
      <c r="M305" t="s">
        <v>15</v>
      </c>
      <c r="N305" t="str">
        <f>VLOOKUP(E305,mappings!$L$1:$M$110,2,FALSE)</f>
        <v>No answer provided</v>
      </c>
      <c r="O305" t="str">
        <f>VLOOKUP(E305,mappings!L:O,3,FALSE)</f>
        <v>No answer provided</v>
      </c>
      <c r="P305" t="str">
        <f>VLOOKUP(E305,mappings!L:P,4,FALSE)</f>
        <v>No answer provided</v>
      </c>
    </row>
    <row r="306" spans="1:16" x14ac:dyDescent="0.2">
      <c r="A306">
        <v>305</v>
      </c>
      <c r="B306">
        <v>3878348238</v>
      </c>
      <c r="C306" t="s">
        <v>6</v>
      </c>
      <c r="D306" t="s">
        <v>27</v>
      </c>
      <c r="E306" t="s">
        <v>8</v>
      </c>
      <c r="F306" t="s">
        <v>9</v>
      </c>
      <c r="G306" s="2">
        <f>VLOOKUP(F306,mappings!$G$2:$H$6,2,FALSE)</f>
        <v>4</v>
      </c>
      <c r="H306" t="s">
        <v>163</v>
      </c>
      <c r="I306" s="2">
        <f>VLOOKUP(H306,mappings!$D$2:$E$6,2,FALSE)</f>
        <v>3</v>
      </c>
      <c r="J306" t="s">
        <v>10</v>
      </c>
      <c r="K306" t="s">
        <v>14</v>
      </c>
      <c r="L306" s="2">
        <f>VLOOKUP(K306,mappings!$A$2:$B$13,2,FALSE)</f>
        <v>6</v>
      </c>
      <c r="M306" t="s">
        <v>12</v>
      </c>
      <c r="N306" t="str">
        <f>VLOOKUP(E306,mappings!$L$1:$M$110,2,FALSE)</f>
        <v>No answer provided</v>
      </c>
      <c r="O306" t="str">
        <f>VLOOKUP(E306,mappings!L:O,3,FALSE)</f>
        <v>No answer provided</v>
      </c>
      <c r="P306" t="str">
        <f>VLOOKUP(E306,mappings!L:P,4,FALSE)</f>
        <v>No answer provided</v>
      </c>
    </row>
    <row r="307" spans="1:16" x14ac:dyDescent="0.2">
      <c r="A307">
        <v>306</v>
      </c>
      <c r="B307">
        <v>3878345997</v>
      </c>
      <c r="C307" t="s">
        <v>6</v>
      </c>
      <c r="D307" t="s">
        <v>7</v>
      </c>
      <c r="E307" t="s">
        <v>8</v>
      </c>
      <c r="F307" t="s">
        <v>9</v>
      </c>
      <c r="G307" s="2">
        <f>VLOOKUP(F307,mappings!$G$2:$H$6,2,FALSE)</f>
        <v>4</v>
      </c>
      <c r="H307" t="s">
        <v>43</v>
      </c>
      <c r="I307" s="2">
        <f>VLOOKUP(H307,mappings!$D$2:$E$6,2,FALSE)</f>
        <v>4</v>
      </c>
      <c r="J307" t="s">
        <v>10</v>
      </c>
      <c r="K307" t="s">
        <v>14</v>
      </c>
      <c r="L307" s="2">
        <f>VLOOKUP(K307,mappings!$A$2:$B$13,2,FALSE)</f>
        <v>6</v>
      </c>
      <c r="M307" t="s">
        <v>12</v>
      </c>
      <c r="N307" t="str">
        <f>VLOOKUP(E307,mappings!$L$1:$M$110,2,FALSE)</f>
        <v>No answer provided</v>
      </c>
      <c r="O307" t="str">
        <f>VLOOKUP(E307,mappings!L:O,3,FALSE)</f>
        <v>No answer provided</v>
      </c>
      <c r="P307" t="str">
        <f>VLOOKUP(E307,mappings!L:P,4,FALSE)</f>
        <v>No answer provided</v>
      </c>
    </row>
    <row r="308" spans="1:16" x14ac:dyDescent="0.2">
      <c r="A308">
        <v>307</v>
      </c>
      <c r="B308">
        <v>3878345589</v>
      </c>
      <c r="C308" t="s">
        <v>6</v>
      </c>
      <c r="D308" t="s">
        <v>7</v>
      </c>
      <c r="E308" t="s">
        <v>8</v>
      </c>
      <c r="F308" t="s">
        <v>9</v>
      </c>
      <c r="G308" s="2">
        <f>VLOOKUP(F308,mappings!$G$2:$H$6,2,FALSE)</f>
        <v>4</v>
      </c>
      <c r="H308" t="s">
        <v>43</v>
      </c>
      <c r="I308" s="2">
        <f>VLOOKUP(H308,mappings!$D$2:$E$6,2,FALSE)</f>
        <v>4</v>
      </c>
      <c r="J308" t="s">
        <v>10</v>
      </c>
      <c r="K308" t="s">
        <v>11</v>
      </c>
      <c r="L308" s="2">
        <f>VLOOKUP(K308,mappings!$A$2:$B$13,2,FALSE)</f>
        <v>4</v>
      </c>
      <c r="M308" t="s">
        <v>15</v>
      </c>
      <c r="N308" t="str">
        <f>VLOOKUP(E308,mappings!$L$1:$M$110,2,FALSE)</f>
        <v>No answer provided</v>
      </c>
      <c r="O308" t="str">
        <f>VLOOKUP(E308,mappings!L:O,3,FALSE)</f>
        <v>No answer provided</v>
      </c>
      <c r="P308" t="str">
        <f>VLOOKUP(E308,mappings!L:P,4,FALSE)</f>
        <v>No answer provided</v>
      </c>
    </row>
    <row r="309" spans="1:16" x14ac:dyDescent="0.2">
      <c r="A309">
        <v>308</v>
      </c>
      <c r="B309">
        <v>3878340200</v>
      </c>
      <c r="C309" t="s">
        <v>26</v>
      </c>
      <c r="D309" t="s">
        <v>31</v>
      </c>
      <c r="E309" t="s">
        <v>8</v>
      </c>
      <c r="F309" t="s">
        <v>9</v>
      </c>
      <c r="G309" s="2">
        <f>VLOOKUP(F309,mappings!$G$2:$H$6,2,FALSE)</f>
        <v>4</v>
      </c>
      <c r="H309" t="s">
        <v>163</v>
      </c>
      <c r="I309" s="2">
        <f>VLOOKUP(H309,mappings!$D$2:$E$6,2,FALSE)</f>
        <v>3</v>
      </c>
      <c r="J309" t="s">
        <v>10</v>
      </c>
      <c r="K309" t="s">
        <v>14</v>
      </c>
      <c r="L309" s="2">
        <f>VLOOKUP(K309,mappings!$A$2:$B$13,2,FALSE)</f>
        <v>6</v>
      </c>
      <c r="M309" t="s">
        <v>30</v>
      </c>
      <c r="N309" t="str">
        <f>VLOOKUP(E309,mappings!$L$1:$M$110,2,FALSE)</f>
        <v>No answer provided</v>
      </c>
      <c r="O309" t="str">
        <f>VLOOKUP(E309,mappings!L:O,3,FALSE)</f>
        <v>No answer provided</v>
      </c>
      <c r="P309" t="str">
        <f>VLOOKUP(E309,mappings!L:P,4,FALSE)</f>
        <v>No answer provided</v>
      </c>
    </row>
    <row r="310" spans="1:16" x14ac:dyDescent="0.2">
      <c r="A310">
        <v>309</v>
      </c>
      <c r="B310">
        <v>3878340018</v>
      </c>
      <c r="C310" t="s">
        <v>6</v>
      </c>
      <c r="D310" t="s">
        <v>1</v>
      </c>
      <c r="E310" t="s">
        <v>88</v>
      </c>
      <c r="F310" t="s">
        <v>9</v>
      </c>
      <c r="G310" s="2">
        <f>VLOOKUP(F310,mappings!$G$2:$H$6,2,FALSE)</f>
        <v>4</v>
      </c>
      <c r="H310" t="s">
        <v>161</v>
      </c>
      <c r="I310" s="2">
        <f>VLOOKUP(H310,mappings!$D$2:$E$6,2,FALSE)</f>
        <v>2</v>
      </c>
      <c r="J310" t="s">
        <v>36</v>
      </c>
      <c r="K310" t="s">
        <v>33</v>
      </c>
      <c r="L310" s="2">
        <f>VLOOKUP(K310,mappings!$A$2:$B$13,2,FALSE)</f>
        <v>5</v>
      </c>
      <c r="M310" t="s">
        <v>15</v>
      </c>
      <c r="N310" t="str">
        <f>VLOOKUP(E310,mappings!$L$1:$M$110,2,FALSE)</f>
        <v>The Weather Channel</v>
      </c>
      <c r="O310" t="str">
        <f>VLOOKUP(E310,mappings!L:O,3,FALSE)</f>
        <v>App</v>
      </c>
      <c r="P310" t="str">
        <f>VLOOKUP(E310,mappings!L:P,4,FALSE)</f>
        <v>Other or unkown</v>
      </c>
    </row>
    <row r="311" spans="1:16" x14ac:dyDescent="0.2">
      <c r="A311">
        <v>310</v>
      </c>
      <c r="B311">
        <v>3878339582</v>
      </c>
      <c r="C311" t="s">
        <v>26</v>
      </c>
      <c r="D311" t="s">
        <v>21</v>
      </c>
      <c r="E311" t="s">
        <v>8</v>
      </c>
      <c r="F311" t="s">
        <v>28</v>
      </c>
      <c r="G311" s="2">
        <f>VLOOKUP(F311,mappings!$G$2:$H$6,2,FALSE)</f>
        <v>2</v>
      </c>
      <c r="H311" t="s">
        <v>43</v>
      </c>
      <c r="I311" s="2">
        <f>VLOOKUP(H311,mappings!$D$2:$E$6,2,FALSE)</f>
        <v>4</v>
      </c>
      <c r="J311" t="s">
        <v>10</v>
      </c>
      <c r="K311" t="s">
        <v>48</v>
      </c>
      <c r="L311" s="2">
        <f>VLOOKUP(K311,mappings!$A$2:$B$13,2,FALSE)</f>
        <v>7</v>
      </c>
      <c r="M311" t="s">
        <v>34</v>
      </c>
      <c r="N311" t="str">
        <f>VLOOKUP(E311,mappings!$L$1:$M$110,2,FALSE)</f>
        <v>No answer provided</v>
      </c>
      <c r="O311" t="str">
        <f>VLOOKUP(E311,mappings!L:O,3,FALSE)</f>
        <v>No answer provided</v>
      </c>
      <c r="P311" t="str">
        <f>VLOOKUP(E311,mappings!L:P,4,FALSE)</f>
        <v>No answer provided</v>
      </c>
    </row>
    <row r="312" spans="1:16" x14ac:dyDescent="0.2">
      <c r="A312">
        <v>311</v>
      </c>
      <c r="B312">
        <v>3878339411</v>
      </c>
      <c r="C312" t="s">
        <v>6</v>
      </c>
      <c r="D312" t="s">
        <v>1</v>
      </c>
      <c r="E312" t="s">
        <v>85</v>
      </c>
      <c r="F312" t="s">
        <v>9</v>
      </c>
      <c r="G312" s="2">
        <f>VLOOKUP(F312,mappings!$G$2:$H$6,2,FALSE)</f>
        <v>4</v>
      </c>
      <c r="H312" t="s">
        <v>43</v>
      </c>
      <c r="I312" s="2">
        <f>VLOOKUP(H312,mappings!$D$2:$E$6,2,FALSE)</f>
        <v>4</v>
      </c>
      <c r="J312" t="s">
        <v>36</v>
      </c>
      <c r="K312" t="s">
        <v>14</v>
      </c>
      <c r="L312" s="2">
        <f>VLOOKUP(K312,mappings!$A$2:$B$13,2,FALSE)</f>
        <v>6</v>
      </c>
      <c r="M312" t="s">
        <v>24</v>
      </c>
      <c r="N312" t="str">
        <f>VLOOKUP(E312,mappings!$L$1:$M$110,2,FALSE)</f>
        <v>The Weather Channel</v>
      </c>
      <c r="O312" t="str">
        <f>VLOOKUP(E312,mappings!L:O,3,FALSE)</f>
        <v>Website</v>
      </c>
      <c r="P312" t="str">
        <f>VLOOKUP(E312,mappings!L:P,4,FALSE)</f>
        <v>Other or unkown</v>
      </c>
    </row>
    <row r="313" spans="1:16" x14ac:dyDescent="0.2">
      <c r="A313">
        <v>312</v>
      </c>
      <c r="B313">
        <v>3878337550</v>
      </c>
      <c r="C313" t="s">
        <v>6</v>
      </c>
      <c r="D313" t="s">
        <v>1</v>
      </c>
      <c r="E313" t="s">
        <v>89</v>
      </c>
      <c r="F313" t="s">
        <v>22</v>
      </c>
      <c r="G313" s="2">
        <f>VLOOKUP(F313,mappings!$G$2:$H$6,2,FALSE)</f>
        <v>1</v>
      </c>
      <c r="H313" t="s">
        <v>43</v>
      </c>
      <c r="I313" s="2">
        <f>VLOOKUP(H313,mappings!$D$2:$E$6,2,FALSE)</f>
        <v>4</v>
      </c>
      <c r="J313" t="s">
        <v>10</v>
      </c>
      <c r="K313" t="s">
        <v>14</v>
      </c>
      <c r="L313" s="2">
        <f>VLOOKUP(K313,mappings!$A$2:$B$13,2,FALSE)</f>
        <v>6</v>
      </c>
      <c r="M313" t="s">
        <v>30</v>
      </c>
      <c r="N313" t="str">
        <f>VLOOKUP(E313,mappings!$L$1:$M$110,2,FALSE)</f>
        <v>Intellicast</v>
      </c>
      <c r="O313" t="str">
        <f>VLOOKUP(E313,mappings!L:O,3,FALSE)</f>
        <v>Website</v>
      </c>
      <c r="P313" t="str">
        <f>VLOOKUP(E313,mappings!L:P,4,FALSE)</f>
        <v>Other or unkown</v>
      </c>
    </row>
    <row r="314" spans="1:16" x14ac:dyDescent="0.2">
      <c r="A314">
        <v>313</v>
      </c>
      <c r="B314">
        <v>3878336326</v>
      </c>
      <c r="C314" t="s">
        <v>26</v>
      </c>
      <c r="D314" t="s">
        <v>27</v>
      </c>
      <c r="E314" t="s">
        <v>8</v>
      </c>
      <c r="F314" t="s">
        <v>9</v>
      </c>
      <c r="G314" s="2">
        <f>VLOOKUP(F314,mappings!$G$2:$H$6,2,FALSE)</f>
        <v>4</v>
      </c>
      <c r="H314" t="s">
        <v>161</v>
      </c>
      <c r="I314" s="2">
        <f>VLOOKUP(H314,mappings!$D$2:$E$6,2,FALSE)</f>
        <v>2</v>
      </c>
      <c r="J314" t="s">
        <v>36</v>
      </c>
      <c r="K314" t="s">
        <v>13</v>
      </c>
      <c r="L314" s="2">
        <f>VLOOKUP(K314,mappings!$A$2:$B$13,2,FALSE)</f>
        <v>11</v>
      </c>
      <c r="M314" t="s">
        <v>24</v>
      </c>
      <c r="N314" t="str">
        <f>VLOOKUP(E314,mappings!$L$1:$M$110,2,FALSE)</f>
        <v>No answer provided</v>
      </c>
      <c r="O314" t="str">
        <f>VLOOKUP(E314,mappings!L:O,3,FALSE)</f>
        <v>No answer provided</v>
      </c>
      <c r="P314" t="str">
        <f>VLOOKUP(E314,mappings!L:P,4,FALSE)</f>
        <v>No answer provided</v>
      </c>
    </row>
    <row r="315" spans="1:16" x14ac:dyDescent="0.2">
      <c r="A315">
        <v>314</v>
      </c>
      <c r="B315">
        <v>3878335390</v>
      </c>
      <c r="C315" t="s">
        <v>26</v>
      </c>
      <c r="D315" t="s">
        <v>7</v>
      </c>
      <c r="E315" t="s">
        <v>8</v>
      </c>
      <c r="F315" t="s">
        <v>16</v>
      </c>
      <c r="G315" s="2">
        <f>VLOOKUP(F315,mappings!$G$2:$H$6,2,FALSE)</f>
        <v>3</v>
      </c>
      <c r="H315" t="s">
        <v>43</v>
      </c>
      <c r="I315" s="2">
        <f>VLOOKUP(H315,mappings!$D$2:$E$6,2,FALSE)</f>
        <v>4</v>
      </c>
      <c r="J315" t="s">
        <v>36</v>
      </c>
      <c r="K315" t="s">
        <v>13</v>
      </c>
      <c r="L315" s="2">
        <f>VLOOKUP(K315,mappings!$A$2:$B$13,2,FALSE)</f>
        <v>11</v>
      </c>
      <c r="M315" t="s">
        <v>24</v>
      </c>
      <c r="N315" t="str">
        <f>VLOOKUP(E315,mappings!$L$1:$M$110,2,FALSE)</f>
        <v>No answer provided</v>
      </c>
      <c r="O315" t="str">
        <f>VLOOKUP(E315,mappings!L:O,3,FALSE)</f>
        <v>No answer provided</v>
      </c>
      <c r="P315" t="str">
        <f>VLOOKUP(E315,mappings!L:P,4,FALSE)</f>
        <v>No answer provided</v>
      </c>
    </row>
    <row r="316" spans="1:16" x14ac:dyDescent="0.2">
      <c r="A316">
        <v>315</v>
      </c>
      <c r="B316">
        <v>3878332804</v>
      </c>
      <c r="C316" t="s">
        <v>6</v>
      </c>
      <c r="D316" t="s">
        <v>7</v>
      </c>
      <c r="E316" t="s">
        <v>8</v>
      </c>
      <c r="F316" t="s">
        <v>16</v>
      </c>
      <c r="G316" s="2">
        <f>VLOOKUP(F316,mappings!$G$2:$H$6,2,FALSE)</f>
        <v>3</v>
      </c>
      <c r="H316" t="s">
        <v>161</v>
      </c>
      <c r="I316" s="2">
        <f>VLOOKUP(H316,mappings!$D$2:$E$6,2,FALSE)</f>
        <v>2</v>
      </c>
      <c r="J316" t="s">
        <v>36</v>
      </c>
      <c r="K316" t="s">
        <v>23</v>
      </c>
      <c r="L316" s="2">
        <f>VLOOKUP(K316,mappings!$A$2:$B$13,2,FALSE)</f>
        <v>3</v>
      </c>
      <c r="M316" t="s">
        <v>30</v>
      </c>
      <c r="N316" t="str">
        <f>VLOOKUP(E316,mappings!$L$1:$M$110,2,FALSE)</f>
        <v>No answer provided</v>
      </c>
      <c r="O316" t="str">
        <f>VLOOKUP(E316,mappings!L:O,3,FALSE)</f>
        <v>No answer provided</v>
      </c>
      <c r="P316" t="str">
        <f>VLOOKUP(E316,mappings!L:P,4,FALSE)</f>
        <v>No answer provided</v>
      </c>
    </row>
    <row r="317" spans="1:16" x14ac:dyDescent="0.2">
      <c r="A317">
        <v>316</v>
      </c>
      <c r="B317">
        <v>3878331425</v>
      </c>
      <c r="C317" t="s">
        <v>6</v>
      </c>
      <c r="D317" t="s">
        <v>1</v>
      </c>
      <c r="E317" t="s">
        <v>90</v>
      </c>
      <c r="F317" t="s">
        <v>16</v>
      </c>
      <c r="G317" s="2">
        <f>VLOOKUP(F317,mappings!$G$2:$H$6,2,FALSE)</f>
        <v>3</v>
      </c>
      <c r="H317" t="s">
        <v>163</v>
      </c>
      <c r="I317" s="2">
        <f>VLOOKUP(H317,mappings!$D$2:$E$6,2,FALSE)</f>
        <v>3</v>
      </c>
      <c r="J317" t="s">
        <v>10</v>
      </c>
      <c r="K317" t="s">
        <v>11</v>
      </c>
      <c r="L317" s="2">
        <f>VLOOKUP(K317,mappings!$A$2:$B$13,2,FALSE)</f>
        <v>4</v>
      </c>
      <c r="M317" t="s">
        <v>12</v>
      </c>
      <c r="N317" t="str">
        <f>VLOOKUP(E317,mappings!$L$1:$M$110,2,FALSE)</f>
        <v>Other weather site</v>
      </c>
      <c r="O317" t="str">
        <f>VLOOKUP(E317,mappings!L:O,3,FALSE)</f>
        <v>Website</v>
      </c>
      <c r="P317" t="str">
        <f>VLOOKUP(E317,mappings!L:P,4,FALSE)</f>
        <v>Other or unkown</v>
      </c>
    </row>
    <row r="318" spans="1:16" x14ac:dyDescent="0.2">
      <c r="A318">
        <v>317</v>
      </c>
      <c r="B318">
        <v>3878324728</v>
      </c>
      <c r="C318" t="s">
        <v>26</v>
      </c>
      <c r="D318" t="s">
        <v>27</v>
      </c>
      <c r="E318" t="s">
        <v>8</v>
      </c>
      <c r="F318" t="s">
        <v>22</v>
      </c>
      <c r="G318" s="2">
        <f>VLOOKUP(F318,mappings!$G$2:$H$6,2,FALSE)</f>
        <v>1</v>
      </c>
      <c r="H318" t="s">
        <v>162</v>
      </c>
      <c r="I318" s="2">
        <f>VLOOKUP(H318,mappings!$D$2:$E$6,2,FALSE)</f>
        <v>1</v>
      </c>
      <c r="J318" t="s">
        <v>10</v>
      </c>
      <c r="K318" t="s">
        <v>47</v>
      </c>
      <c r="L318" s="2">
        <f>VLOOKUP(K318,mappings!$A$2:$B$13,2,FALSE)</f>
        <v>9</v>
      </c>
      <c r="M318" t="s">
        <v>20</v>
      </c>
      <c r="N318" t="str">
        <f>VLOOKUP(E318,mappings!$L$1:$M$110,2,FALSE)</f>
        <v>No answer provided</v>
      </c>
      <c r="O318" t="str">
        <f>VLOOKUP(E318,mappings!L:O,3,FALSE)</f>
        <v>No answer provided</v>
      </c>
      <c r="P318" t="str">
        <f>VLOOKUP(E318,mappings!L:P,4,FALSE)</f>
        <v>No answer provided</v>
      </c>
    </row>
    <row r="319" spans="1:16" x14ac:dyDescent="0.2">
      <c r="A319">
        <v>318</v>
      </c>
      <c r="B319">
        <v>3878324500</v>
      </c>
      <c r="C319" t="s">
        <v>6</v>
      </c>
      <c r="D319" t="s">
        <v>27</v>
      </c>
      <c r="E319" t="s">
        <v>8</v>
      </c>
      <c r="F319" t="s">
        <v>16</v>
      </c>
      <c r="G319" s="2">
        <f>VLOOKUP(F319,mappings!$G$2:$H$6,2,FALSE)</f>
        <v>3</v>
      </c>
      <c r="H319" t="s">
        <v>43</v>
      </c>
      <c r="I319" s="2">
        <f>VLOOKUP(H319,mappings!$D$2:$E$6,2,FALSE)</f>
        <v>4</v>
      </c>
      <c r="J319" t="s">
        <v>36</v>
      </c>
      <c r="K319" t="s">
        <v>13</v>
      </c>
      <c r="L319" s="2">
        <f>VLOOKUP(K319,mappings!$A$2:$B$13,2,FALSE)</f>
        <v>11</v>
      </c>
      <c r="M319" t="s">
        <v>15</v>
      </c>
      <c r="N319" t="str">
        <f>VLOOKUP(E319,mappings!$L$1:$M$110,2,FALSE)</f>
        <v>No answer provided</v>
      </c>
      <c r="O319" t="str">
        <f>VLOOKUP(E319,mappings!L:O,3,FALSE)</f>
        <v>No answer provided</v>
      </c>
      <c r="P319" t="str">
        <f>VLOOKUP(E319,mappings!L:P,4,FALSE)</f>
        <v>No answer provided</v>
      </c>
    </row>
    <row r="320" spans="1:16" x14ac:dyDescent="0.2">
      <c r="A320">
        <v>319</v>
      </c>
      <c r="B320">
        <v>3878319761</v>
      </c>
      <c r="C320" t="s">
        <v>6</v>
      </c>
      <c r="D320" t="s">
        <v>1</v>
      </c>
      <c r="E320" t="s">
        <v>91</v>
      </c>
      <c r="F320" t="s">
        <v>16</v>
      </c>
      <c r="G320" s="2">
        <f>VLOOKUP(F320,mappings!$G$2:$H$6,2,FALSE)</f>
        <v>3</v>
      </c>
      <c r="H320" t="s">
        <v>43</v>
      </c>
      <c r="I320" s="2">
        <f>VLOOKUP(H320,mappings!$D$2:$E$6,2,FALSE)</f>
        <v>4</v>
      </c>
      <c r="J320" t="s">
        <v>36</v>
      </c>
      <c r="K320" t="s">
        <v>18</v>
      </c>
      <c r="L320" s="2">
        <f>VLOOKUP(K320,mappings!$A$2:$B$13,2,FALSE)</f>
        <v>8</v>
      </c>
      <c r="M320" t="s">
        <v>12</v>
      </c>
      <c r="N320" t="str">
        <f>VLOOKUP(E320,mappings!$L$1:$M$110,2,FALSE)</f>
        <v>Local News</v>
      </c>
      <c r="O320" t="str">
        <f>VLOOKUP(E320,mappings!L:O,3,FALSE)</f>
        <v>Website</v>
      </c>
      <c r="P320" t="str">
        <f>VLOOKUP(E320,mappings!L:P,4,FALSE)</f>
        <v>Other or unkown</v>
      </c>
    </row>
    <row r="321" spans="1:16" x14ac:dyDescent="0.2">
      <c r="A321">
        <v>320</v>
      </c>
      <c r="B321">
        <v>3878319271</v>
      </c>
      <c r="C321" t="s">
        <v>6</v>
      </c>
      <c r="D321" t="s">
        <v>27</v>
      </c>
      <c r="E321" t="s">
        <v>8</v>
      </c>
      <c r="F321" t="s">
        <v>16</v>
      </c>
      <c r="G321" s="2">
        <f>VLOOKUP(F321,mappings!$G$2:$H$6,2,FALSE)</f>
        <v>3</v>
      </c>
      <c r="H321" t="s">
        <v>43</v>
      </c>
      <c r="I321" s="2">
        <f>VLOOKUP(H321,mappings!$D$2:$E$6,2,FALSE)</f>
        <v>4</v>
      </c>
      <c r="J321" t="s">
        <v>36</v>
      </c>
      <c r="K321" t="s">
        <v>23</v>
      </c>
      <c r="L321" s="2">
        <f>VLOOKUP(K321,mappings!$A$2:$B$13,2,FALSE)</f>
        <v>3</v>
      </c>
      <c r="M321" t="s">
        <v>30</v>
      </c>
      <c r="N321" t="str">
        <f>VLOOKUP(E321,mappings!$L$1:$M$110,2,FALSE)</f>
        <v>No answer provided</v>
      </c>
      <c r="O321" t="str">
        <f>VLOOKUP(E321,mappings!L:O,3,FALSE)</f>
        <v>No answer provided</v>
      </c>
      <c r="P321" t="str">
        <f>VLOOKUP(E321,mappings!L:P,4,FALSE)</f>
        <v>No answer provided</v>
      </c>
    </row>
    <row r="322" spans="1:16" x14ac:dyDescent="0.2">
      <c r="A322">
        <v>321</v>
      </c>
      <c r="B322">
        <v>3878317738</v>
      </c>
      <c r="C322" t="s">
        <v>6</v>
      </c>
      <c r="D322" t="s">
        <v>31</v>
      </c>
      <c r="E322" t="s">
        <v>8</v>
      </c>
      <c r="F322" t="s">
        <v>22</v>
      </c>
      <c r="G322" s="2">
        <f>VLOOKUP(F322,mappings!$G$2:$H$6,2,FALSE)</f>
        <v>1</v>
      </c>
      <c r="H322" t="s">
        <v>43</v>
      </c>
      <c r="I322" s="2">
        <f>VLOOKUP(H322,mappings!$D$2:$E$6,2,FALSE)</f>
        <v>4</v>
      </c>
      <c r="J322" t="s">
        <v>10</v>
      </c>
      <c r="K322" t="s">
        <v>11</v>
      </c>
      <c r="L322" s="2">
        <f>VLOOKUP(K322,mappings!$A$2:$B$13,2,FALSE)</f>
        <v>4</v>
      </c>
      <c r="M322" t="s">
        <v>24</v>
      </c>
      <c r="N322" t="str">
        <f>VLOOKUP(E322,mappings!$L$1:$M$110,2,FALSE)</f>
        <v>No answer provided</v>
      </c>
      <c r="O322" t="str">
        <f>VLOOKUP(E322,mappings!L:O,3,FALSE)</f>
        <v>No answer provided</v>
      </c>
      <c r="P322" t="str">
        <f>VLOOKUP(E322,mappings!L:P,4,FALSE)</f>
        <v>No answer provided</v>
      </c>
    </row>
    <row r="323" spans="1:16" x14ac:dyDescent="0.2">
      <c r="A323">
        <v>322</v>
      </c>
      <c r="B323">
        <v>3878317474</v>
      </c>
      <c r="C323" t="s">
        <v>26</v>
      </c>
      <c r="D323" t="s">
        <v>21</v>
      </c>
      <c r="E323" t="s">
        <v>8</v>
      </c>
      <c r="F323" t="s">
        <v>16</v>
      </c>
      <c r="G323" s="2">
        <f>VLOOKUP(F323,mappings!$G$2:$H$6,2,FALSE)</f>
        <v>3</v>
      </c>
      <c r="H323" t="s">
        <v>43</v>
      </c>
      <c r="I323" s="2">
        <f>VLOOKUP(H323,mappings!$D$2:$E$6,2,FALSE)</f>
        <v>4</v>
      </c>
      <c r="J323" t="s">
        <v>10</v>
      </c>
      <c r="K323" t="s">
        <v>14</v>
      </c>
      <c r="L323" s="2">
        <f>VLOOKUP(K323,mappings!$A$2:$B$13,2,FALSE)</f>
        <v>6</v>
      </c>
      <c r="M323" t="s">
        <v>24</v>
      </c>
      <c r="N323" t="str">
        <f>VLOOKUP(E323,mappings!$L$1:$M$110,2,FALSE)</f>
        <v>No answer provided</v>
      </c>
      <c r="O323" t="str">
        <f>VLOOKUP(E323,mappings!L:O,3,FALSE)</f>
        <v>No answer provided</v>
      </c>
      <c r="P323" t="str">
        <f>VLOOKUP(E323,mappings!L:P,4,FALSE)</f>
        <v>No answer provided</v>
      </c>
    </row>
    <row r="324" spans="1:16" x14ac:dyDescent="0.2">
      <c r="A324">
        <v>323</v>
      </c>
      <c r="B324">
        <v>3878317326</v>
      </c>
      <c r="C324" t="s">
        <v>6</v>
      </c>
      <c r="D324" t="s">
        <v>31</v>
      </c>
      <c r="E324" t="s">
        <v>8</v>
      </c>
      <c r="F324" t="s">
        <v>22</v>
      </c>
      <c r="G324" s="2">
        <f>VLOOKUP(F324,mappings!$G$2:$H$6,2,FALSE)</f>
        <v>1</v>
      </c>
      <c r="H324" t="s">
        <v>161</v>
      </c>
      <c r="I324" s="2">
        <f>VLOOKUP(H324,mappings!$D$2:$E$6,2,FALSE)</f>
        <v>2</v>
      </c>
      <c r="J324" t="s">
        <v>36</v>
      </c>
      <c r="K324" t="s">
        <v>11</v>
      </c>
      <c r="L324" s="2">
        <f>VLOOKUP(K324,mappings!$A$2:$B$13,2,FALSE)</f>
        <v>4</v>
      </c>
      <c r="M324" t="s">
        <v>20</v>
      </c>
      <c r="N324" t="str">
        <f>VLOOKUP(E324,mappings!$L$1:$M$110,2,FALSE)</f>
        <v>No answer provided</v>
      </c>
      <c r="O324" t="str">
        <f>VLOOKUP(E324,mappings!L:O,3,FALSE)</f>
        <v>No answer provided</v>
      </c>
      <c r="P324" t="str">
        <f>VLOOKUP(E324,mappings!L:P,4,FALSE)</f>
        <v>No answer provided</v>
      </c>
    </row>
    <row r="325" spans="1:16" x14ac:dyDescent="0.2">
      <c r="A325">
        <v>324</v>
      </c>
      <c r="B325">
        <v>3878316445</v>
      </c>
      <c r="C325" t="s">
        <v>26</v>
      </c>
      <c r="D325" t="s">
        <v>21</v>
      </c>
      <c r="E325" t="s">
        <v>8</v>
      </c>
      <c r="F325" t="s">
        <v>22</v>
      </c>
      <c r="G325" s="2">
        <f>VLOOKUP(F325,mappings!$G$2:$H$6,2,FALSE)</f>
        <v>1</v>
      </c>
      <c r="H325" t="s">
        <v>43</v>
      </c>
      <c r="I325" s="2">
        <f>VLOOKUP(H325,mappings!$D$2:$E$6,2,FALSE)</f>
        <v>4</v>
      </c>
      <c r="J325" t="s">
        <v>36</v>
      </c>
      <c r="K325" t="s">
        <v>13</v>
      </c>
      <c r="L325" s="2">
        <f>VLOOKUP(K325,mappings!$A$2:$B$13,2,FALSE)</f>
        <v>11</v>
      </c>
      <c r="M325" t="s">
        <v>34</v>
      </c>
      <c r="N325" t="str">
        <f>VLOOKUP(E325,mappings!$L$1:$M$110,2,FALSE)</f>
        <v>No answer provided</v>
      </c>
      <c r="O325" t="str">
        <f>VLOOKUP(E325,mappings!L:O,3,FALSE)</f>
        <v>No answer provided</v>
      </c>
      <c r="P325" t="str">
        <f>VLOOKUP(E325,mappings!L:P,4,FALSE)</f>
        <v>No answer provided</v>
      </c>
    </row>
    <row r="326" spans="1:16" x14ac:dyDescent="0.2">
      <c r="A326">
        <v>325</v>
      </c>
      <c r="B326">
        <v>3878315845</v>
      </c>
      <c r="C326" t="s">
        <v>6</v>
      </c>
      <c r="D326" t="s">
        <v>31</v>
      </c>
      <c r="E326" t="s">
        <v>8</v>
      </c>
      <c r="F326" t="s">
        <v>9</v>
      </c>
      <c r="G326" s="2">
        <f>VLOOKUP(F326,mappings!$G$2:$H$6,2,FALSE)</f>
        <v>4</v>
      </c>
      <c r="H326" t="s">
        <v>163</v>
      </c>
      <c r="I326" s="2">
        <f>VLOOKUP(H326,mappings!$D$2:$E$6,2,FALSE)</f>
        <v>3</v>
      </c>
      <c r="J326" t="s">
        <v>36</v>
      </c>
      <c r="K326" t="s">
        <v>11</v>
      </c>
      <c r="L326" s="2">
        <f>VLOOKUP(K326,mappings!$A$2:$B$13,2,FALSE)</f>
        <v>4</v>
      </c>
      <c r="M326" t="s">
        <v>34</v>
      </c>
      <c r="N326" t="str">
        <f>VLOOKUP(E326,mappings!$L$1:$M$110,2,FALSE)</f>
        <v>No answer provided</v>
      </c>
      <c r="O326" t="str">
        <f>VLOOKUP(E326,mappings!L:O,3,FALSE)</f>
        <v>No answer provided</v>
      </c>
      <c r="P326" t="str">
        <f>VLOOKUP(E326,mappings!L:P,4,FALSE)</f>
        <v>No answer provided</v>
      </c>
    </row>
    <row r="327" spans="1:16" x14ac:dyDescent="0.2">
      <c r="A327">
        <v>326</v>
      </c>
      <c r="B327">
        <v>3878315601</v>
      </c>
      <c r="C327" t="s">
        <v>6</v>
      </c>
      <c r="D327" t="s">
        <v>1</v>
      </c>
      <c r="E327" t="s">
        <v>92</v>
      </c>
      <c r="F327" t="s">
        <v>9</v>
      </c>
      <c r="G327" s="2">
        <f>VLOOKUP(F327,mappings!$G$2:$H$6,2,FALSE)</f>
        <v>4</v>
      </c>
      <c r="H327" t="s">
        <v>163</v>
      </c>
      <c r="I327" s="2">
        <f>VLOOKUP(H327,mappings!$D$2:$E$6,2,FALSE)</f>
        <v>3</v>
      </c>
      <c r="J327" t="s">
        <v>36</v>
      </c>
      <c r="K327" t="s">
        <v>13</v>
      </c>
      <c r="L327" s="2">
        <f>VLOOKUP(K327,mappings!$A$2:$B$13,2,FALSE)</f>
        <v>11</v>
      </c>
      <c r="M327" t="s">
        <v>38</v>
      </c>
      <c r="N327" t="str">
        <f>VLOOKUP(E327,mappings!$L$1:$M$110,2,FALSE)</f>
        <v>AccuWeather</v>
      </c>
      <c r="O327" t="str">
        <f>VLOOKUP(E327,mappings!L:O,3,FALSE)</f>
        <v>Website</v>
      </c>
      <c r="P327" t="str">
        <f>VLOOKUP(E327,mappings!L:P,4,FALSE)</f>
        <v>Other or unkown</v>
      </c>
    </row>
    <row r="328" spans="1:16" x14ac:dyDescent="0.2">
      <c r="A328">
        <v>327</v>
      </c>
      <c r="B328">
        <v>3878313074</v>
      </c>
      <c r="C328" t="s">
        <v>6</v>
      </c>
      <c r="D328" t="s">
        <v>41</v>
      </c>
      <c r="E328" t="s">
        <v>8</v>
      </c>
      <c r="F328" t="s">
        <v>28</v>
      </c>
      <c r="G328" s="2">
        <f>VLOOKUP(F328,mappings!$G$2:$H$6,2,FALSE)</f>
        <v>2</v>
      </c>
      <c r="H328" t="s">
        <v>43</v>
      </c>
      <c r="I328" s="2">
        <f>VLOOKUP(H328,mappings!$D$2:$E$6,2,FALSE)</f>
        <v>4</v>
      </c>
      <c r="J328" t="s">
        <v>36</v>
      </c>
      <c r="K328" t="s">
        <v>13</v>
      </c>
      <c r="L328" s="2">
        <f>VLOOKUP(K328,mappings!$A$2:$B$13,2,FALSE)</f>
        <v>11</v>
      </c>
      <c r="M328" t="s">
        <v>12</v>
      </c>
      <c r="N328" t="str">
        <f>VLOOKUP(E328,mappings!$L$1:$M$110,2,FALSE)</f>
        <v>No answer provided</v>
      </c>
      <c r="O328" t="str">
        <f>VLOOKUP(E328,mappings!L:O,3,FALSE)</f>
        <v>No answer provided</v>
      </c>
      <c r="P328" t="str">
        <f>VLOOKUP(E328,mappings!L:P,4,FALSE)</f>
        <v>No answer provided</v>
      </c>
    </row>
    <row r="329" spans="1:16" x14ac:dyDescent="0.2">
      <c r="A329">
        <v>328</v>
      </c>
      <c r="B329">
        <v>3878312380</v>
      </c>
      <c r="C329" t="s">
        <v>6</v>
      </c>
      <c r="D329" t="s">
        <v>7</v>
      </c>
      <c r="E329" t="s">
        <v>8</v>
      </c>
      <c r="F329" t="s">
        <v>16</v>
      </c>
      <c r="G329" s="2">
        <f>VLOOKUP(F329,mappings!$G$2:$H$6,2,FALSE)</f>
        <v>3</v>
      </c>
      <c r="H329" t="s">
        <v>43</v>
      </c>
      <c r="I329" s="2">
        <f>VLOOKUP(H329,mappings!$D$2:$E$6,2,FALSE)</f>
        <v>4</v>
      </c>
      <c r="J329" t="s">
        <v>10</v>
      </c>
      <c r="K329" t="s">
        <v>32</v>
      </c>
      <c r="L329" s="2">
        <f>VLOOKUP(K329,mappings!$A$2:$B$13,2,FALSE)</f>
        <v>2</v>
      </c>
      <c r="M329" t="s">
        <v>42</v>
      </c>
      <c r="N329" t="str">
        <f>VLOOKUP(E329,mappings!$L$1:$M$110,2,FALSE)</f>
        <v>No answer provided</v>
      </c>
      <c r="O329" t="str">
        <f>VLOOKUP(E329,mappings!L:O,3,FALSE)</f>
        <v>No answer provided</v>
      </c>
      <c r="P329" t="str">
        <f>VLOOKUP(E329,mappings!L:P,4,FALSE)</f>
        <v>No answer provided</v>
      </c>
    </row>
    <row r="330" spans="1:16" x14ac:dyDescent="0.2">
      <c r="A330">
        <v>329</v>
      </c>
      <c r="B330">
        <v>3878311826</v>
      </c>
      <c r="C330" t="s">
        <v>26</v>
      </c>
      <c r="D330" t="s">
        <v>27</v>
      </c>
      <c r="E330" t="s">
        <v>8</v>
      </c>
      <c r="F330" t="s">
        <v>22</v>
      </c>
      <c r="G330" s="2">
        <f>VLOOKUP(F330,mappings!$G$2:$H$6,2,FALSE)</f>
        <v>1</v>
      </c>
      <c r="H330" t="s">
        <v>43</v>
      </c>
      <c r="I330" s="2">
        <f>VLOOKUP(H330,mappings!$D$2:$E$6,2,FALSE)</f>
        <v>4</v>
      </c>
      <c r="J330" t="s">
        <v>10</v>
      </c>
      <c r="K330" t="s">
        <v>23</v>
      </c>
      <c r="L330" s="2">
        <f>VLOOKUP(K330,mappings!$A$2:$B$13,2,FALSE)</f>
        <v>3</v>
      </c>
      <c r="M330" t="s">
        <v>8</v>
      </c>
      <c r="N330" t="str">
        <f>VLOOKUP(E330,mappings!$L$1:$M$110,2,FALSE)</f>
        <v>No answer provided</v>
      </c>
      <c r="O330" t="str">
        <f>VLOOKUP(E330,mappings!L:O,3,FALSE)</f>
        <v>No answer provided</v>
      </c>
      <c r="P330" t="str">
        <f>VLOOKUP(E330,mappings!L:P,4,FALSE)</f>
        <v>No answer provided</v>
      </c>
    </row>
    <row r="331" spans="1:16" x14ac:dyDescent="0.2">
      <c r="A331">
        <v>330</v>
      </c>
      <c r="B331">
        <v>3878311562</v>
      </c>
      <c r="C331" t="s">
        <v>6</v>
      </c>
      <c r="D331" t="s">
        <v>7</v>
      </c>
      <c r="E331" t="s">
        <v>8</v>
      </c>
      <c r="F331" t="s">
        <v>9</v>
      </c>
      <c r="G331" s="2">
        <f>VLOOKUP(F331,mappings!$G$2:$H$6,2,FALSE)</f>
        <v>4</v>
      </c>
      <c r="H331" t="s">
        <v>161</v>
      </c>
      <c r="I331" s="2">
        <f>VLOOKUP(H331,mappings!$D$2:$E$6,2,FALSE)</f>
        <v>2</v>
      </c>
      <c r="J331" t="s">
        <v>36</v>
      </c>
      <c r="K331" t="s">
        <v>23</v>
      </c>
      <c r="L331" s="2">
        <f>VLOOKUP(K331,mappings!$A$2:$B$13,2,FALSE)</f>
        <v>3</v>
      </c>
      <c r="M331" t="s">
        <v>12</v>
      </c>
      <c r="N331" t="str">
        <f>VLOOKUP(E331,mappings!$L$1:$M$110,2,FALSE)</f>
        <v>No answer provided</v>
      </c>
      <c r="O331" t="str">
        <f>VLOOKUP(E331,mappings!L:O,3,FALSE)</f>
        <v>No answer provided</v>
      </c>
      <c r="P331" t="str">
        <f>VLOOKUP(E331,mappings!L:P,4,FALSE)</f>
        <v>No answer provided</v>
      </c>
    </row>
    <row r="332" spans="1:16" x14ac:dyDescent="0.2">
      <c r="A332">
        <v>331</v>
      </c>
      <c r="B332">
        <v>3878310702</v>
      </c>
      <c r="C332" t="s">
        <v>6</v>
      </c>
      <c r="D332" t="s">
        <v>41</v>
      </c>
      <c r="E332" t="s">
        <v>8</v>
      </c>
      <c r="F332" t="s">
        <v>16</v>
      </c>
      <c r="G332" s="2">
        <f>VLOOKUP(F332,mappings!$G$2:$H$6,2,FALSE)</f>
        <v>3</v>
      </c>
      <c r="H332" t="s">
        <v>43</v>
      </c>
      <c r="I332" s="2">
        <f>VLOOKUP(H332,mappings!$D$2:$E$6,2,FALSE)</f>
        <v>4</v>
      </c>
      <c r="J332" t="s">
        <v>36</v>
      </c>
      <c r="K332" t="s">
        <v>11</v>
      </c>
      <c r="L332" s="2">
        <f>VLOOKUP(K332,mappings!$A$2:$B$13,2,FALSE)</f>
        <v>4</v>
      </c>
      <c r="M332" t="s">
        <v>12</v>
      </c>
      <c r="N332" t="str">
        <f>VLOOKUP(E332,mappings!$L$1:$M$110,2,FALSE)</f>
        <v>No answer provided</v>
      </c>
      <c r="O332" t="str">
        <f>VLOOKUP(E332,mappings!L:O,3,FALSE)</f>
        <v>No answer provided</v>
      </c>
      <c r="P332" t="str">
        <f>VLOOKUP(E332,mappings!L:P,4,FALSE)</f>
        <v>No answer provided</v>
      </c>
    </row>
    <row r="333" spans="1:16" x14ac:dyDescent="0.2">
      <c r="A333">
        <v>332</v>
      </c>
      <c r="B333">
        <v>3878310569</v>
      </c>
      <c r="C333" t="s">
        <v>26</v>
      </c>
      <c r="D333" t="s">
        <v>40</v>
      </c>
      <c r="E333" t="s">
        <v>8</v>
      </c>
      <c r="F333" t="s">
        <v>22</v>
      </c>
      <c r="G333" s="2">
        <f>VLOOKUP(F333,mappings!$G$2:$H$6,2,FALSE)</f>
        <v>1</v>
      </c>
      <c r="H333" t="s">
        <v>43</v>
      </c>
      <c r="I333" s="2">
        <f>VLOOKUP(H333,mappings!$D$2:$E$6,2,FALSE)</f>
        <v>4</v>
      </c>
      <c r="J333" t="s">
        <v>36</v>
      </c>
      <c r="K333" t="s">
        <v>39</v>
      </c>
      <c r="L333" s="2">
        <f>VLOOKUP(K333,mappings!$A$2:$B$13,2,FALSE)</f>
        <v>10</v>
      </c>
      <c r="M333" t="s">
        <v>24</v>
      </c>
      <c r="N333" t="str">
        <f>VLOOKUP(E333,mappings!$L$1:$M$110,2,FALSE)</f>
        <v>No answer provided</v>
      </c>
      <c r="O333" t="str">
        <f>VLOOKUP(E333,mappings!L:O,3,FALSE)</f>
        <v>No answer provided</v>
      </c>
      <c r="P333" t="str">
        <f>VLOOKUP(E333,mappings!L:P,4,FALSE)</f>
        <v>No answer provided</v>
      </c>
    </row>
    <row r="334" spans="1:16" x14ac:dyDescent="0.2">
      <c r="A334">
        <v>333</v>
      </c>
      <c r="B334">
        <v>3878309530</v>
      </c>
      <c r="C334" t="s">
        <v>6</v>
      </c>
      <c r="D334" t="s">
        <v>1</v>
      </c>
      <c r="E334" t="s">
        <v>55</v>
      </c>
      <c r="F334" t="s">
        <v>9</v>
      </c>
      <c r="G334" s="2">
        <f>VLOOKUP(F334,mappings!$G$2:$H$6,2,FALSE)</f>
        <v>4</v>
      </c>
      <c r="H334" t="s">
        <v>163</v>
      </c>
      <c r="I334" s="2">
        <f>VLOOKUP(H334,mappings!$D$2:$E$6,2,FALSE)</f>
        <v>3</v>
      </c>
      <c r="J334" t="s">
        <v>10</v>
      </c>
      <c r="K334" t="s">
        <v>23</v>
      </c>
      <c r="L334" s="2">
        <f>VLOOKUP(K334,mappings!$A$2:$B$13,2,FALSE)</f>
        <v>3</v>
      </c>
      <c r="M334" t="s">
        <v>12</v>
      </c>
      <c r="N334" t="str">
        <f>VLOOKUP(E334,mappings!$L$1:$M$110,2,FALSE)</f>
        <v>Weather Underground</v>
      </c>
      <c r="O334" t="str">
        <f>VLOOKUP(E334,mappings!L:O,3,FALSE)</f>
        <v>Website</v>
      </c>
      <c r="P334" t="str">
        <f>VLOOKUP(E334,mappings!L:P,4,FALSE)</f>
        <v>Other or unkown</v>
      </c>
    </row>
    <row r="335" spans="1:16" x14ac:dyDescent="0.2">
      <c r="A335">
        <v>334</v>
      </c>
      <c r="B335">
        <v>3878302658</v>
      </c>
      <c r="C335" t="s">
        <v>26</v>
      </c>
      <c r="D335" t="s">
        <v>41</v>
      </c>
      <c r="E335" t="s">
        <v>8</v>
      </c>
      <c r="F335" t="s">
        <v>9</v>
      </c>
      <c r="G335" s="2">
        <f>VLOOKUP(F335,mappings!$G$2:$H$6,2,FALSE)</f>
        <v>4</v>
      </c>
      <c r="H335" t="s">
        <v>43</v>
      </c>
      <c r="I335" s="2">
        <f>VLOOKUP(H335,mappings!$D$2:$E$6,2,FALSE)</f>
        <v>4</v>
      </c>
      <c r="J335" t="s">
        <v>36</v>
      </c>
      <c r="K335" t="s">
        <v>23</v>
      </c>
      <c r="L335" s="2">
        <f>VLOOKUP(K335,mappings!$A$2:$B$13,2,FALSE)</f>
        <v>3</v>
      </c>
      <c r="M335" t="s">
        <v>24</v>
      </c>
      <c r="N335" t="str">
        <f>VLOOKUP(E335,mappings!$L$1:$M$110,2,FALSE)</f>
        <v>No answer provided</v>
      </c>
      <c r="O335" t="str">
        <f>VLOOKUP(E335,mappings!L:O,3,FALSE)</f>
        <v>No answer provided</v>
      </c>
      <c r="P335" t="str">
        <f>VLOOKUP(E335,mappings!L:P,4,FALSE)</f>
        <v>No answer provided</v>
      </c>
    </row>
    <row r="336" spans="1:16" x14ac:dyDescent="0.2">
      <c r="A336">
        <v>335</v>
      </c>
      <c r="B336">
        <v>3878296951</v>
      </c>
      <c r="C336" t="s">
        <v>26</v>
      </c>
      <c r="D336" t="s">
        <v>21</v>
      </c>
      <c r="E336" t="s">
        <v>8</v>
      </c>
      <c r="F336" t="s">
        <v>16</v>
      </c>
      <c r="G336" s="2">
        <f>VLOOKUP(F336,mappings!$G$2:$H$6,2,FALSE)</f>
        <v>3</v>
      </c>
      <c r="H336" t="s">
        <v>43</v>
      </c>
      <c r="I336" s="2">
        <f>VLOOKUP(H336,mappings!$D$2:$E$6,2,FALSE)</f>
        <v>4</v>
      </c>
      <c r="J336" t="s">
        <v>36</v>
      </c>
      <c r="K336" t="s">
        <v>33</v>
      </c>
      <c r="L336" s="2">
        <f>VLOOKUP(K336,mappings!$A$2:$B$13,2,FALSE)</f>
        <v>5</v>
      </c>
      <c r="M336" t="s">
        <v>12</v>
      </c>
      <c r="N336" t="str">
        <f>VLOOKUP(E336,mappings!$L$1:$M$110,2,FALSE)</f>
        <v>No answer provided</v>
      </c>
      <c r="O336" t="str">
        <f>VLOOKUP(E336,mappings!L:O,3,FALSE)</f>
        <v>No answer provided</v>
      </c>
      <c r="P336" t="str">
        <f>VLOOKUP(E336,mappings!L:P,4,FALSE)</f>
        <v>No answer provided</v>
      </c>
    </row>
    <row r="337" spans="1:16" x14ac:dyDescent="0.2">
      <c r="A337">
        <v>336</v>
      </c>
      <c r="B337">
        <v>3878296336</v>
      </c>
      <c r="C337" t="s">
        <v>6</v>
      </c>
      <c r="D337" t="s">
        <v>31</v>
      </c>
      <c r="E337" t="s">
        <v>8</v>
      </c>
      <c r="F337" t="s">
        <v>28</v>
      </c>
      <c r="G337" s="2">
        <f>VLOOKUP(F337,mappings!$G$2:$H$6,2,FALSE)</f>
        <v>2</v>
      </c>
      <c r="H337" t="s">
        <v>43</v>
      </c>
      <c r="I337" s="2">
        <f>VLOOKUP(H337,mappings!$D$2:$E$6,2,FALSE)</f>
        <v>4</v>
      </c>
      <c r="J337" t="s">
        <v>36</v>
      </c>
      <c r="K337" t="s">
        <v>14</v>
      </c>
      <c r="L337" s="2">
        <f>VLOOKUP(K337,mappings!$A$2:$B$13,2,FALSE)</f>
        <v>6</v>
      </c>
      <c r="M337" t="s">
        <v>15</v>
      </c>
      <c r="N337" t="str">
        <f>VLOOKUP(E337,mappings!$L$1:$M$110,2,FALSE)</f>
        <v>No answer provided</v>
      </c>
      <c r="O337" t="str">
        <f>VLOOKUP(E337,mappings!L:O,3,FALSE)</f>
        <v>No answer provided</v>
      </c>
      <c r="P337" t="str">
        <f>VLOOKUP(E337,mappings!L:P,4,FALSE)</f>
        <v>No answer provided</v>
      </c>
    </row>
    <row r="338" spans="1:16" x14ac:dyDescent="0.2">
      <c r="A338">
        <v>337</v>
      </c>
      <c r="B338">
        <v>3878295740</v>
      </c>
      <c r="C338" t="s">
        <v>6</v>
      </c>
      <c r="D338" t="s">
        <v>7</v>
      </c>
      <c r="E338" t="s">
        <v>8</v>
      </c>
      <c r="F338" t="s">
        <v>9</v>
      </c>
      <c r="G338" s="2">
        <f>VLOOKUP(F338,mappings!$G$2:$H$6,2,FALSE)</f>
        <v>4</v>
      </c>
      <c r="H338" t="s">
        <v>43</v>
      </c>
      <c r="I338" s="2">
        <f>VLOOKUP(H338,mappings!$D$2:$E$6,2,FALSE)</f>
        <v>4</v>
      </c>
      <c r="J338" t="s">
        <v>36</v>
      </c>
      <c r="K338" t="s">
        <v>11</v>
      </c>
      <c r="L338" s="2">
        <f>VLOOKUP(K338,mappings!$A$2:$B$13,2,FALSE)</f>
        <v>4</v>
      </c>
      <c r="M338" t="s">
        <v>30</v>
      </c>
      <c r="N338" t="str">
        <f>VLOOKUP(E338,mappings!$L$1:$M$110,2,FALSE)</f>
        <v>No answer provided</v>
      </c>
      <c r="O338" t="str">
        <f>VLOOKUP(E338,mappings!L:O,3,FALSE)</f>
        <v>No answer provided</v>
      </c>
      <c r="P338" t="str">
        <f>VLOOKUP(E338,mappings!L:P,4,FALSE)</f>
        <v>No answer provided</v>
      </c>
    </row>
    <row r="339" spans="1:16" x14ac:dyDescent="0.2">
      <c r="A339">
        <v>338</v>
      </c>
      <c r="B339">
        <v>3878293399</v>
      </c>
      <c r="C339" t="s">
        <v>6</v>
      </c>
      <c r="D339" t="s">
        <v>21</v>
      </c>
      <c r="E339" t="s">
        <v>8</v>
      </c>
      <c r="F339" t="s">
        <v>16</v>
      </c>
      <c r="G339" s="2">
        <f>VLOOKUP(F339,mappings!$G$2:$H$6,2,FALSE)</f>
        <v>3</v>
      </c>
      <c r="H339" t="s">
        <v>161</v>
      </c>
      <c r="I339" s="2">
        <f>VLOOKUP(H339,mappings!$D$2:$E$6,2,FALSE)</f>
        <v>2</v>
      </c>
      <c r="J339" t="s">
        <v>36</v>
      </c>
      <c r="K339" t="s">
        <v>39</v>
      </c>
      <c r="L339" s="2">
        <f>VLOOKUP(K339,mappings!$A$2:$B$13,2,FALSE)</f>
        <v>10</v>
      </c>
      <c r="M339" t="s">
        <v>30</v>
      </c>
      <c r="N339" t="str">
        <f>VLOOKUP(E339,mappings!$L$1:$M$110,2,FALSE)</f>
        <v>No answer provided</v>
      </c>
      <c r="O339" t="str">
        <f>VLOOKUP(E339,mappings!L:O,3,FALSE)</f>
        <v>No answer provided</v>
      </c>
      <c r="P339" t="str">
        <f>VLOOKUP(E339,mappings!L:P,4,FALSE)</f>
        <v>No answer provided</v>
      </c>
    </row>
    <row r="340" spans="1:16" x14ac:dyDescent="0.2">
      <c r="A340">
        <v>339</v>
      </c>
      <c r="B340">
        <v>3878293163</v>
      </c>
      <c r="C340" t="s">
        <v>6</v>
      </c>
      <c r="D340" t="s">
        <v>21</v>
      </c>
      <c r="E340" t="s">
        <v>8</v>
      </c>
      <c r="F340" t="s">
        <v>22</v>
      </c>
      <c r="G340" s="2">
        <f>VLOOKUP(F340,mappings!$G$2:$H$6,2,FALSE)</f>
        <v>1</v>
      </c>
      <c r="H340" t="s">
        <v>43</v>
      </c>
      <c r="I340" s="2">
        <f>VLOOKUP(H340,mappings!$D$2:$E$6,2,FALSE)</f>
        <v>4</v>
      </c>
      <c r="J340" t="s">
        <v>10</v>
      </c>
      <c r="K340" t="s">
        <v>11</v>
      </c>
      <c r="L340" s="2">
        <f>VLOOKUP(K340,mappings!$A$2:$B$13,2,FALSE)</f>
        <v>4</v>
      </c>
      <c r="M340" t="s">
        <v>12</v>
      </c>
      <c r="N340" t="str">
        <f>VLOOKUP(E340,mappings!$L$1:$M$110,2,FALSE)</f>
        <v>No answer provided</v>
      </c>
      <c r="O340" t="str">
        <f>VLOOKUP(E340,mappings!L:O,3,FALSE)</f>
        <v>No answer provided</v>
      </c>
      <c r="P340" t="str">
        <f>VLOOKUP(E340,mappings!L:P,4,FALSE)</f>
        <v>No answer provided</v>
      </c>
    </row>
    <row r="341" spans="1:16" x14ac:dyDescent="0.2">
      <c r="A341">
        <v>340</v>
      </c>
      <c r="B341">
        <v>3878291970</v>
      </c>
      <c r="C341" t="s">
        <v>6</v>
      </c>
      <c r="D341" t="s">
        <v>31</v>
      </c>
      <c r="E341" t="s">
        <v>8</v>
      </c>
      <c r="F341" t="s">
        <v>16</v>
      </c>
      <c r="G341" s="2">
        <f>VLOOKUP(F341,mappings!$G$2:$H$6,2,FALSE)</f>
        <v>3</v>
      </c>
      <c r="H341" t="s">
        <v>163</v>
      </c>
      <c r="I341" s="2">
        <f>VLOOKUP(H341,mappings!$D$2:$E$6,2,FALSE)</f>
        <v>3</v>
      </c>
      <c r="J341" t="s">
        <v>36</v>
      </c>
      <c r="K341" t="s">
        <v>13</v>
      </c>
      <c r="L341" s="2">
        <f>VLOOKUP(K341,mappings!$A$2:$B$13,2,FALSE)</f>
        <v>11</v>
      </c>
      <c r="M341" t="s">
        <v>34</v>
      </c>
      <c r="N341" t="str">
        <f>VLOOKUP(E341,mappings!$L$1:$M$110,2,FALSE)</f>
        <v>No answer provided</v>
      </c>
      <c r="O341" t="str">
        <f>VLOOKUP(E341,mappings!L:O,3,FALSE)</f>
        <v>No answer provided</v>
      </c>
      <c r="P341" t="str">
        <f>VLOOKUP(E341,mappings!L:P,4,FALSE)</f>
        <v>No answer provided</v>
      </c>
    </row>
    <row r="342" spans="1:16" x14ac:dyDescent="0.2">
      <c r="A342">
        <v>341</v>
      </c>
      <c r="B342">
        <v>3878286381</v>
      </c>
      <c r="C342" t="s">
        <v>6</v>
      </c>
      <c r="D342" t="s">
        <v>40</v>
      </c>
      <c r="E342" t="s">
        <v>8</v>
      </c>
      <c r="F342" t="s">
        <v>28</v>
      </c>
      <c r="G342" s="2">
        <f>VLOOKUP(F342,mappings!$G$2:$H$6,2,FALSE)</f>
        <v>2</v>
      </c>
      <c r="H342" t="s">
        <v>43</v>
      </c>
      <c r="I342" s="2">
        <f>VLOOKUP(H342,mappings!$D$2:$E$6,2,FALSE)</f>
        <v>4</v>
      </c>
      <c r="J342" t="s">
        <v>36</v>
      </c>
      <c r="K342" t="s">
        <v>48</v>
      </c>
      <c r="L342" s="2">
        <f>VLOOKUP(K342,mappings!$A$2:$B$13,2,FALSE)</f>
        <v>7</v>
      </c>
      <c r="M342" t="s">
        <v>38</v>
      </c>
      <c r="N342" t="str">
        <f>VLOOKUP(E342,mappings!$L$1:$M$110,2,FALSE)</f>
        <v>No answer provided</v>
      </c>
      <c r="O342" t="str">
        <f>VLOOKUP(E342,mappings!L:O,3,FALSE)</f>
        <v>No answer provided</v>
      </c>
      <c r="P342" t="str">
        <f>VLOOKUP(E342,mappings!L:P,4,FALSE)</f>
        <v>No answer provided</v>
      </c>
    </row>
    <row r="343" spans="1:16" x14ac:dyDescent="0.2">
      <c r="A343">
        <v>342</v>
      </c>
      <c r="B343">
        <v>3878284921</v>
      </c>
      <c r="C343" t="s">
        <v>6</v>
      </c>
      <c r="D343" t="s">
        <v>31</v>
      </c>
      <c r="E343" t="s">
        <v>8</v>
      </c>
      <c r="F343" t="s">
        <v>9</v>
      </c>
      <c r="G343" s="2">
        <f>VLOOKUP(F343,mappings!$G$2:$H$6,2,FALSE)</f>
        <v>4</v>
      </c>
      <c r="H343" t="s">
        <v>161</v>
      </c>
      <c r="I343" s="2">
        <f>VLOOKUP(H343,mappings!$D$2:$E$6,2,FALSE)</f>
        <v>2</v>
      </c>
      <c r="J343" t="s">
        <v>36</v>
      </c>
      <c r="K343" t="s">
        <v>39</v>
      </c>
      <c r="L343" s="2">
        <f>VLOOKUP(K343,mappings!$A$2:$B$13,2,FALSE)</f>
        <v>10</v>
      </c>
      <c r="M343" t="s">
        <v>38</v>
      </c>
      <c r="N343" t="str">
        <f>VLOOKUP(E343,mappings!$L$1:$M$110,2,FALSE)</f>
        <v>No answer provided</v>
      </c>
      <c r="O343" t="str">
        <f>VLOOKUP(E343,mappings!L:O,3,FALSE)</f>
        <v>No answer provided</v>
      </c>
      <c r="P343" t="str">
        <f>VLOOKUP(E343,mappings!L:P,4,FALSE)</f>
        <v>No answer provided</v>
      </c>
    </row>
    <row r="344" spans="1:16" x14ac:dyDescent="0.2">
      <c r="A344">
        <v>343</v>
      </c>
      <c r="B344">
        <v>3878284808</v>
      </c>
      <c r="C344" t="s">
        <v>6</v>
      </c>
      <c r="D344" t="s">
        <v>27</v>
      </c>
      <c r="E344" t="s">
        <v>8</v>
      </c>
      <c r="F344" t="s">
        <v>22</v>
      </c>
      <c r="G344" s="2">
        <f>VLOOKUP(F344,mappings!$G$2:$H$6,2,FALSE)</f>
        <v>1</v>
      </c>
      <c r="H344" t="s">
        <v>163</v>
      </c>
      <c r="I344" s="2">
        <f>VLOOKUP(H344,mappings!$D$2:$E$6,2,FALSE)</f>
        <v>3</v>
      </c>
      <c r="J344" t="s">
        <v>10</v>
      </c>
      <c r="K344" t="s">
        <v>13</v>
      </c>
      <c r="L344" s="2">
        <f>VLOOKUP(K344,mappings!$A$2:$B$13,2,FALSE)</f>
        <v>11</v>
      </c>
      <c r="M344" t="s">
        <v>24</v>
      </c>
      <c r="N344" t="str">
        <f>VLOOKUP(E344,mappings!$L$1:$M$110,2,FALSE)</f>
        <v>No answer provided</v>
      </c>
      <c r="O344" t="str">
        <f>VLOOKUP(E344,mappings!L:O,3,FALSE)</f>
        <v>No answer provided</v>
      </c>
      <c r="P344" t="str">
        <f>VLOOKUP(E344,mappings!L:P,4,FALSE)</f>
        <v>No answer provided</v>
      </c>
    </row>
    <row r="345" spans="1:16" x14ac:dyDescent="0.2">
      <c r="A345">
        <v>344</v>
      </c>
      <c r="B345">
        <v>3878280708</v>
      </c>
      <c r="C345" t="s">
        <v>6</v>
      </c>
      <c r="D345" t="s">
        <v>41</v>
      </c>
      <c r="E345" t="s">
        <v>8</v>
      </c>
      <c r="F345" t="s">
        <v>16</v>
      </c>
      <c r="G345" s="2">
        <f>VLOOKUP(F345,mappings!$G$2:$H$6,2,FALSE)</f>
        <v>3</v>
      </c>
      <c r="H345" t="s">
        <v>43</v>
      </c>
      <c r="I345" s="2">
        <f>VLOOKUP(H345,mappings!$D$2:$E$6,2,FALSE)</f>
        <v>4</v>
      </c>
      <c r="J345" t="s">
        <v>36</v>
      </c>
      <c r="K345" t="s">
        <v>23</v>
      </c>
      <c r="L345" s="2">
        <f>VLOOKUP(K345,mappings!$A$2:$B$13,2,FALSE)</f>
        <v>3</v>
      </c>
      <c r="M345" t="s">
        <v>42</v>
      </c>
      <c r="N345" t="str">
        <f>VLOOKUP(E345,mappings!$L$1:$M$110,2,FALSE)</f>
        <v>No answer provided</v>
      </c>
      <c r="O345" t="str">
        <f>VLOOKUP(E345,mappings!L:O,3,FALSE)</f>
        <v>No answer provided</v>
      </c>
      <c r="P345" t="str">
        <f>VLOOKUP(E345,mappings!L:P,4,FALSE)</f>
        <v>No answer provided</v>
      </c>
    </row>
    <row r="346" spans="1:16" x14ac:dyDescent="0.2">
      <c r="A346">
        <v>345</v>
      </c>
      <c r="B346">
        <v>3878278676</v>
      </c>
      <c r="C346" t="s">
        <v>6</v>
      </c>
      <c r="D346" t="s">
        <v>21</v>
      </c>
      <c r="E346" t="s">
        <v>8</v>
      </c>
      <c r="F346" t="s">
        <v>9</v>
      </c>
      <c r="G346" s="2">
        <f>VLOOKUP(F346,mappings!$G$2:$H$6,2,FALSE)</f>
        <v>4</v>
      </c>
      <c r="H346" t="s">
        <v>43</v>
      </c>
      <c r="I346" s="2">
        <f>VLOOKUP(H346,mappings!$D$2:$E$6,2,FALSE)</f>
        <v>4</v>
      </c>
      <c r="J346" t="s">
        <v>36</v>
      </c>
      <c r="K346" t="s">
        <v>39</v>
      </c>
      <c r="L346" s="2">
        <f>VLOOKUP(K346,mappings!$A$2:$B$13,2,FALSE)</f>
        <v>10</v>
      </c>
      <c r="M346" t="s">
        <v>12</v>
      </c>
      <c r="N346" t="str">
        <f>VLOOKUP(E346,mappings!$L$1:$M$110,2,FALSE)</f>
        <v>No answer provided</v>
      </c>
      <c r="O346" t="str">
        <f>VLOOKUP(E346,mappings!L:O,3,FALSE)</f>
        <v>No answer provided</v>
      </c>
      <c r="P346" t="str">
        <f>VLOOKUP(E346,mappings!L:P,4,FALSE)</f>
        <v>No answer provided</v>
      </c>
    </row>
    <row r="347" spans="1:16" x14ac:dyDescent="0.2">
      <c r="A347">
        <v>346</v>
      </c>
      <c r="B347">
        <v>3878278488</v>
      </c>
      <c r="C347" t="s">
        <v>6</v>
      </c>
      <c r="D347" t="s">
        <v>31</v>
      </c>
      <c r="E347" t="s">
        <v>8</v>
      </c>
      <c r="F347" t="s">
        <v>16</v>
      </c>
      <c r="G347" s="2">
        <f>VLOOKUP(F347,mappings!$G$2:$H$6,2,FALSE)</f>
        <v>3</v>
      </c>
      <c r="H347" t="s">
        <v>43</v>
      </c>
      <c r="I347" s="2">
        <f>VLOOKUP(H347,mappings!$D$2:$E$6,2,FALSE)</f>
        <v>4</v>
      </c>
      <c r="J347" t="s">
        <v>10</v>
      </c>
      <c r="K347" t="s">
        <v>39</v>
      </c>
      <c r="L347" s="2">
        <f>VLOOKUP(K347,mappings!$A$2:$B$13,2,FALSE)</f>
        <v>10</v>
      </c>
      <c r="M347" t="s">
        <v>15</v>
      </c>
      <c r="N347" t="str">
        <f>VLOOKUP(E347,mappings!$L$1:$M$110,2,FALSE)</f>
        <v>No answer provided</v>
      </c>
      <c r="O347" t="str">
        <f>VLOOKUP(E347,mappings!L:O,3,FALSE)</f>
        <v>No answer provided</v>
      </c>
      <c r="P347" t="str">
        <f>VLOOKUP(E347,mappings!L:P,4,FALSE)</f>
        <v>No answer provided</v>
      </c>
    </row>
    <row r="348" spans="1:16" x14ac:dyDescent="0.2">
      <c r="A348">
        <v>347</v>
      </c>
      <c r="B348">
        <v>3878278271</v>
      </c>
      <c r="C348" t="s">
        <v>6</v>
      </c>
      <c r="D348" t="s">
        <v>27</v>
      </c>
      <c r="E348" t="s">
        <v>8</v>
      </c>
      <c r="F348" t="s">
        <v>22</v>
      </c>
      <c r="G348" s="2">
        <f>VLOOKUP(F348,mappings!$G$2:$H$6,2,FALSE)</f>
        <v>1</v>
      </c>
      <c r="H348" t="s">
        <v>163</v>
      </c>
      <c r="I348" s="2">
        <f>VLOOKUP(H348,mappings!$D$2:$E$6,2,FALSE)</f>
        <v>3</v>
      </c>
      <c r="J348" t="s">
        <v>10</v>
      </c>
      <c r="K348" t="s">
        <v>13</v>
      </c>
      <c r="L348" s="2">
        <f>VLOOKUP(K348,mappings!$A$2:$B$13,2,FALSE)</f>
        <v>11</v>
      </c>
      <c r="M348" t="s">
        <v>42</v>
      </c>
      <c r="N348" t="str">
        <f>VLOOKUP(E348,mappings!$L$1:$M$110,2,FALSE)</f>
        <v>No answer provided</v>
      </c>
      <c r="O348" t="str">
        <f>VLOOKUP(E348,mappings!L:O,3,FALSE)</f>
        <v>No answer provided</v>
      </c>
      <c r="P348" t="str">
        <f>VLOOKUP(E348,mappings!L:P,4,FALSE)</f>
        <v>No answer provided</v>
      </c>
    </row>
    <row r="349" spans="1:16" x14ac:dyDescent="0.2">
      <c r="A349">
        <v>348</v>
      </c>
      <c r="B349">
        <v>3878277161</v>
      </c>
      <c r="C349" t="s">
        <v>6</v>
      </c>
      <c r="D349" t="s">
        <v>1</v>
      </c>
      <c r="E349" t="s">
        <v>85</v>
      </c>
      <c r="F349" t="s">
        <v>9</v>
      </c>
      <c r="G349" s="2">
        <f>VLOOKUP(F349,mappings!$G$2:$H$6,2,FALSE)</f>
        <v>4</v>
      </c>
      <c r="H349" t="s">
        <v>43</v>
      </c>
      <c r="I349" s="2">
        <f>VLOOKUP(H349,mappings!$D$2:$E$6,2,FALSE)</f>
        <v>4</v>
      </c>
      <c r="J349" t="s">
        <v>10</v>
      </c>
      <c r="K349" t="s">
        <v>39</v>
      </c>
      <c r="L349" s="2">
        <f>VLOOKUP(K349,mappings!$A$2:$B$13,2,FALSE)</f>
        <v>10</v>
      </c>
      <c r="M349" t="s">
        <v>38</v>
      </c>
      <c r="N349" t="str">
        <f>VLOOKUP(E349,mappings!$L$1:$M$110,2,FALSE)</f>
        <v>The Weather Channel</v>
      </c>
      <c r="O349" t="str">
        <f>VLOOKUP(E349,mappings!L:O,3,FALSE)</f>
        <v>Website</v>
      </c>
      <c r="P349" t="str">
        <f>VLOOKUP(E349,mappings!L:P,4,FALSE)</f>
        <v>Other or unkown</v>
      </c>
    </row>
    <row r="350" spans="1:16" x14ac:dyDescent="0.2">
      <c r="A350">
        <v>349</v>
      </c>
      <c r="B350">
        <v>3878275261</v>
      </c>
      <c r="C350" t="s">
        <v>6</v>
      </c>
      <c r="D350" t="s">
        <v>41</v>
      </c>
      <c r="E350" t="s">
        <v>8</v>
      </c>
      <c r="F350" t="s">
        <v>28</v>
      </c>
      <c r="G350" s="2">
        <f>VLOOKUP(F350,mappings!$G$2:$H$6,2,FALSE)</f>
        <v>2</v>
      </c>
      <c r="H350" t="s">
        <v>163</v>
      </c>
      <c r="I350" s="2">
        <f>VLOOKUP(H350,mappings!$D$2:$E$6,2,FALSE)</f>
        <v>3</v>
      </c>
      <c r="J350" t="s">
        <v>36</v>
      </c>
      <c r="K350" t="s">
        <v>33</v>
      </c>
      <c r="L350" s="2">
        <f>VLOOKUP(K350,mappings!$A$2:$B$13,2,FALSE)</f>
        <v>5</v>
      </c>
      <c r="M350" t="s">
        <v>15</v>
      </c>
      <c r="N350" t="str">
        <f>VLOOKUP(E350,mappings!$L$1:$M$110,2,FALSE)</f>
        <v>No answer provided</v>
      </c>
      <c r="O350" t="str">
        <f>VLOOKUP(E350,mappings!L:O,3,FALSE)</f>
        <v>No answer provided</v>
      </c>
      <c r="P350" t="str">
        <f>VLOOKUP(E350,mappings!L:P,4,FALSE)</f>
        <v>No answer provided</v>
      </c>
    </row>
    <row r="351" spans="1:16" x14ac:dyDescent="0.2">
      <c r="A351">
        <v>350</v>
      </c>
      <c r="B351">
        <v>3878274622</v>
      </c>
      <c r="C351" t="s">
        <v>6</v>
      </c>
      <c r="D351" t="s">
        <v>27</v>
      </c>
      <c r="E351" t="s">
        <v>8</v>
      </c>
      <c r="F351" t="s">
        <v>28</v>
      </c>
      <c r="G351" s="2">
        <f>VLOOKUP(F351,mappings!$G$2:$H$6,2,FALSE)</f>
        <v>2</v>
      </c>
      <c r="H351" t="s">
        <v>163</v>
      </c>
      <c r="I351" s="2">
        <f>VLOOKUP(H351,mappings!$D$2:$E$6,2,FALSE)</f>
        <v>3</v>
      </c>
      <c r="J351" t="s">
        <v>36</v>
      </c>
      <c r="K351" t="s">
        <v>33</v>
      </c>
      <c r="L351" s="2">
        <f>VLOOKUP(K351,mappings!$A$2:$B$13,2,FALSE)</f>
        <v>5</v>
      </c>
      <c r="M351" t="s">
        <v>42</v>
      </c>
      <c r="N351" t="str">
        <f>VLOOKUP(E351,mappings!$L$1:$M$110,2,FALSE)</f>
        <v>No answer provided</v>
      </c>
      <c r="O351" t="str">
        <f>VLOOKUP(E351,mappings!L:O,3,FALSE)</f>
        <v>No answer provided</v>
      </c>
      <c r="P351" t="str">
        <f>VLOOKUP(E351,mappings!L:P,4,FALSE)</f>
        <v>No answer provided</v>
      </c>
    </row>
    <row r="352" spans="1:16" x14ac:dyDescent="0.2">
      <c r="A352">
        <v>351</v>
      </c>
      <c r="B352">
        <v>3878270558</v>
      </c>
      <c r="C352" t="s">
        <v>6</v>
      </c>
      <c r="D352" t="s">
        <v>31</v>
      </c>
      <c r="E352" t="s">
        <v>8</v>
      </c>
      <c r="F352" t="s">
        <v>28</v>
      </c>
      <c r="G352" s="2">
        <f>VLOOKUP(F352,mappings!$G$2:$H$6,2,FALSE)</f>
        <v>2</v>
      </c>
      <c r="H352" t="s">
        <v>43</v>
      </c>
      <c r="I352" s="2">
        <f>VLOOKUP(H352,mappings!$D$2:$E$6,2,FALSE)</f>
        <v>4</v>
      </c>
      <c r="J352" t="s">
        <v>36</v>
      </c>
      <c r="K352" t="s">
        <v>23</v>
      </c>
      <c r="L352" s="2">
        <f>VLOOKUP(K352,mappings!$A$2:$B$13,2,FALSE)</f>
        <v>3</v>
      </c>
      <c r="M352" t="s">
        <v>20</v>
      </c>
      <c r="N352" t="str">
        <f>VLOOKUP(E352,mappings!$L$1:$M$110,2,FALSE)</f>
        <v>No answer provided</v>
      </c>
      <c r="O352" t="str">
        <f>VLOOKUP(E352,mappings!L:O,3,FALSE)</f>
        <v>No answer provided</v>
      </c>
      <c r="P352" t="str">
        <f>VLOOKUP(E352,mappings!L:P,4,FALSE)</f>
        <v>No answer provided</v>
      </c>
    </row>
    <row r="353" spans="1:16" x14ac:dyDescent="0.2">
      <c r="A353">
        <v>352</v>
      </c>
      <c r="B353">
        <v>3878270404</v>
      </c>
      <c r="C353" t="s">
        <v>26</v>
      </c>
      <c r="D353" t="s">
        <v>7</v>
      </c>
      <c r="E353" t="s">
        <v>8</v>
      </c>
      <c r="F353" t="s">
        <v>22</v>
      </c>
      <c r="G353" s="2">
        <f>VLOOKUP(F353,mappings!$G$2:$H$6,2,FALSE)</f>
        <v>1</v>
      </c>
      <c r="H353" t="s">
        <v>161</v>
      </c>
      <c r="I353" s="2">
        <f>VLOOKUP(H353,mappings!$D$2:$E$6,2,FALSE)</f>
        <v>2</v>
      </c>
      <c r="J353" t="s">
        <v>36</v>
      </c>
      <c r="K353" t="s">
        <v>14</v>
      </c>
      <c r="L353" s="2">
        <f>VLOOKUP(K353,mappings!$A$2:$B$13,2,FALSE)</f>
        <v>6</v>
      </c>
      <c r="M353" t="s">
        <v>30</v>
      </c>
      <c r="N353" t="str">
        <f>VLOOKUP(E353,mappings!$L$1:$M$110,2,FALSE)</f>
        <v>No answer provided</v>
      </c>
      <c r="O353" t="str">
        <f>VLOOKUP(E353,mappings!L:O,3,FALSE)</f>
        <v>No answer provided</v>
      </c>
      <c r="P353" t="str">
        <f>VLOOKUP(E353,mappings!L:P,4,FALSE)</f>
        <v>No answer provided</v>
      </c>
    </row>
    <row r="354" spans="1:16" x14ac:dyDescent="0.2">
      <c r="A354">
        <v>353</v>
      </c>
      <c r="B354">
        <v>3878269619</v>
      </c>
      <c r="C354" t="s">
        <v>6</v>
      </c>
      <c r="D354" t="s">
        <v>51</v>
      </c>
      <c r="E354" t="s">
        <v>8</v>
      </c>
      <c r="F354" t="s">
        <v>16</v>
      </c>
      <c r="G354" s="2">
        <f>VLOOKUP(F354,mappings!$G$2:$H$6,2,FALSE)</f>
        <v>3</v>
      </c>
      <c r="H354" t="s">
        <v>163</v>
      </c>
      <c r="I354" s="2">
        <f>VLOOKUP(H354,mappings!$D$2:$E$6,2,FALSE)</f>
        <v>3</v>
      </c>
      <c r="J354" t="s">
        <v>36</v>
      </c>
      <c r="K354" t="s">
        <v>47</v>
      </c>
      <c r="L354" s="2">
        <f>VLOOKUP(K354,mappings!$A$2:$B$13,2,FALSE)</f>
        <v>9</v>
      </c>
      <c r="M354" t="s">
        <v>12</v>
      </c>
      <c r="N354" t="str">
        <f>VLOOKUP(E354,mappings!$L$1:$M$110,2,FALSE)</f>
        <v>No answer provided</v>
      </c>
      <c r="O354" t="str">
        <f>VLOOKUP(E354,mappings!L:O,3,FALSE)</f>
        <v>No answer provided</v>
      </c>
      <c r="P354" t="str">
        <f>VLOOKUP(E354,mappings!L:P,4,FALSE)</f>
        <v>No answer provided</v>
      </c>
    </row>
    <row r="355" spans="1:16" x14ac:dyDescent="0.2">
      <c r="A355">
        <v>354</v>
      </c>
      <c r="B355">
        <v>3878269540</v>
      </c>
      <c r="C355" t="s">
        <v>6</v>
      </c>
      <c r="D355" t="s">
        <v>7</v>
      </c>
      <c r="E355" t="s">
        <v>8</v>
      </c>
      <c r="F355" t="s">
        <v>22</v>
      </c>
      <c r="G355" s="2">
        <f>VLOOKUP(F355,mappings!$G$2:$H$6,2,FALSE)</f>
        <v>1</v>
      </c>
      <c r="H355" t="s">
        <v>161</v>
      </c>
      <c r="I355" s="2">
        <f>VLOOKUP(H355,mappings!$D$2:$E$6,2,FALSE)</f>
        <v>2</v>
      </c>
      <c r="J355" t="s">
        <v>36</v>
      </c>
      <c r="K355" t="s">
        <v>13</v>
      </c>
      <c r="L355" s="2">
        <f>VLOOKUP(K355,mappings!$A$2:$B$13,2,FALSE)</f>
        <v>11</v>
      </c>
      <c r="M355" t="s">
        <v>12</v>
      </c>
      <c r="N355" t="str">
        <f>VLOOKUP(E355,mappings!$L$1:$M$110,2,FALSE)</f>
        <v>No answer provided</v>
      </c>
      <c r="O355" t="str">
        <f>VLOOKUP(E355,mappings!L:O,3,FALSE)</f>
        <v>No answer provided</v>
      </c>
      <c r="P355" t="str">
        <f>VLOOKUP(E355,mappings!L:P,4,FALSE)</f>
        <v>No answer provided</v>
      </c>
    </row>
    <row r="356" spans="1:16" x14ac:dyDescent="0.2">
      <c r="A356">
        <v>355</v>
      </c>
      <c r="B356">
        <v>3878268976</v>
      </c>
      <c r="C356" t="s">
        <v>6</v>
      </c>
      <c r="D356" t="s">
        <v>21</v>
      </c>
      <c r="E356" t="s">
        <v>8</v>
      </c>
      <c r="F356" t="s">
        <v>9</v>
      </c>
      <c r="G356" s="2">
        <f>VLOOKUP(F356,mappings!$G$2:$H$6,2,FALSE)</f>
        <v>4</v>
      </c>
      <c r="H356" t="s">
        <v>161</v>
      </c>
      <c r="I356" s="2">
        <f>VLOOKUP(H356,mappings!$D$2:$E$6,2,FALSE)</f>
        <v>2</v>
      </c>
      <c r="J356" t="s">
        <v>36</v>
      </c>
      <c r="K356" t="s">
        <v>11</v>
      </c>
      <c r="L356" s="2">
        <f>VLOOKUP(K356,mappings!$A$2:$B$13,2,FALSE)</f>
        <v>4</v>
      </c>
      <c r="M356" t="s">
        <v>30</v>
      </c>
      <c r="N356" t="str">
        <f>VLOOKUP(E356,mappings!$L$1:$M$110,2,FALSE)</f>
        <v>No answer provided</v>
      </c>
      <c r="O356" t="str">
        <f>VLOOKUP(E356,mappings!L:O,3,FALSE)</f>
        <v>No answer provided</v>
      </c>
      <c r="P356" t="str">
        <f>VLOOKUP(E356,mappings!L:P,4,FALSE)</f>
        <v>No answer provided</v>
      </c>
    </row>
    <row r="357" spans="1:16" x14ac:dyDescent="0.2">
      <c r="A357">
        <v>356</v>
      </c>
      <c r="B357">
        <v>3878267217</v>
      </c>
      <c r="C357" t="s">
        <v>6</v>
      </c>
      <c r="D357" t="s">
        <v>31</v>
      </c>
      <c r="E357" t="s">
        <v>8</v>
      </c>
      <c r="F357" t="s">
        <v>9</v>
      </c>
      <c r="G357" s="2">
        <f>VLOOKUP(F357,mappings!$G$2:$H$6,2,FALSE)</f>
        <v>4</v>
      </c>
      <c r="H357" t="s">
        <v>163</v>
      </c>
      <c r="I357" s="2">
        <f>VLOOKUP(H357,mappings!$D$2:$E$6,2,FALSE)</f>
        <v>3</v>
      </c>
      <c r="J357" t="s">
        <v>36</v>
      </c>
      <c r="K357" t="s">
        <v>23</v>
      </c>
      <c r="L357" s="2">
        <f>VLOOKUP(K357,mappings!$A$2:$B$13,2,FALSE)</f>
        <v>3</v>
      </c>
      <c r="M357" t="s">
        <v>20</v>
      </c>
      <c r="N357" t="str">
        <f>VLOOKUP(E357,mappings!$L$1:$M$110,2,FALSE)</f>
        <v>No answer provided</v>
      </c>
      <c r="O357" t="str">
        <f>VLOOKUP(E357,mappings!L:O,3,FALSE)</f>
        <v>No answer provided</v>
      </c>
      <c r="P357" t="str">
        <f>VLOOKUP(E357,mappings!L:P,4,FALSE)</f>
        <v>No answer provided</v>
      </c>
    </row>
    <row r="358" spans="1:16" x14ac:dyDescent="0.2">
      <c r="A358">
        <v>357</v>
      </c>
      <c r="B358">
        <v>3878263834</v>
      </c>
      <c r="C358" t="s">
        <v>6</v>
      </c>
      <c r="D358" t="s">
        <v>27</v>
      </c>
      <c r="E358" t="s">
        <v>8</v>
      </c>
      <c r="F358" t="s">
        <v>9</v>
      </c>
      <c r="G358" s="2">
        <f>VLOOKUP(F358,mappings!$G$2:$H$6,2,FALSE)</f>
        <v>4</v>
      </c>
      <c r="H358" t="s">
        <v>43</v>
      </c>
      <c r="I358" s="2">
        <f>VLOOKUP(H358,mappings!$D$2:$E$6,2,FALSE)</f>
        <v>4</v>
      </c>
      <c r="J358" t="s">
        <v>10</v>
      </c>
      <c r="K358" t="s">
        <v>39</v>
      </c>
      <c r="L358" s="2">
        <f>VLOOKUP(K358,mappings!$A$2:$B$13,2,FALSE)</f>
        <v>10</v>
      </c>
      <c r="M358" t="s">
        <v>24</v>
      </c>
      <c r="N358" t="str">
        <f>VLOOKUP(E358,mappings!$L$1:$M$110,2,FALSE)</f>
        <v>No answer provided</v>
      </c>
      <c r="O358" t="str">
        <f>VLOOKUP(E358,mappings!L:O,3,FALSE)</f>
        <v>No answer provided</v>
      </c>
      <c r="P358" t="str">
        <f>VLOOKUP(E358,mappings!L:P,4,FALSE)</f>
        <v>No answer provided</v>
      </c>
    </row>
    <row r="359" spans="1:16" x14ac:dyDescent="0.2">
      <c r="A359">
        <v>358</v>
      </c>
      <c r="B359">
        <v>3878263694</v>
      </c>
      <c r="C359" t="s">
        <v>6</v>
      </c>
      <c r="D359" t="s">
        <v>7</v>
      </c>
      <c r="E359" t="s">
        <v>8</v>
      </c>
      <c r="F359" t="s">
        <v>22</v>
      </c>
      <c r="G359" s="2">
        <f>VLOOKUP(F359,mappings!$G$2:$H$6,2,FALSE)</f>
        <v>1</v>
      </c>
      <c r="H359" t="s">
        <v>43</v>
      </c>
      <c r="I359" s="2">
        <f>VLOOKUP(H359,mappings!$D$2:$E$6,2,FALSE)</f>
        <v>4</v>
      </c>
      <c r="J359" t="s">
        <v>36</v>
      </c>
      <c r="K359" t="s">
        <v>13</v>
      </c>
      <c r="L359" s="2">
        <f>VLOOKUP(K359,mappings!$A$2:$B$13,2,FALSE)</f>
        <v>11</v>
      </c>
      <c r="M359" t="s">
        <v>30</v>
      </c>
      <c r="N359" t="str">
        <f>VLOOKUP(E359,mappings!$L$1:$M$110,2,FALSE)</f>
        <v>No answer provided</v>
      </c>
      <c r="O359" t="str">
        <f>VLOOKUP(E359,mappings!L:O,3,FALSE)</f>
        <v>No answer provided</v>
      </c>
      <c r="P359" t="str">
        <f>VLOOKUP(E359,mappings!L:P,4,FALSE)</f>
        <v>No answer provided</v>
      </c>
    </row>
    <row r="360" spans="1:16" x14ac:dyDescent="0.2">
      <c r="A360">
        <v>359</v>
      </c>
      <c r="B360">
        <v>3878262512</v>
      </c>
      <c r="C360" t="s">
        <v>6</v>
      </c>
      <c r="D360" t="s">
        <v>1</v>
      </c>
      <c r="E360" t="s">
        <v>93</v>
      </c>
      <c r="F360" t="s">
        <v>9</v>
      </c>
      <c r="G360" s="2">
        <f>VLOOKUP(F360,mappings!$G$2:$H$6,2,FALSE)</f>
        <v>4</v>
      </c>
      <c r="H360" t="s">
        <v>163</v>
      </c>
      <c r="I360" s="2">
        <f>VLOOKUP(H360,mappings!$D$2:$E$6,2,FALSE)</f>
        <v>3</v>
      </c>
      <c r="J360" t="s">
        <v>10</v>
      </c>
      <c r="K360" t="s">
        <v>33</v>
      </c>
      <c r="L360" s="2">
        <f>VLOOKUP(K360,mappings!$A$2:$B$13,2,FALSE)</f>
        <v>5</v>
      </c>
      <c r="M360" t="s">
        <v>42</v>
      </c>
      <c r="N360" t="str">
        <f>VLOOKUP(E360,mappings!$L$1:$M$110,2,FALSE)</f>
        <v>Weatherbug</v>
      </c>
      <c r="O360" t="str">
        <f>VLOOKUP(E360,mappings!L:O,3,FALSE)</f>
        <v>Website</v>
      </c>
      <c r="P360" t="str">
        <f>VLOOKUP(E360,mappings!L:P,4,FALSE)</f>
        <v>Other or unkown</v>
      </c>
    </row>
    <row r="361" spans="1:16" x14ac:dyDescent="0.2">
      <c r="A361">
        <v>360</v>
      </c>
      <c r="B361">
        <v>3878261302</v>
      </c>
      <c r="C361" t="s">
        <v>26</v>
      </c>
      <c r="D361" t="s">
        <v>1</v>
      </c>
      <c r="E361" t="s">
        <v>94</v>
      </c>
      <c r="F361" t="s">
        <v>22</v>
      </c>
      <c r="G361" s="2">
        <f>VLOOKUP(F361,mappings!$G$2:$H$6,2,FALSE)</f>
        <v>1</v>
      </c>
      <c r="H361" t="s">
        <v>163</v>
      </c>
      <c r="I361" s="2">
        <f>VLOOKUP(H361,mappings!$D$2:$E$6,2,FALSE)</f>
        <v>3</v>
      </c>
      <c r="J361" t="s">
        <v>36</v>
      </c>
      <c r="K361" t="s">
        <v>18</v>
      </c>
      <c r="L361" s="2">
        <f>VLOOKUP(K361,mappings!$A$2:$B$13,2,FALSE)</f>
        <v>8</v>
      </c>
      <c r="M361" t="s">
        <v>30</v>
      </c>
      <c r="N361" t="str">
        <f>VLOOKUP(E361,mappings!$L$1:$M$110,2,FALSE)</f>
        <v>None</v>
      </c>
      <c r="O361" t="str">
        <f>VLOOKUP(E361,mappings!L:O,3,FALSE)</f>
        <v>None</v>
      </c>
      <c r="P361" t="str">
        <f>VLOOKUP(E361,mappings!L:P,4,FALSE)</f>
        <v>Other or unkown</v>
      </c>
    </row>
    <row r="362" spans="1:16" x14ac:dyDescent="0.2">
      <c r="A362">
        <v>361</v>
      </c>
      <c r="B362">
        <v>3878259660</v>
      </c>
      <c r="C362" t="s">
        <v>6</v>
      </c>
      <c r="D362" t="s">
        <v>21</v>
      </c>
      <c r="E362" t="s">
        <v>8</v>
      </c>
      <c r="F362" t="s">
        <v>9</v>
      </c>
      <c r="G362" s="2">
        <f>VLOOKUP(F362,mappings!$G$2:$H$6,2,FALSE)</f>
        <v>4</v>
      </c>
      <c r="H362" t="s">
        <v>163</v>
      </c>
      <c r="I362" s="2">
        <f>VLOOKUP(H362,mappings!$D$2:$E$6,2,FALSE)</f>
        <v>3</v>
      </c>
      <c r="J362" t="s">
        <v>36</v>
      </c>
      <c r="K362" t="s">
        <v>11</v>
      </c>
      <c r="L362" s="2">
        <f>VLOOKUP(K362,mappings!$A$2:$B$13,2,FALSE)</f>
        <v>4</v>
      </c>
      <c r="M362" t="s">
        <v>34</v>
      </c>
      <c r="N362" t="str">
        <f>VLOOKUP(E362,mappings!$L$1:$M$110,2,FALSE)</f>
        <v>No answer provided</v>
      </c>
      <c r="O362" t="str">
        <f>VLOOKUP(E362,mappings!L:O,3,FALSE)</f>
        <v>No answer provided</v>
      </c>
      <c r="P362" t="str">
        <f>VLOOKUP(E362,mappings!L:P,4,FALSE)</f>
        <v>No answer provided</v>
      </c>
    </row>
    <row r="363" spans="1:16" x14ac:dyDescent="0.2">
      <c r="A363">
        <v>362</v>
      </c>
      <c r="B363">
        <v>3878256328</v>
      </c>
      <c r="C363" t="s">
        <v>6</v>
      </c>
      <c r="D363" t="s">
        <v>31</v>
      </c>
      <c r="E363" t="s">
        <v>8</v>
      </c>
      <c r="F363" t="s">
        <v>9</v>
      </c>
      <c r="G363" s="2">
        <f>VLOOKUP(F363,mappings!$G$2:$H$6,2,FALSE)</f>
        <v>4</v>
      </c>
      <c r="H363" t="s">
        <v>163</v>
      </c>
      <c r="I363" s="2">
        <f>VLOOKUP(H363,mappings!$D$2:$E$6,2,FALSE)</f>
        <v>3</v>
      </c>
      <c r="J363" t="s">
        <v>36</v>
      </c>
      <c r="K363" t="s">
        <v>29</v>
      </c>
      <c r="L363" s="2">
        <f>VLOOKUP(K363,mappings!$A$2:$B$13,2,FALSE)</f>
        <v>1</v>
      </c>
      <c r="M363" t="s">
        <v>42</v>
      </c>
      <c r="N363" t="str">
        <f>VLOOKUP(E363,mappings!$L$1:$M$110,2,FALSE)</f>
        <v>No answer provided</v>
      </c>
      <c r="O363" t="str">
        <f>VLOOKUP(E363,mappings!L:O,3,FALSE)</f>
        <v>No answer provided</v>
      </c>
      <c r="P363" t="str">
        <f>VLOOKUP(E363,mappings!L:P,4,FALSE)</f>
        <v>No answer provided</v>
      </c>
    </row>
    <row r="364" spans="1:16" x14ac:dyDescent="0.2">
      <c r="A364">
        <v>363</v>
      </c>
      <c r="B364">
        <v>3878255469</v>
      </c>
      <c r="C364" t="s">
        <v>6</v>
      </c>
      <c r="D364" t="s">
        <v>1</v>
      </c>
      <c r="E364" t="s">
        <v>95</v>
      </c>
      <c r="F364" t="s">
        <v>16</v>
      </c>
      <c r="G364" s="2">
        <f>VLOOKUP(F364,mappings!$G$2:$H$6,2,FALSE)</f>
        <v>3</v>
      </c>
      <c r="H364" t="s">
        <v>161</v>
      </c>
      <c r="I364" s="2">
        <f>VLOOKUP(H364,mappings!$D$2:$E$6,2,FALSE)</f>
        <v>2</v>
      </c>
      <c r="J364" t="s">
        <v>36</v>
      </c>
      <c r="K364" t="s">
        <v>23</v>
      </c>
      <c r="L364" s="2">
        <f>VLOOKUP(K364,mappings!$A$2:$B$13,2,FALSE)</f>
        <v>3</v>
      </c>
      <c r="M364" t="s">
        <v>30</v>
      </c>
      <c r="N364" t="str">
        <f>VLOOKUP(E364,mappings!$L$1:$M$110,2,FALSE)</f>
        <v>AccuWeather</v>
      </c>
      <c r="O364" t="str">
        <f>VLOOKUP(E364,mappings!L:O,3,FALSE)</f>
        <v>Website</v>
      </c>
      <c r="P364" t="str">
        <f>VLOOKUP(E364,mappings!L:P,4,FALSE)</f>
        <v>Other or unkown</v>
      </c>
    </row>
    <row r="365" spans="1:16" x14ac:dyDescent="0.2">
      <c r="A365">
        <v>364</v>
      </c>
      <c r="B365">
        <v>3878255097</v>
      </c>
      <c r="C365" t="s">
        <v>26</v>
      </c>
      <c r="D365" t="s">
        <v>7</v>
      </c>
      <c r="E365" t="s">
        <v>8</v>
      </c>
      <c r="F365" t="s">
        <v>28</v>
      </c>
      <c r="G365" s="2">
        <f>VLOOKUP(F365,mappings!$G$2:$H$6,2,FALSE)</f>
        <v>2</v>
      </c>
      <c r="H365" t="s">
        <v>163</v>
      </c>
      <c r="I365" s="2">
        <f>VLOOKUP(H365,mappings!$D$2:$E$6,2,FALSE)</f>
        <v>3</v>
      </c>
      <c r="J365" t="s">
        <v>36</v>
      </c>
      <c r="K365" t="s">
        <v>14</v>
      </c>
      <c r="L365" s="2">
        <f>VLOOKUP(K365,mappings!$A$2:$B$13,2,FALSE)</f>
        <v>6</v>
      </c>
      <c r="M365" t="s">
        <v>25</v>
      </c>
      <c r="N365" t="str">
        <f>VLOOKUP(E365,mappings!$L$1:$M$110,2,FALSE)</f>
        <v>No answer provided</v>
      </c>
      <c r="O365" t="str">
        <f>VLOOKUP(E365,mappings!L:O,3,FALSE)</f>
        <v>No answer provided</v>
      </c>
      <c r="P365" t="str">
        <f>VLOOKUP(E365,mappings!L:P,4,FALSE)</f>
        <v>No answer provided</v>
      </c>
    </row>
    <row r="366" spans="1:16" x14ac:dyDescent="0.2">
      <c r="A366">
        <v>365</v>
      </c>
      <c r="B366">
        <v>3878253341</v>
      </c>
      <c r="C366" t="s">
        <v>6</v>
      </c>
      <c r="D366" t="s">
        <v>7</v>
      </c>
      <c r="E366" t="s">
        <v>8</v>
      </c>
      <c r="F366" t="s">
        <v>16</v>
      </c>
      <c r="G366" s="2">
        <f>VLOOKUP(F366,mappings!$G$2:$H$6,2,FALSE)</f>
        <v>3</v>
      </c>
      <c r="H366" t="s">
        <v>161</v>
      </c>
      <c r="I366" s="2">
        <f>VLOOKUP(H366,mappings!$D$2:$E$6,2,FALSE)</f>
        <v>2</v>
      </c>
      <c r="J366" t="s">
        <v>36</v>
      </c>
      <c r="K366" t="s">
        <v>11</v>
      </c>
      <c r="L366" s="2">
        <f>VLOOKUP(K366,mappings!$A$2:$B$13,2,FALSE)</f>
        <v>4</v>
      </c>
      <c r="M366" t="s">
        <v>34</v>
      </c>
      <c r="N366" t="str">
        <f>VLOOKUP(E366,mappings!$L$1:$M$110,2,FALSE)</f>
        <v>No answer provided</v>
      </c>
      <c r="O366" t="str">
        <f>VLOOKUP(E366,mappings!L:O,3,FALSE)</f>
        <v>No answer provided</v>
      </c>
      <c r="P366" t="str">
        <f>VLOOKUP(E366,mappings!L:P,4,FALSE)</f>
        <v>No answer provided</v>
      </c>
    </row>
    <row r="367" spans="1:16" x14ac:dyDescent="0.2">
      <c r="A367">
        <v>366</v>
      </c>
      <c r="B367">
        <v>3878252826</v>
      </c>
      <c r="C367" t="s">
        <v>6</v>
      </c>
      <c r="D367" t="s">
        <v>1</v>
      </c>
      <c r="E367" t="s">
        <v>176</v>
      </c>
      <c r="F367" t="s">
        <v>16</v>
      </c>
      <c r="G367" s="2">
        <f>VLOOKUP(F367,mappings!$G$2:$H$6,2,FALSE)</f>
        <v>3</v>
      </c>
      <c r="H367" t="s">
        <v>43</v>
      </c>
      <c r="I367" s="2">
        <f>VLOOKUP(H367,mappings!$D$2:$E$6,2,FALSE)</f>
        <v>4</v>
      </c>
      <c r="J367" t="s">
        <v>36</v>
      </c>
      <c r="K367" t="s">
        <v>14</v>
      </c>
      <c r="L367" s="2">
        <f>VLOOKUP(K367,mappings!$A$2:$B$13,2,FALSE)</f>
        <v>6</v>
      </c>
      <c r="M367" t="s">
        <v>24</v>
      </c>
      <c r="N367" t="str">
        <f>VLOOKUP(E367,mappings!$L$1:$M$110,2,FALSE)</f>
        <v>Yahoo</v>
      </c>
      <c r="O367" t="str">
        <f>VLOOKUP(E367,mappings!L:O,3,FALSE)</f>
        <v>App</v>
      </c>
      <c r="P367" t="str">
        <f>VLOOKUP(E367,mappings!L:P,4,FALSE)</f>
        <v>Apple</v>
      </c>
    </row>
    <row r="368" spans="1:16" x14ac:dyDescent="0.2">
      <c r="A368">
        <v>367</v>
      </c>
      <c r="B368">
        <v>3878251387</v>
      </c>
      <c r="C368" t="s">
        <v>6</v>
      </c>
      <c r="D368" t="s">
        <v>21</v>
      </c>
      <c r="E368" t="s">
        <v>8</v>
      </c>
      <c r="F368" t="s">
        <v>9</v>
      </c>
      <c r="G368" s="2">
        <f>VLOOKUP(F368,mappings!$G$2:$H$6,2,FALSE)</f>
        <v>4</v>
      </c>
      <c r="H368" t="s">
        <v>161</v>
      </c>
      <c r="I368" s="2">
        <f>VLOOKUP(H368,mappings!$D$2:$E$6,2,FALSE)</f>
        <v>2</v>
      </c>
      <c r="J368" t="s">
        <v>36</v>
      </c>
      <c r="K368" t="s">
        <v>32</v>
      </c>
      <c r="L368" s="2">
        <f>VLOOKUP(K368,mappings!$A$2:$B$13,2,FALSE)</f>
        <v>2</v>
      </c>
      <c r="M368" t="s">
        <v>42</v>
      </c>
      <c r="N368" t="str">
        <f>VLOOKUP(E368,mappings!$L$1:$M$110,2,FALSE)</f>
        <v>No answer provided</v>
      </c>
      <c r="O368" t="str">
        <f>VLOOKUP(E368,mappings!L:O,3,FALSE)</f>
        <v>No answer provided</v>
      </c>
      <c r="P368" t="str">
        <f>VLOOKUP(E368,mappings!L:P,4,FALSE)</f>
        <v>No answer provided</v>
      </c>
    </row>
    <row r="369" spans="1:16" x14ac:dyDescent="0.2">
      <c r="A369">
        <v>368</v>
      </c>
      <c r="B369">
        <v>3878251359</v>
      </c>
      <c r="C369" t="s">
        <v>26</v>
      </c>
      <c r="D369" t="s">
        <v>31</v>
      </c>
      <c r="E369" t="s">
        <v>8</v>
      </c>
      <c r="F369" t="s">
        <v>9</v>
      </c>
      <c r="G369" s="2">
        <f>VLOOKUP(F369,mappings!$G$2:$H$6,2,FALSE)</f>
        <v>4</v>
      </c>
      <c r="H369" t="s">
        <v>163</v>
      </c>
      <c r="I369" s="2">
        <f>VLOOKUP(H369,mappings!$D$2:$E$6,2,FALSE)</f>
        <v>3</v>
      </c>
      <c r="J369" t="s">
        <v>36</v>
      </c>
      <c r="K369" t="s">
        <v>29</v>
      </c>
      <c r="L369" s="2">
        <f>VLOOKUP(K369,mappings!$A$2:$B$13,2,FALSE)</f>
        <v>1</v>
      </c>
      <c r="M369" t="s">
        <v>24</v>
      </c>
      <c r="N369" t="str">
        <f>VLOOKUP(E369,mappings!$L$1:$M$110,2,FALSE)</f>
        <v>No answer provided</v>
      </c>
      <c r="O369" t="str">
        <f>VLOOKUP(E369,mappings!L:O,3,FALSE)</f>
        <v>No answer provided</v>
      </c>
      <c r="P369" t="str">
        <f>VLOOKUP(E369,mappings!L:P,4,FALSE)</f>
        <v>No answer provided</v>
      </c>
    </row>
    <row r="370" spans="1:16" x14ac:dyDescent="0.2">
      <c r="A370">
        <v>369</v>
      </c>
      <c r="B370">
        <v>3878249188</v>
      </c>
      <c r="C370" t="s">
        <v>6</v>
      </c>
      <c r="D370" t="s">
        <v>31</v>
      </c>
      <c r="E370" t="s">
        <v>8</v>
      </c>
      <c r="F370" t="s">
        <v>9</v>
      </c>
      <c r="G370" s="2">
        <f>VLOOKUP(F370,mappings!$G$2:$H$6,2,FALSE)</f>
        <v>4</v>
      </c>
      <c r="H370" t="s">
        <v>161</v>
      </c>
      <c r="I370" s="2">
        <f>VLOOKUP(H370,mappings!$D$2:$E$6,2,FALSE)</f>
        <v>2</v>
      </c>
      <c r="J370" t="s">
        <v>36</v>
      </c>
      <c r="K370" t="s">
        <v>23</v>
      </c>
      <c r="L370" s="2">
        <f>VLOOKUP(K370,mappings!$A$2:$B$13,2,FALSE)</f>
        <v>3</v>
      </c>
      <c r="M370" t="s">
        <v>24</v>
      </c>
      <c r="N370" t="str">
        <f>VLOOKUP(E370,mappings!$L$1:$M$110,2,FALSE)</f>
        <v>No answer provided</v>
      </c>
      <c r="O370" t="str">
        <f>VLOOKUP(E370,mappings!L:O,3,FALSE)</f>
        <v>No answer provided</v>
      </c>
      <c r="P370" t="str">
        <f>VLOOKUP(E370,mappings!L:P,4,FALSE)</f>
        <v>No answer provided</v>
      </c>
    </row>
    <row r="371" spans="1:16" x14ac:dyDescent="0.2">
      <c r="A371">
        <v>370</v>
      </c>
      <c r="B371">
        <v>3878248250</v>
      </c>
      <c r="C371" t="s">
        <v>6</v>
      </c>
      <c r="D371" t="s">
        <v>7</v>
      </c>
      <c r="E371" t="s">
        <v>8</v>
      </c>
      <c r="F371" t="s">
        <v>9</v>
      </c>
      <c r="G371" s="2">
        <f>VLOOKUP(F371,mappings!$G$2:$H$6,2,FALSE)</f>
        <v>4</v>
      </c>
      <c r="H371" t="s">
        <v>161</v>
      </c>
      <c r="I371" s="2">
        <f>VLOOKUP(H371,mappings!$D$2:$E$6,2,FALSE)</f>
        <v>2</v>
      </c>
      <c r="J371" t="s">
        <v>36</v>
      </c>
      <c r="K371" t="s">
        <v>14</v>
      </c>
      <c r="L371" s="2">
        <f>VLOOKUP(K371,mappings!$A$2:$B$13,2,FALSE)</f>
        <v>6</v>
      </c>
      <c r="M371" t="s">
        <v>30</v>
      </c>
      <c r="N371" t="str">
        <f>VLOOKUP(E371,mappings!$L$1:$M$110,2,FALSE)</f>
        <v>No answer provided</v>
      </c>
      <c r="O371" t="str">
        <f>VLOOKUP(E371,mappings!L:O,3,FALSE)</f>
        <v>No answer provided</v>
      </c>
      <c r="P371" t="str">
        <f>VLOOKUP(E371,mappings!L:P,4,FALSE)</f>
        <v>No answer provided</v>
      </c>
    </row>
    <row r="372" spans="1:16" x14ac:dyDescent="0.2">
      <c r="A372">
        <v>371</v>
      </c>
      <c r="B372">
        <v>3878247540</v>
      </c>
      <c r="C372" t="s">
        <v>6</v>
      </c>
      <c r="D372" t="s">
        <v>7</v>
      </c>
      <c r="E372" t="s">
        <v>8</v>
      </c>
      <c r="F372" t="s">
        <v>22</v>
      </c>
      <c r="G372" s="2">
        <f>VLOOKUP(F372,mappings!$G$2:$H$6,2,FALSE)</f>
        <v>1</v>
      </c>
      <c r="H372" t="s">
        <v>161</v>
      </c>
      <c r="I372" s="2">
        <f>VLOOKUP(H372,mappings!$D$2:$E$6,2,FALSE)</f>
        <v>2</v>
      </c>
      <c r="J372" t="s">
        <v>36</v>
      </c>
      <c r="K372" t="s">
        <v>11</v>
      </c>
      <c r="L372" s="2">
        <f>VLOOKUP(K372,mappings!$A$2:$B$13,2,FALSE)</f>
        <v>4</v>
      </c>
      <c r="M372" t="s">
        <v>30</v>
      </c>
      <c r="N372" t="str">
        <f>VLOOKUP(E372,mappings!$L$1:$M$110,2,FALSE)</f>
        <v>No answer provided</v>
      </c>
      <c r="O372" t="str">
        <f>VLOOKUP(E372,mappings!L:O,3,FALSE)</f>
        <v>No answer provided</v>
      </c>
      <c r="P372" t="str">
        <f>VLOOKUP(E372,mappings!L:P,4,FALSE)</f>
        <v>No answer provided</v>
      </c>
    </row>
    <row r="373" spans="1:16" x14ac:dyDescent="0.2">
      <c r="A373">
        <v>372</v>
      </c>
      <c r="B373">
        <v>3878244194</v>
      </c>
      <c r="C373" t="s">
        <v>6</v>
      </c>
      <c r="D373" t="s">
        <v>31</v>
      </c>
      <c r="E373" t="s">
        <v>8</v>
      </c>
      <c r="F373" t="s">
        <v>9</v>
      </c>
      <c r="G373" s="2">
        <f>VLOOKUP(F373,mappings!$G$2:$H$6,2,FALSE)</f>
        <v>4</v>
      </c>
      <c r="H373" t="s">
        <v>163</v>
      </c>
      <c r="I373" s="2">
        <f>VLOOKUP(H373,mappings!$D$2:$E$6,2,FALSE)</f>
        <v>3</v>
      </c>
      <c r="J373" t="s">
        <v>10</v>
      </c>
      <c r="K373" t="s">
        <v>14</v>
      </c>
      <c r="L373" s="2">
        <f>VLOOKUP(K373,mappings!$A$2:$B$13,2,FALSE)</f>
        <v>6</v>
      </c>
      <c r="M373" t="s">
        <v>12</v>
      </c>
      <c r="N373" t="str">
        <f>VLOOKUP(E373,mappings!$L$1:$M$110,2,FALSE)</f>
        <v>No answer provided</v>
      </c>
      <c r="O373" t="str">
        <f>VLOOKUP(E373,mappings!L:O,3,FALSE)</f>
        <v>No answer provided</v>
      </c>
      <c r="P373" t="str">
        <f>VLOOKUP(E373,mappings!L:P,4,FALSE)</f>
        <v>No answer provided</v>
      </c>
    </row>
    <row r="374" spans="1:16" x14ac:dyDescent="0.2">
      <c r="A374">
        <v>373</v>
      </c>
      <c r="B374">
        <v>3878243755</v>
      </c>
      <c r="C374" t="s">
        <v>6</v>
      </c>
      <c r="D374" t="s">
        <v>7</v>
      </c>
      <c r="E374" t="s">
        <v>8</v>
      </c>
      <c r="F374" t="s">
        <v>9</v>
      </c>
      <c r="G374" s="2">
        <f>VLOOKUP(F374,mappings!$G$2:$H$6,2,FALSE)</f>
        <v>4</v>
      </c>
      <c r="H374" t="s">
        <v>161</v>
      </c>
      <c r="I374" s="2">
        <f>VLOOKUP(H374,mappings!$D$2:$E$6,2,FALSE)</f>
        <v>2</v>
      </c>
      <c r="J374" t="s">
        <v>36</v>
      </c>
      <c r="K374" t="s">
        <v>11</v>
      </c>
      <c r="L374" s="2">
        <f>VLOOKUP(K374,mappings!$A$2:$B$13,2,FALSE)</f>
        <v>4</v>
      </c>
      <c r="M374" t="s">
        <v>15</v>
      </c>
      <c r="N374" t="str">
        <f>VLOOKUP(E374,mappings!$L$1:$M$110,2,FALSE)</f>
        <v>No answer provided</v>
      </c>
      <c r="O374" t="str">
        <f>VLOOKUP(E374,mappings!L:O,3,FALSE)</f>
        <v>No answer provided</v>
      </c>
      <c r="P374" t="str">
        <f>VLOOKUP(E374,mappings!L:P,4,FALSE)</f>
        <v>No answer provided</v>
      </c>
    </row>
    <row r="375" spans="1:16" x14ac:dyDescent="0.2">
      <c r="A375">
        <v>374</v>
      </c>
      <c r="B375">
        <v>3878242397</v>
      </c>
      <c r="C375" t="s">
        <v>6</v>
      </c>
      <c r="D375" t="s">
        <v>7</v>
      </c>
      <c r="E375" t="s">
        <v>8</v>
      </c>
      <c r="F375" t="s">
        <v>22</v>
      </c>
      <c r="G375" s="2">
        <f>VLOOKUP(F375,mappings!$G$2:$H$6,2,FALSE)</f>
        <v>1</v>
      </c>
      <c r="H375" t="s">
        <v>43</v>
      </c>
      <c r="I375" s="2">
        <f>VLOOKUP(H375,mappings!$D$2:$E$6,2,FALSE)</f>
        <v>4</v>
      </c>
      <c r="J375" t="s">
        <v>36</v>
      </c>
      <c r="K375" t="s">
        <v>23</v>
      </c>
      <c r="L375" s="2">
        <f>VLOOKUP(K375,mappings!$A$2:$B$13,2,FALSE)</f>
        <v>3</v>
      </c>
      <c r="M375" t="s">
        <v>25</v>
      </c>
      <c r="N375" t="str">
        <f>VLOOKUP(E375,mappings!$L$1:$M$110,2,FALSE)</f>
        <v>No answer provided</v>
      </c>
      <c r="O375" t="str">
        <f>VLOOKUP(E375,mappings!L:O,3,FALSE)</f>
        <v>No answer provided</v>
      </c>
      <c r="P375" t="str">
        <f>VLOOKUP(E375,mappings!L:P,4,FALSE)</f>
        <v>No answer provided</v>
      </c>
    </row>
    <row r="376" spans="1:16" x14ac:dyDescent="0.2">
      <c r="A376">
        <v>375</v>
      </c>
      <c r="B376">
        <v>3878239927</v>
      </c>
      <c r="C376" t="s">
        <v>6</v>
      </c>
      <c r="D376" t="s">
        <v>41</v>
      </c>
      <c r="E376" t="s">
        <v>8</v>
      </c>
      <c r="F376" t="s">
        <v>16</v>
      </c>
      <c r="G376" s="2">
        <f>VLOOKUP(F376,mappings!$G$2:$H$6,2,FALSE)</f>
        <v>3</v>
      </c>
      <c r="H376" t="s">
        <v>43</v>
      </c>
      <c r="I376" s="2">
        <f>VLOOKUP(H376,mappings!$D$2:$E$6,2,FALSE)</f>
        <v>4</v>
      </c>
      <c r="J376" t="s">
        <v>10</v>
      </c>
      <c r="K376" t="s">
        <v>11</v>
      </c>
      <c r="L376" s="2">
        <f>VLOOKUP(K376,mappings!$A$2:$B$13,2,FALSE)</f>
        <v>4</v>
      </c>
      <c r="M376" t="s">
        <v>24</v>
      </c>
      <c r="N376" t="str">
        <f>VLOOKUP(E376,mappings!$L$1:$M$110,2,FALSE)</f>
        <v>No answer provided</v>
      </c>
      <c r="O376" t="str">
        <f>VLOOKUP(E376,mappings!L:O,3,FALSE)</f>
        <v>No answer provided</v>
      </c>
      <c r="P376" t="str">
        <f>VLOOKUP(E376,mappings!L:P,4,FALSE)</f>
        <v>No answer provided</v>
      </c>
    </row>
    <row r="377" spans="1:16" x14ac:dyDescent="0.2">
      <c r="A377">
        <v>376</v>
      </c>
      <c r="B377">
        <v>3878238124</v>
      </c>
      <c r="C377" t="s">
        <v>26</v>
      </c>
      <c r="D377" t="s">
        <v>31</v>
      </c>
      <c r="E377" t="s">
        <v>8</v>
      </c>
      <c r="F377" t="s">
        <v>9</v>
      </c>
      <c r="G377" s="2">
        <f>VLOOKUP(F377,mappings!$G$2:$H$6,2,FALSE)</f>
        <v>4</v>
      </c>
      <c r="H377" t="s">
        <v>43</v>
      </c>
      <c r="I377" s="2">
        <f>VLOOKUP(H377,mappings!$D$2:$E$6,2,FALSE)</f>
        <v>4</v>
      </c>
      <c r="J377" t="s">
        <v>10</v>
      </c>
      <c r="K377" t="s">
        <v>11</v>
      </c>
      <c r="L377" s="2">
        <f>VLOOKUP(K377,mappings!$A$2:$B$13,2,FALSE)</f>
        <v>4</v>
      </c>
      <c r="M377" t="s">
        <v>34</v>
      </c>
      <c r="N377" t="str">
        <f>VLOOKUP(E377,mappings!$L$1:$M$110,2,FALSE)</f>
        <v>No answer provided</v>
      </c>
      <c r="O377" t="str">
        <f>VLOOKUP(E377,mappings!L:O,3,FALSE)</f>
        <v>No answer provided</v>
      </c>
      <c r="P377" t="str">
        <f>VLOOKUP(E377,mappings!L:P,4,FALSE)</f>
        <v>No answer provided</v>
      </c>
    </row>
    <row r="378" spans="1:16" x14ac:dyDescent="0.2">
      <c r="A378">
        <v>377</v>
      </c>
      <c r="B378">
        <v>3878228000</v>
      </c>
      <c r="C378" t="s">
        <v>6</v>
      </c>
      <c r="D378" t="s">
        <v>27</v>
      </c>
      <c r="E378" t="s">
        <v>8</v>
      </c>
      <c r="F378" t="s">
        <v>9</v>
      </c>
      <c r="G378" s="2">
        <f>VLOOKUP(F378,mappings!$G$2:$H$6,2,FALSE)</f>
        <v>4</v>
      </c>
      <c r="H378" t="s">
        <v>163</v>
      </c>
      <c r="I378" s="2">
        <f>VLOOKUP(H378,mappings!$D$2:$E$6,2,FALSE)</f>
        <v>3</v>
      </c>
      <c r="J378" t="s">
        <v>36</v>
      </c>
      <c r="K378" t="s">
        <v>23</v>
      </c>
      <c r="L378" s="2">
        <f>VLOOKUP(K378,mappings!$A$2:$B$13,2,FALSE)</f>
        <v>3</v>
      </c>
      <c r="M378" t="s">
        <v>30</v>
      </c>
      <c r="N378" t="str">
        <f>VLOOKUP(E378,mappings!$L$1:$M$110,2,FALSE)</f>
        <v>No answer provided</v>
      </c>
      <c r="O378" t="str">
        <f>VLOOKUP(E378,mappings!L:O,3,FALSE)</f>
        <v>No answer provided</v>
      </c>
      <c r="P378" t="str">
        <f>VLOOKUP(E378,mappings!L:P,4,FALSE)</f>
        <v>No answer provided</v>
      </c>
    </row>
    <row r="379" spans="1:16" x14ac:dyDescent="0.2">
      <c r="A379">
        <v>378</v>
      </c>
      <c r="B379">
        <v>3878227923</v>
      </c>
      <c r="C379" t="s">
        <v>6</v>
      </c>
      <c r="D379" t="s">
        <v>21</v>
      </c>
      <c r="E379" t="s">
        <v>8</v>
      </c>
      <c r="F379" t="s">
        <v>9</v>
      </c>
      <c r="G379" s="2">
        <f>VLOOKUP(F379,mappings!$G$2:$H$6,2,FALSE)</f>
        <v>4</v>
      </c>
      <c r="H379" t="s">
        <v>163</v>
      </c>
      <c r="I379" s="2">
        <f>VLOOKUP(H379,mappings!$D$2:$E$6,2,FALSE)</f>
        <v>3</v>
      </c>
      <c r="J379" t="s">
        <v>10</v>
      </c>
      <c r="K379" t="s">
        <v>14</v>
      </c>
      <c r="L379" s="2">
        <f>VLOOKUP(K379,mappings!$A$2:$B$13,2,FALSE)</f>
        <v>6</v>
      </c>
      <c r="M379" t="s">
        <v>12</v>
      </c>
      <c r="N379" t="str">
        <f>VLOOKUP(E379,mappings!$L$1:$M$110,2,FALSE)</f>
        <v>No answer provided</v>
      </c>
      <c r="O379" t="str">
        <f>VLOOKUP(E379,mappings!L:O,3,FALSE)</f>
        <v>No answer provided</v>
      </c>
      <c r="P379" t="str">
        <f>VLOOKUP(E379,mappings!L:P,4,FALSE)</f>
        <v>No answer provided</v>
      </c>
    </row>
    <row r="380" spans="1:16" x14ac:dyDescent="0.2">
      <c r="A380">
        <v>379</v>
      </c>
      <c r="B380">
        <v>3878226107</v>
      </c>
      <c r="C380" t="s">
        <v>6</v>
      </c>
      <c r="D380" t="s">
        <v>31</v>
      </c>
      <c r="E380" t="s">
        <v>8</v>
      </c>
      <c r="F380" t="s">
        <v>16</v>
      </c>
      <c r="G380" s="2">
        <f>VLOOKUP(F380,mappings!$G$2:$H$6,2,FALSE)</f>
        <v>3</v>
      </c>
      <c r="H380" t="s">
        <v>163</v>
      </c>
      <c r="I380" s="2">
        <f>VLOOKUP(H380,mappings!$D$2:$E$6,2,FALSE)</f>
        <v>3</v>
      </c>
      <c r="J380" t="s">
        <v>36</v>
      </c>
      <c r="K380" t="s">
        <v>23</v>
      </c>
      <c r="L380" s="2">
        <f>VLOOKUP(K380,mappings!$A$2:$B$13,2,FALSE)</f>
        <v>3</v>
      </c>
      <c r="M380" t="s">
        <v>24</v>
      </c>
      <c r="N380" t="str">
        <f>VLOOKUP(E380,mappings!$L$1:$M$110,2,FALSE)</f>
        <v>No answer provided</v>
      </c>
      <c r="O380" t="str">
        <f>VLOOKUP(E380,mappings!L:O,3,FALSE)</f>
        <v>No answer provided</v>
      </c>
      <c r="P380" t="str">
        <f>VLOOKUP(E380,mappings!L:P,4,FALSE)</f>
        <v>No answer provided</v>
      </c>
    </row>
    <row r="381" spans="1:16" x14ac:dyDescent="0.2">
      <c r="A381">
        <v>380</v>
      </c>
      <c r="B381">
        <v>3878225639</v>
      </c>
      <c r="C381" t="s">
        <v>6</v>
      </c>
      <c r="D381" t="s">
        <v>31</v>
      </c>
      <c r="E381" t="s">
        <v>8</v>
      </c>
      <c r="F381" t="s">
        <v>22</v>
      </c>
      <c r="G381" s="2">
        <f>VLOOKUP(F381,mappings!$G$2:$H$6,2,FALSE)</f>
        <v>1</v>
      </c>
      <c r="H381" t="s">
        <v>43</v>
      </c>
      <c r="I381" s="2">
        <f>VLOOKUP(H381,mappings!$D$2:$E$6,2,FALSE)</f>
        <v>4</v>
      </c>
      <c r="J381" t="s">
        <v>36</v>
      </c>
      <c r="K381" t="s">
        <v>18</v>
      </c>
      <c r="L381" s="2">
        <f>VLOOKUP(K381,mappings!$A$2:$B$13,2,FALSE)</f>
        <v>8</v>
      </c>
      <c r="M381" t="s">
        <v>30</v>
      </c>
      <c r="N381" t="str">
        <f>VLOOKUP(E381,mappings!$L$1:$M$110,2,FALSE)</f>
        <v>No answer provided</v>
      </c>
      <c r="O381" t="str">
        <f>VLOOKUP(E381,mappings!L:O,3,FALSE)</f>
        <v>No answer provided</v>
      </c>
      <c r="P381" t="str">
        <f>VLOOKUP(E381,mappings!L:P,4,FALSE)</f>
        <v>No answer provided</v>
      </c>
    </row>
    <row r="382" spans="1:16" x14ac:dyDescent="0.2">
      <c r="A382">
        <v>381</v>
      </c>
      <c r="B382">
        <v>3878225361</v>
      </c>
      <c r="C382" t="s">
        <v>6</v>
      </c>
      <c r="D382" t="s">
        <v>31</v>
      </c>
      <c r="E382" t="s">
        <v>8</v>
      </c>
      <c r="F382" t="s">
        <v>9</v>
      </c>
      <c r="G382" s="2">
        <f>VLOOKUP(F382,mappings!$G$2:$H$6,2,FALSE)</f>
        <v>4</v>
      </c>
      <c r="H382" t="s">
        <v>163</v>
      </c>
      <c r="I382" s="2">
        <f>VLOOKUP(H382,mappings!$D$2:$E$6,2,FALSE)</f>
        <v>3</v>
      </c>
      <c r="J382" t="s">
        <v>36</v>
      </c>
      <c r="K382" t="s">
        <v>14</v>
      </c>
      <c r="L382" s="2">
        <f>VLOOKUP(K382,mappings!$A$2:$B$13,2,FALSE)</f>
        <v>6</v>
      </c>
      <c r="M382" t="s">
        <v>30</v>
      </c>
      <c r="N382" t="str">
        <f>VLOOKUP(E382,mappings!$L$1:$M$110,2,FALSE)</f>
        <v>No answer provided</v>
      </c>
      <c r="O382" t="str">
        <f>VLOOKUP(E382,mappings!L:O,3,FALSE)</f>
        <v>No answer provided</v>
      </c>
      <c r="P382" t="str">
        <f>VLOOKUP(E382,mappings!L:P,4,FALSE)</f>
        <v>No answer provided</v>
      </c>
    </row>
    <row r="383" spans="1:16" x14ac:dyDescent="0.2">
      <c r="A383">
        <v>382</v>
      </c>
      <c r="B383">
        <v>3878224262</v>
      </c>
      <c r="C383" t="s">
        <v>6</v>
      </c>
      <c r="D383" t="s">
        <v>7</v>
      </c>
      <c r="E383" t="s">
        <v>8</v>
      </c>
      <c r="F383" t="s">
        <v>22</v>
      </c>
      <c r="G383" s="2">
        <f>VLOOKUP(F383,mappings!$G$2:$H$6,2,FALSE)</f>
        <v>1</v>
      </c>
      <c r="H383" t="s">
        <v>163</v>
      </c>
      <c r="I383" s="2">
        <f>VLOOKUP(H383,mappings!$D$2:$E$6,2,FALSE)</f>
        <v>3</v>
      </c>
      <c r="J383" t="s">
        <v>36</v>
      </c>
      <c r="K383" t="s">
        <v>13</v>
      </c>
      <c r="L383" s="2">
        <f>VLOOKUP(K383,mappings!$A$2:$B$13,2,FALSE)</f>
        <v>11</v>
      </c>
      <c r="M383" t="s">
        <v>30</v>
      </c>
      <c r="N383" t="str">
        <f>VLOOKUP(E383,mappings!$L$1:$M$110,2,FALSE)</f>
        <v>No answer provided</v>
      </c>
      <c r="O383" t="str">
        <f>VLOOKUP(E383,mappings!L:O,3,FALSE)</f>
        <v>No answer provided</v>
      </c>
      <c r="P383" t="str">
        <f>VLOOKUP(E383,mappings!L:P,4,FALSE)</f>
        <v>No answer provided</v>
      </c>
    </row>
    <row r="384" spans="1:16" x14ac:dyDescent="0.2">
      <c r="A384">
        <v>383</v>
      </c>
      <c r="B384">
        <v>3878223377</v>
      </c>
      <c r="C384" t="s">
        <v>26</v>
      </c>
      <c r="D384" t="s">
        <v>1</v>
      </c>
      <c r="E384" t="s">
        <v>96</v>
      </c>
      <c r="F384" t="s">
        <v>16</v>
      </c>
      <c r="G384" s="2">
        <f>VLOOKUP(F384,mappings!$G$2:$H$6,2,FALSE)</f>
        <v>3</v>
      </c>
      <c r="H384" t="s">
        <v>163</v>
      </c>
      <c r="I384" s="2">
        <f>VLOOKUP(H384,mappings!$D$2:$E$6,2,FALSE)</f>
        <v>3</v>
      </c>
      <c r="J384" t="s">
        <v>36</v>
      </c>
      <c r="K384" t="s">
        <v>18</v>
      </c>
      <c r="L384" s="2">
        <f>VLOOKUP(K384,mappings!$A$2:$B$13,2,FALSE)</f>
        <v>8</v>
      </c>
      <c r="M384" t="s">
        <v>24</v>
      </c>
      <c r="N384" t="str">
        <f>VLOOKUP(E384,mappings!$L$1:$M$110,2,FALSE)</f>
        <v>The Weather Channel</v>
      </c>
      <c r="O384" t="str">
        <f>VLOOKUP(E384,mappings!L:O,3,FALSE)</f>
        <v>App</v>
      </c>
      <c r="P384" t="str">
        <f>VLOOKUP(E384,mappings!L:P,4,FALSE)</f>
        <v>Apple</v>
      </c>
    </row>
    <row r="385" spans="1:16" x14ac:dyDescent="0.2">
      <c r="A385">
        <v>384</v>
      </c>
      <c r="B385">
        <v>3878219443</v>
      </c>
      <c r="C385" t="s">
        <v>6</v>
      </c>
      <c r="D385" t="s">
        <v>31</v>
      </c>
      <c r="E385" t="s">
        <v>8</v>
      </c>
      <c r="F385" t="s">
        <v>9</v>
      </c>
      <c r="G385" s="2">
        <f>VLOOKUP(F385,mappings!$G$2:$H$6,2,FALSE)</f>
        <v>4</v>
      </c>
      <c r="H385" t="s">
        <v>43</v>
      </c>
      <c r="I385" s="2">
        <f>VLOOKUP(H385,mappings!$D$2:$E$6,2,FALSE)</f>
        <v>4</v>
      </c>
      <c r="J385" t="s">
        <v>36</v>
      </c>
      <c r="K385" t="s">
        <v>48</v>
      </c>
      <c r="L385" s="2">
        <f>VLOOKUP(K385,mappings!$A$2:$B$13,2,FALSE)</f>
        <v>7</v>
      </c>
      <c r="M385" t="s">
        <v>15</v>
      </c>
      <c r="N385" t="str">
        <f>VLOOKUP(E385,mappings!$L$1:$M$110,2,FALSE)</f>
        <v>No answer provided</v>
      </c>
      <c r="O385" t="str">
        <f>VLOOKUP(E385,mappings!L:O,3,FALSE)</f>
        <v>No answer provided</v>
      </c>
      <c r="P385" t="str">
        <f>VLOOKUP(E385,mappings!L:P,4,FALSE)</f>
        <v>No answer provided</v>
      </c>
    </row>
    <row r="386" spans="1:16" x14ac:dyDescent="0.2">
      <c r="A386">
        <v>385</v>
      </c>
      <c r="B386">
        <v>3878215557</v>
      </c>
      <c r="C386" t="s">
        <v>6</v>
      </c>
      <c r="D386" t="s">
        <v>31</v>
      </c>
      <c r="E386" t="s">
        <v>8</v>
      </c>
      <c r="F386" t="s">
        <v>16</v>
      </c>
      <c r="G386" s="2">
        <f>VLOOKUP(F386,mappings!$G$2:$H$6,2,FALSE)</f>
        <v>3</v>
      </c>
      <c r="H386" t="s">
        <v>163</v>
      </c>
      <c r="I386" s="2">
        <f>VLOOKUP(H386,mappings!$D$2:$E$6,2,FALSE)</f>
        <v>3</v>
      </c>
      <c r="J386" t="s">
        <v>36</v>
      </c>
      <c r="K386" t="s">
        <v>33</v>
      </c>
      <c r="L386" s="2">
        <f>VLOOKUP(K386,mappings!$A$2:$B$13,2,FALSE)</f>
        <v>5</v>
      </c>
      <c r="M386" t="s">
        <v>30</v>
      </c>
      <c r="N386" t="str">
        <f>VLOOKUP(E386,mappings!$L$1:$M$110,2,FALSE)</f>
        <v>No answer provided</v>
      </c>
      <c r="O386" t="str">
        <f>VLOOKUP(E386,mappings!L:O,3,FALSE)</f>
        <v>No answer provided</v>
      </c>
      <c r="P386" t="str">
        <f>VLOOKUP(E386,mappings!L:P,4,FALSE)</f>
        <v>No answer provided</v>
      </c>
    </row>
    <row r="387" spans="1:16" x14ac:dyDescent="0.2">
      <c r="A387">
        <v>386</v>
      </c>
      <c r="B387">
        <v>3878215555</v>
      </c>
      <c r="C387" t="s">
        <v>6</v>
      </c>
      <c r="D387" t="s">
        <v>31</v>
      </c>
      <c r="E387" t="s">
        <v>8</v>
      </c>
      <c r="F387" t="s">
        <v>9</v>
      </c>
      <c r="G387" s="2">
        <f>VLOOKUP(F387,mappings!$G$2:$H$6,2,FALSE)</f>
        <v>4</v>
      </c>
      <c r="H387" t="s">
        <v>163</v>
      </c>
      <c r="I387" s="2">
        <f>VLOOKUP(H387,mappings!$D$2:$E$6,2,FALSE)</f>
        <v>3</v>
      </c>
      <c r="J387" t="s">
        <v>36</v>
      </c>
      <c r="K387" t="s">
        <v>14</v>
      </c>
      <c r="L387" s="2">
        <f>VLOOKUP(K387,mappings!$A$2:$B$13,2,FALSE)</f>
        <v>6</v>
      </c>
      <c r="M387" t="s">
        <v>12</v>
      </c>
      <c r="N387" t="str">
        <f>VLOOKUP(E387,mappings!$L$1:$M$110,2,FALSE)</f>
        <v>No answer provided</v>
      </c>
      <c r="O387" t="str">
        <f>VLOOKUP(E387,mappings!L:O,3,FALSE)</f>
        <v>No answer provided</v>
      </c>
      <c r="P387" t="str">
        <f>VLOOKUP(E387,mappings!L:P,4,FALSE)</f>
        <v>No answer provided</v>
      </c>
    </row>
    <row r="388" spans="1:16" x14ac:dyDescent="0.2">
      <c r="A388">
        <v>387</v>
      </c>
      <c r="B388">
        <v>3878209275</v>
      </c>
      <c r="C388" t="s">
        <v>6</v>
      </c>
      <c r="D388" t="s">
        <v>21</v>
      </c>
      <c r="E388" t="s">
        <v>8</v>
      </c>
      <c r="F388" t="s">
        <v>9</v>
      </c>
      <c r="G388" s="2">
        <f>VLOOKUP(F388,mappings!$G$2:$H$6,2,FALSE)</f>
        <v>4</v>
      </c>
      <c r="H388" t="s">
        <v>163</v>
      </c>
      <c r="I388" s="2">
        <f>VLOOKUP(H388,mappings!$D$2:$E$6,2,FALSE)</f>
        <v>3</v>
      </c>
      <c r="J388" t="s">
        <v>10</v>
      </c>
      <c r="K388" t="s">
        <v>32</v>
      </c>
      <c r="L388" s="2">
        <f>VLOOKUP(K388,mappings!$A$2:$B$13,2,FALSE)</f>
        <v>2</v>
      </c>
      <c r="M388" t="s">
        <v>30</v>
      </c>
      <c r="N388" t="str">
        <f>VLOOKUP(E388,mappings!$L$1:$M$110,2,FALSE)</f>
        <v>No answer provided</v>
      </c>
      <c r="O388" t="str">
        <f>VLOOKUP(E388,mappings!L:O,3,FALSE)</f>
        <v>No answer provided</v>
      </c>
      <c r="P388" t="str">
        <f>VLOOKUP(E388,mappings!L:P,4,FALSE)</f>
        <v>No answer provided</v>
      </c>
    </row>
    <row r="389" spans="1:16" x14ac:dyDescent="0.2">
      <c r="A389">
        <v>388</v>
      </c>
      <c r="B389">
        <v>3878209013</v>
      </c>
      <c r="C389" t="s">
        <v>6</v>
      </c>
      <c r="D389" t="s">
        <v>27</v>
      </c>
      <c r="E389" t="s">
        <v>8</v>
      </c>
      <c r="F389" t="s">
        <v>9</v>
      </c>
      <c r="G389" s="2">
        <f>VLOOKUP(F389,mappings!$G$2:$H$6,2,FALSE)</f>
        <v>4</v>
      </c>
      <c r="H389" t="s">
        <v>163</v>
      </c>
      <c r="I389" s="2">
        <f>VLOOKUP(H389,mappings!$D$2:$E$6,2,FALSE)</f>
        <v>3</v>
      </c>
      <c r="J389" t="s">
        <v>10</v>
      </c>
      <c r="K389" t="s">
        <v>11</v>
      </c>
      <c r="L389" s="2">
        <f>VLOOKUP(K389,mappings!$A$2:$B$13,2,FALSE)</f>
        <v>4</v>
      </c>
      <c r="M389" t="s">
        <v>34</v>
      </c>
      <c r="N389" t="str">
        <f>VLOOKUP(E389,mappings!$L$1:$M$110,2,FALSE)</f>
        <v>No answer provided</v>
      </c>
      <c r="O389" t="str">
        <f>VLOOKUP(E389,mappings!L:O,3,FALSE)</f>
        <v>No answer provided</v>
      </c>
      <c r="P389" t="str">
        <f>VLOOKUP(E389,mappings!L:P,4,FALSE)</f>
        <v>No answer provided</v>
      </c>
    </row>
    <row r="390" spans="1:16" x14ac:dyDescent="0.2">
      <c r="A390">
        <v>389</v>
      </c>
      <c r="B390">
        <v>3878208724</v>
      </c>
      <c r="C390" t="s">
        <v>26</v>
      </c>
      <c r="D390" t="s">
        <v>31</v>
      </c>
      <c r="E390" t="s">
        <v>8</v>
      </c>
      <c r="F390" t="s">
        <v>22</v>
      </c>
      <c r="G390" s="2">
        <f>VLOOKUP(F390,mappings!$G$2:$H$6,2,FALSE)</f>
        <v>1</v>
      </c>
      <c r="H390" t="s">
        <v>163</v>
      </c>
      <c r="I390" s="2">
        <f>VLOOKUP(H390,mappings!$D$2:$E$6,2,FALSE)</f>
        <v>3</v>
      </c>
      <c r="J390" t="s">
        <v>36</v>
      </c>
      <c r="K390" t="s">
        <v>11</v>
      </c>
      <c r="L390" s="2">
        <f>VLOOKUP(K390,mappings!$A$2:$B$13,2,FALSE)</f>
        <v>4</v>
      </c>
      <c r="M390" t="s">
        <v>12</v>
      </c>
      <c r="N390" t="str">
        <f>VLOOKUP(E390,mappings!$L$1:$M$110,2,FALSE)</f>
        <v>No answer provided</v>
      </c>
      <c r="O390" t="str">
        <f>VLOOKUP(E390,mappings!L:O,3,FALSE)</f>
        <v>No answer provided</v>
      </c>
      <c r="P390" t="str">
        <f>VLOOKUP(E390,mappings!L:P,4,FALSE)</f>
        <v>No answer provided</v>
      </c>
    </row>
    <row r="391" spans="1:16" x14ac:dyDescent="0.2">
      <c r="A391">
        <v>390</v>
      </c>
      <c r="B391">
        <v>3878205297</v>
      </c>
      <c r="C391" t="s">
        <v>6</v>
      </c>
      <c r="D391" t="s">
        <v>40</v>
      </c>
      <c r="E391" t="s">
        <v>8</v>
      </c>
      <c r="F391" t="s">
        <v>9</v>
      </c>
      <c r="G391" s="2">
        <f>VLOOKUP(F391,mappings!$G$2:$H$6,2,FALSE)</f>
        <v>4</v>
      </c>
      <c r="H391" t="s">
        <v>163</v>
      </c>
      <c r="I391" s="2">
        <f>VLOOKUP(H391,mappings!$D$2:$E$6,2,FALSE)</f>
        <v>3</v>
      </c>
      <c r="J391" t="s">
        <v>36</v>
      </c>
      <c r="K391" t="s">
        <v>33</v>
      </c>
      <c r="L391" s="2">
        <f>VLOOKUP(K391,mappings!$A$2:$B$13,2,FALSE)</f>
        <v>5</v>
      </c>
      <c r="M391" t="s">
        <v>12</v>
      </c>
      <c r="N391" t="str">
        <f>VLOOKUP(E391,mappings!$L$1:$M$110,2,FALSE)</f>
        <v>No answer provided</v>
      </c>
      <c r="O391" t="str">
        <f>VLOOKUP(E391,mappings!L:O,3,FALSE)</f>
        <v>No answer provided</v>
      </c>
      <c r="P391" t="str">
        <f>VLOOKUP(E391,mappings!L:P,4,FALSE)</f>
        <v>No answer provided</v>
      </c>
    </row>
    <row r="392" spans="1:16" x14ac:dyDescent="0.2">
      <c r="A392">
        <v>391</v>
      </c>
      <c r="B392">
        <v>3878204973</v>
      </c>
      <c r="C392" t="s">
        <v>6</v>
      </c>
      <c r="D392" t="s">
        <v>41</v>
      </c>
      <c r="E392" t="s">
        <v>8</v>
      </c>
      <c r="F392" t="s">
        <v>16</v>
      </c>
      <c r="G392" s="2">
        <f>VLOOKUP(F392,mappings!$G$2:$H$6,2,FALSE)</f>
        <v>3</v>
      </c>
      <c r="H392" t="s">
        <v>161</v>
      </c>
      <c r="I392" s="2">
        <f>VLOOKUP(H392,mappings!$D$2:$E$6,2,FALSE)</f>
        <v>2</v>
      </c>
      <c r="J392" t="s">
        <v>36</v>
      </c>
      <c r="K392" t="s">
        <v>11</v>
      </c>
      <c r="L392" s="2">
        <f>VLOOKUP(K392,mappings!$A$2:$B$13,2,FALSE)</f>
        <v>4</v>
      </c>
      <c r="M392" t="s">
        <v>20</v>
      </c>
      <c r="N392" t="str">
        <f>VLOOKUP(E392,mappings!$L$1:$M$110,2,FALSE)</f>
        <v>No answer provided</v>
      </c>
      <c r="O392" t="str">
        <f>VLOOKUP(E392,mappings!L:O,3,FALSE)</f>
        <v>No answer provided</v>
      </c>
      <c r="P392" t="str">
        <f>VLOOKUP(E392,mappings!L:P,4,FALSE)</f>
        <v>No answer provided</v>
      </c>
    </row>
    <row r="393" spans="1:16" x14ac:dyDescent="0.2">
      <c r="A393">
        <v>392</v>
      </c>
      <c r="B393">
        <v>3878204241</v>
      </c>
      <c r="C393" t="s">
        <v>6</v>
      </c>
      <c r="D393" t="s">
        <v>31</v>
      </c>
      <c r="E393" t="s">
        <v>8</v>
      </c>
      <c r="F393" t="s">
        <v>22</v>
      </c>
      <c r="G393" s="2">
        <f>VLOOKUP(F393,mappings!$G$2:$H$6,2,FALSE)</f>
        <v>1</v>
      </c>
      <c r="H393" t="s">
        <v>161</v>
      </c>
      <c r="I393" s="2">
        <f>VLOOKUP(H393,mappings!$D$2:$E$6,2,FALSE)</f>
        <v>2</v>
      </c>
      <c r="J393" t="s">
        <v>36</v>
      </c>
      <c r="K393" t="s">
        <v>23</v>
      </c>
      <c r="L393" s="2">
        <f>VLOOKUP(K393,mappings!$A$2:$B$13,2,FALSE)</f>
        <v>3</v>
      </c>
      <c r="M393" t="s">
        <v>30</v>
      </c>
      <c r="N393" t="str">
        <f>VLOOKUP(E393,mappings!$L$1:$M$110,2,FALSE)</f>
        <v>No answer provided</v>
      </c>
      <c r="O393" t="str">
        <f>VLOOKUP(E393,mappings!L:O,3,FALSE)</f>
        <v>No answer provided</v>
      </c>
      <c r="P393" t="str">
        <f>VLOOKUP(E393,mappings!L:P,4,FALSE)</f>
        <v>No answer provided</v>
      </c>
    </row>
    <row r="394" spans="1:16" x14ac:dyDescent="0.2">
      <c r="A394">
        <v>393</v>
      </c>
      <c r="B394">
        <v>3878201710</v>
      </c>
      <c r="C394" t="s">
        <v>6</v>
      </c>
      <c r="D394" t="s">
        <v>1</v>
      </c>
      <c r="E394" t="s">
        <v>97</v>
      </c>
      <c r="F394" t="s">
        <v>22</v>
      </c>
      <c r="G394" s="2">
        <f>VLOOKUP(F394,mappings!$G$2:$H$6,2,FALSE)</f>
        <v>1</v>
      </c>
      <c r="H394" t="s">
        <v>43</v>
      </c>
      <c r="I394" s="2">
        <f>VLOOKUP(H394,mappings!$D$2:$E$6,2,FALSE)</f>
        <v>4</v>
      </c>
      <c r="J394" t="s">
        <v>36</v>
      </c>
      <c r="K394" t="s">
        <v>32</v>
      </c>
      <c r="L394" s="2">
        <f>VLOOKUP(K394,mappings!$A$2:$B$13,2,FALSE)</f>
        <v>2</v>
      </c>
      <c r="M394" t="s">
        <v>15</v>
      </c>
      <c r="N394" t="str">
        <f>VLOOKUP(E394,mappings!$L$1:$M$110,2,FALSE)</f>
        <v>Local News</v>
      </c>
      <c r="O394" t="str">
        <f>VLOOKUP(E394,mappings!L:O,3,FALSE)</f>
        <v>App</v>
      </c>
      <c r="P394" t="str">
        <f>VLOOKUP(E394,mappings!L:P,4,FALSE)</f>
        <v>Other or unkown</v>
      </c>
    </row>
    <row r="395" spans="1:16" x14ac:dyDescent="0.2">
      <c r="A395">
        <v>394</v>
      </c>
      <c r="B395">
        <v>3878198621</v>
      </c>
      <c r="C395" t="s">
        <v>6</v>
      </c>
      <c r="D395" t="s">
        <v>40</v>
      </c>
      <c r="E395" t="s">
        <v>8</v>
      </c>
      <c r="F395" t="s">
        <v>22</v>
      </c>
      <c r="G395" s="2">
        <f>VLOOKUP(F395,mappings!$G$2:$H$6,2,FALSE)</f>
        <v>1</v>
      </c>
      <c r="H395" t="s">
        <v>163</v>
      </c>
      <c r="I395" s="2">
        <f>VLOOKUP(H395,mappings!$D$2:$E$6,2,FALSE)</f>
        <v>3</v>
      </c>
      <c r="J395" t="s">
        <v>36</v>
      </c>
      <c r="K395" t="s">
        <v>23</v>
      </c>
      <c r="L395" s="2">
        <f>VLOOKUP(K395,mappings!$A$2:$B$13,2,FALSE)</f>
        <v>3</v>
      </c>
      <c r="M395" t="s">
        <v>34</v>
      </c>
      <c r="N395" t="str">
        <f>VLOOKUP(E395,mappings!$L$1:$M$110,2,FALSE)</f>
        <v>No answer provided</v>
      </c>
      <c r="O395" t="str">
        <f>VLOOKUP(E395,mappings!L:O,3,FALSE)</f>
        <v>No answer provided</v>
      </c>
      <c r="P395" t="str">
        <f>VLOOKUP(E395,mappings!L:P,4,FALSE)</f>
        <v>No answer provided</v>
      </c>
    </row>
    <row r="396" spans="1:16" x14ac:dyDescent="0.2">
      <c r="A396">
        <v>395</v>
      </c>
      <c r="B396">
        <v>3878197524</v>
      </c>
      <c r="C396" t="s">
        <v>6</v>
      </c>
      <c r="D396" t="s">
        <v>31</v>
      </c>
      <c r="E396" t="s">
        <v>8</v>
      </c>
      <c r="F396" t="s">
        <v>9</v>
      </c>
      <c r="G396" s="2">
        <f>VLOOKUP(F396,mappings!$G$2:$H$6,2,FALSE)</f>
        <v>4</v>
      </c>
      <c r="H396" t="s">
        <v>163</v>
      </c>
      <c r="I396" s="2">
        <f>VLOOKUP(H396,mappings!$D$2:$E$6,2,FALSE)</f>
        <v>3</v>
      </c>
      <c r="J396" t="s">
        <v>36</v>
      </c>
      <c r="K396" t="s">
        <v>23</v>
      </c>
      <c r="L396" s="2">
        <f>VLOOKUP(K396,mappings!$A$2:$B$13,2,FALSE)</f>
        <v>3</v>
      </c>
      <c r="M396" t="s">
        <v>20</v>
      </c>
      <c r="N396" t="str">
        <f>VLOOKUP(E396,mappings!$L$1:$M$110,2,FALSE)</f>
        <v>No answer provided</v>
      </c>
      <c r="O396" t="str">
        <f>VLOOKUP(E396,mappings!L:O,3,FALSE)</f>
        <v>No answer provided</v>
      </c>
      <c r="P396" t="str">
        <f>VLOOKUP(E396,mappings!L:P,4,FALSE)</f>
        <v>No answer provided</v>
      </c>
    </row>
    <row r="397" spans="1:16" x14ac:dyDescent="0.2">
      <c r="A397">
        <v>396</v>
      </c>
      <c r="B397">
        <v>3878196162</v>
      </c>
      <c r="C397" t="s">
        <v>26</v>
      </c>
      <c r="D397" t="s">
        <v>31</v>
      </c>
      <c r="E397" t="s">
        <v>8</v>
      </c>
      <c r="F397" t="s">
        <v>22</v>
      </c>
      <c r="G397" s="2">
        <f>VLOOKUP(F397,mappings!$G$2:$H$6,2,FALSE)</f>
        <v>1</v>
      </c>
      <c r="H397" t="s">
        <v>161</v>
      </c>
      <c r="I397" s="2">
        <f>VLOOKUP(H397,mappings!$D$2:$E$6,2,FALSE)</f>
        <v>2</v>
      </c>
      <c r="J397" t="s">
        <v>36</v>
      </c>
      <c r="K397" t="s">
        <v>23</v>
      </c>
      <c r="L397" s="2">
        <f>VLOOKUP(K397,mappings!$A$2:$B$13,2,FALSE)</f>
        <v>3</v>
      </c>
      <c r="M397" t="s">
        <v>25</v>
      </c>
      <c r="N397" t="str">
        <f>VLOOKUP(E397,mappings!$L$1:$M$110,2,FALSE)</f>
        <v>No answer provided</v>
      </c>
      <c r="O397" t="str">
        <f>VLOOKUP(E397,mappings!L:O,3,FALSE)</f>
        <v>No answer provided</v>
      </c>
      <c r="P397" t="str">
        <f>VLOOKUP(E397,mappings!L:P,4,FALSE)</f>
        <v>No answer provided</v>
      </c>
    </row>
    <row r="398" spans="1:16" x14ac:dyDescent="0.2">
      <c r="A398">
        <v>397</v>
      </c>
      <c r="B398">
        <v>3878194430</v>
      </c>
      <c r="C398" t="s">
        <v>6</v>
      </c>
      <c r="D398" t="s">
        <v>1</v>
      </c>
      <c r="E398" t="s">
        <v>98</v>
      </c>
      <c r="F398" t="s">
        <v>16</v>
      </c>
      <c r="G398" s="2">
        <f>VLOOKUP(F398,mappings!$G$2:$H$6,2,FALSE)</f>
        <v>3</v>
      </c>
      <c r="H398" t="s">
        <v>163</v>
      </c>
      <c r="I398" s="2">
        <f>VLOOKUP(H398,mappings!$D$2:$E$6,2,FALSE)</f>
        <v>3</v>
      </c>
      <c r="J398" t="s">
        <v>36</v>
      </c>
      <c r="K398" t="s">
        <v>14</v>
      </c>
      <c r="L398" s="2">
        <f>VLOOKUP(K398,mappings!$A$2:$B$13,2,FALSE)</f>
        <v>6</v>
      </c>
      <c r="M398" t="s">
        <v>20</v>
      </c>
      <c r="N398" t="str">
        <f>VLOOKUP(E398,mappings!$L$1:$M$110,2,FALSE)</f>
        <v>The Weather Channel</v>
      </c>
      <c r="O398" t="str">
        <f>VLOOKUP(E398,mappings!L:O,3,FALSE)</f>
        <v>App</v>
      </c>
      <c r="P398" t="str">
        <f>VLOOKUP(E398,mappings!L:P,4,FALSE)</f>
        <v>Other or unkown</v>
      </c>
    </row>
    <row r="399" spans="1:16" x14ac:dyDescent="0.2">
      <c r="A399">
        <v>398</v>
      </c>
      <c r="B399">
        <v>3878193774</v>
      </c>
      <c r="C399" t="s">
        <v>6</v>
      </c>
      <c r="D399" t="s">
        <v>7</v>
      </c>
      <c r="E399" t="s">
        <v>8</v>
      </c>
      <c r="F399" t="s">
        <v>16</v>
      </c>
      <c r="G399" s="2">
        <f>VLOOKUP(F399,mappings!$G$2:$H$6,2,FALSE)</f>
        <v>3</v>
      </c>
      <c r="H399" t="s">
        <v>161</v>
      </c>
      <c r="I399" s="2">
        <f>VLOOKUP(H399,mappings!$D$2:$E$6,2,FALSE)</f>
        <v>2</v>
      </c>
      <c r="J399" t="s">
        <v>10</v>
      </c>
      <c r="K399" t="s">
        <v>14</v>
      </c>
      <c r="L399" s="2">
        <f>VLOOKUP(K399,mappings!$A$2:$B$13,2,FALSE)</f>
        <v>6</v>
      </c>
      <c r="M399" t="s">
        <v>25</v>
      </c>
      <c r="N399" t="str">
        <f>VLOOKUP(E399,mappings!$L$1:$M$110,2,FALSE)</f>
        <v>No answer provided</v>
      </c>
      <c r="O399" t="str">
        <f>VLOOKUP(E399,mappings!L:O,3,FALSE)</f>
        <v>No answer provided</v>
      </c>
      <c r="P399" t="str">
        <f>VLOOKUP(E399,mappings!L:P,4,FALSE)</f>
        <v>No answer provided</v>
      </c>
    </row>
    <row r="400" spans="1:16" x14ac:dyDescent="0.2">
      <c r="A400">
        <v>399</v>
      </c>
      <c r="B400">
        <v>3878193623</v>
      </c>
      <c r="C400" t="s">
        <v>6</v>
      </c>
      <c r="D400" t="s">
        <v>31</v>
      </c>
      <c r="E400" t="s">
        <v>8</v>
      </c>
      <c r="F400" t="s">
        <v>9</v>
      </c>
      <c r="G400" s="2">
        <f>VLOOKUP(F400,mappings!$G$2:$H$6,2,FALSE)</f>
        <v>4</v>
      </c>
      <c r="H400" t="s">
        <v>163</v>
      </c>
      <c r="I400" s="2">
        <f>VLOOKUP(H400,mappings!$D$2:$E$6,2,FALSE)</f>
        <v>3</v>
      </c>
      <c r="J400" t="s">
        <v>10</v>
      </c>
      <c r="K400" t="s">
        <v>32</v>
      </c>
      <c r="L400" s="2">
        <f>VLOOKUP(K400,mappings!$A$2:$B$13,2,FALSE)</f>
        <v>2</v>
      </c>
      <c r="M400" t="s">
        <v>20</v>
      </c>
      <c r="N400" t="str">
        <f>VLOOKUP(E400,mappings!$L$1:$M$110,2,FALSE)</f>
        <v>No answer provided</v>
      </c>
      <c r="O400" t="str">
        <f>VLOOKUP(E400,mappings!L:O,3,FALSE)</f>
        <v>No answer provided</v>
      </c>
      <c r="P400" t="str">
        <f>VLOOKUP(E400,mappings!L:P,4,FALSE)</f>
        <v>No answer provided</v>
      </c>
    </row>
    <row r="401" spans="1:16" x14ac:dyDescent="0.2">
      <c r="A401">
        <v>400</v>
      </c>
      <c r="B401">
        <v>3878192054</v>
      </c>
      <c r="C401" t="s">
        <v>6</v>
      </c>
      <c r="D401" t="s">
        <v>1</v>
      </c>
      <c r="E401" t="s">
        <v>70</v>
      </c>
      <c r="F401" t="s">
        <v>16</v>
      </c>
      <c r="G401" s="2">
        <f>VLOOKUP(F401,mappings!$G$2:$H$6,2,FALSE)</f>
        <v>3</v>
      </c>
      <c r="H401" t="s">
        <v>43</v>
      </c>
      <c r="I401" s="2">
        <f>VLOOKUP(H401,mappings!$D$2:$E$6,2,FALSE)</f>
        <v>4</v>
      </c>
      <c r="J401" t="s">
        <v>10</v>
      </c>
      <c r="K401" t="s">
        <v>23</v>
      </c>
      <c r="L401" s="2">
        <f>VLOOKUP(K401,mappings!$A$2:$B$13,2,FALSE)</f>
        <v>3</v>
      </c>
      <c r="M401" t="s">
        <v>30</v>
      </c>
      <c r="N401" t="str">
        <f>VLOOKUP(E401,mappings!$L$1:$M$110,2,FALSE)</f>
        <v>AccuWeather</v>
      </c>
      <c r="O401" t="str">
        <f>VLOOKUP(E401,mappings!L:O,3,FALSE)</f>
        <v>Website</v>
      </c>
      <c r="P401" t="str">
        <f>VLOOKUP(E401,mappings!L:P,4,FALSE)</f>
        <v>Other or unkown</v>
      </c>
    </row>
    <row r="402" spans="1:16" x14ac:dyDescent="0.2">
      <c r="A402">
        <v>401</v>
      </c>
      <c r="B402">
        <v>3878190686</v>
      </c>
      <c r="C402" t="s">
        <v>6</v>
      </c>
      <c r="D402" t="s">
        <v>7</v>
      </c>
      <c r="E402" t="s">
        <v>8</v>
      </c>
      <c r="F402" t="s">
        <v>9</v>
      </c>
      <c r="G402" s="2">
        <f>VLOOKUP(F402,mappings!$G$2:$H$6,2,FALSE)</f>
        <v>4</v>
      </c>
      <c r="H402" t="s">
        <v>163</v>
      </c>
      <c r="I402" s="2">
        <f>VLOOKUP(H402,mappings!$D$2:$E$6,2,FALSE)</f>
        <v>3</v>
      </c>
      <c r="J402" t="s">
        <v>36</v>
      </c>
      <c r="K402" t="s">
        <v>23</v>
      </c>
      <c r="L402" s="2">
        <f>VLOOKUP(K402,mappings!$A$2:$B$13,2,FALSE)</f>
        <v>3</v>
      </c>
      <c r="M402" t="s">
        <v>12</v>
      </c>
      <c r="N402" t="str">
        <f>VLOOKUP(E402,mappings!$L$1:$M$110,2,FALSE)</f>
        <v>No answer provided</v>
      </c>
      <c r="O402" t="str">
        <f>VLOOKUP(E402,mappings!L:O,3,FALSE)</f>
        <v>No answer provided</v>
      </c>
      <c r="P402" t="str">
        <f>VLOOKUP(E402,mappings!L:P,4,FALSE)</f>
        <v>No answer provided</v>
      </c>
    </row>
    <row r="403" spans="1:16" x14ac:dyDescent="0.2">
      <c r="A403">
        <v>402</v>
      </c>
      <c r="B403">
        <v>3878190060</v>
      </c>
      <c r="C403" t="s">
        <v>6</v>
      </c>
      <c r="D403" t="s">
        <v>7</v>
      </c>
      <c r="E403" t="s">
        <v>8</v>
      </c>
      <c r="F403" t="s">
        <v>16</v>
      </c>
      <c r="G403" s="2">
        <f>VLOOKUP(F403,mappings!$G$2:$H$6,2,FALSE)</f>
        <v>3</v>
      </c>
      <c r="H403" t="s">
        <v>163</v>
      </c>
      <c r="I403" s="2">
        <f>VLOOKUP(H403,mappings!$D$2:$E$6,2,FALSE)</f>
        <v>3</v>
      </c>
      <c r="J403" t="s">
        <v>36</v>
      </c>
      <c r="K403" t="s">
        <v>14</v>
      </c>
      <c r="L403" s="2">
        <f>VLOOKUP(K403,mappings!$A$2:$B$13,2,FALSE)</f>
        <v>6</v>
      </c>
      <c r="M403" t="s">
        <v>38</v>
      </c>
      <c r="N403" t="str">
        <f>VLOOKUP(E403,mappings!$L$1:$M$110,2,FALSE)</f>
        <v>No answer provided</v>
      </c>
      <c r="O403" t="str">
        <f>VLOOKUP(E403,mappings!L:O,3,FALSE)</f>
        <v>No answer provided</v>
      </c>
      <c r="P403" t="str">
        <f>VLOOKUP(E403,mappings!L:P,4,FALSE)</f>
        <v>No answer provided</v>
      </c>
    </row>
    <row r="404" spans="1:16" x14ac:dyDescent="0.2">
      <c r="A404">
        <v>403</v>
      </c>
      <c r="B404">
        <v>3878189246</v>
      </c>
      <c r="C404" t="s">
        <v>6</v>
      </c>
      <c r="D404" t="s">
        <v>1</v>
      </c>
      <c r="E404" t="s">
        <v>99</v>
      </c>
      <c r="F404" t="s">
        <v>16</v>
      </c>
      <c r="G404" s="2">
        <f>VLOOKUP(F404,mappings!$G$2:$H$6,2,FALSE)</f>
        <v>3</v>
      </c>
      <c r="H404" t="s">
        <v>43</v>
      </c>
      <c r="I404" s="2">
        <f>VLOOKUP(H404,mappings!$D$2:$E$6,2,FALSE)</f>
        <v>4</v>
      </c>
      <c r="J404" t="s">
        <v>10</v>
      </c>
      <c r="K404" t="s">
        <v>39</v>
      </c>
      <c r="L404" s="2">
        <f>VLOOKUP(K404,mappings!$A$2:$B$13,2,FALSE)</f>
        <v>10</v>
      </c>
      <c r="M404" t="s">
        <v>15</v>
      </c>
      <c r="N404" t="str">
        <f>VLOOKUP(E404,mappings!$L$1:$M$110,2,FALSE)</f>
        <v>Local News</v>
      </c>
      <c r="O404" t="str">
        <f>VLOOKUP(E404,mappings!L:O,3,FALSE)</f>
        <v>Website</v>
      </c>
      <c r="P404" t="str">
        <f>VLOOKUP(E404,mappings!L:P,4,FALSE)</f>
        <v>Other or unkown</v>
      </c>
    </row>
    <row r="405" spans="1:16" x14ac:dyDescent="0.2">
      <c r="A405">
        <v>404</v>
      </c>
      <c r="B405">
        <v>3878187831</v>
      </c>
      <c r="C405" t="s">
        <v>6</v>
      </c>
      <c r="D405" t="s">
        <v>31</v>
      </c>
      <c r="E405" t="s">
        <v>8</v>
      </c>
      <c r="F405" t="s">
        <v>9</v>
      </c>
      <c r="G405" s="2">
        <f>VLOOKUP(F405,mappings!$G$2:$H$6,2,FALSE)</f>
        <v>4</v>
      </c>
      <c r="H405" t="s">
        <v>43</v>
      </c>
      <c r="I405" s="2">
        <f>VLOOKUP(H405,mappings!$D$2:$E$6,2,FALSE)</f>
        <v>4</v>
      </c>
      <c r="J405" t="s">
        <v>36</v>
      </c>
      <c r="K405" t="s">
        <v>8</v>
      </c>
      <c r="L405" s="2" t="str">
        <f>VLOOKUP(K405,mappings!$A$2:$B$13,2,FALSE)</f>
        <v>na</v>
      </c>
      <c r="M405" t="s">
        <v>20</v>
      </c>
      <c r="N405" t="str">
        <f>VLOOKUP(E405,mappings!$L$1:$M$110,2,FALSE)</f>
        <v>No answer provided</v>
      </c>
      <c r="O405" t="str">
        <f>VLOOKUP(E405,mappings!L:O,3,FALSE)</f>
        <v>No answer provided</v>
      </c>
      <c r="P405" t="str">
        <f>VLOOKUP(E405,mappings!L:P,4,FALSE)</f>
        <v>No answer provided</v>
      </c>
    </row>
    <row r="406" spans="1:16" x14ac:dyDescent="0.2">
      <c r="A406">
        <v>405</v>
      </c>
      <c r="B406">
        <v>3878187206</v>
      </c>
      <c r="C406" t="s">
        <v>26</v>
      </c>
      <c r="D406" t="s">
        <v>7</v>
      </c>
      <c r="E406" t="s">
        <v>8</v>
      </c>
      <c r="F406" t="s">
        <v>16</v>
      </c>
      <c r="G406" s="2">
        <f>VLOOKUP(F406,mappings!$G$2:$H$6,2,FALSE)</f>
        <v>3</v>
      </c>
      <c r="H406" t="s">
        <v>163</v>
      </c>
      <c r="I406" s="2">
        <f>VLOOKUP(H406,mappings!$D$2:$E$6,2,FALSE)</f>
        <v>3</v>
      </c>
      <c r="J406" t="s">
        <v>36</v>
      </c>
      <c r="K406" t="s">
        <v>13</v>
      </c>
      <c r="L406" s="2">
        <f>VLOOKUP(K406,mappings!$A$2:$B$13,2,FALSE)</f>
        <v>11</v>
      </c>
      <c r="M406" t="s">
        <v>38</v>
      </c>
      <c r="N406" t="str">
        <f>VLOOKUP(E406,mappings!$L$1:$M$110,2,FALSE)</f>
        <v>No answer provided</v>
      </c>
      <c r="O406" t="str">
        <f>VLOOKUP(E406,mappings!L:O,3,FALSE)</f>
        <v>No answer provided</v>
      </c>
      <c r="P406" t="str">
        <f>VLOOKUP(E406,mappings!L:P,4,FALSE)</f>
        <v>No answer provided</v>
      </c>
    </row>
    <row r="407" spans="1:16" x14ac:dyDescent="0.2">
      <c r="A407">
        <v>406</v>
      </c>
      <c r="B407">
        <v>3878177832</v>
      </c>
      <c r="C407" t="s">
        <v>6</v>
      </c>
      <c r="D407" t="s">
        <v>7</v>
      </c>
      <c r="E407" t="s">
        <v>8</v>
      </c>
      <c r="F407" t="s">
        <v>9</v>
      </c>
      <c r="G407" s="2">
        <f>VLOOKUP(F407,mappings!$G$2:$H$6,2,FALSE)</f>
        <v>4</v>
      </c>
      <c r="H407" t="s">
        <v>161</v>
      </c>
      <c r="I407" s="2">
        <f>VLOOKUP(H407,mappings!$D$2:$E$6,2,FALSE)</f>
        <v>2</v>
      </c>
      <c r="J407" t="s">
        <v>10</v>
      </c>
      <c r="K407" t="s">
        <v>11</v>
      </c>
      <c r="L407" s="2">
        <f>VLOOKUP(K407,mappings!$A$2:$B$13,2,FALSE)</f>
        <v>4</v>
      </c>
      <c r="M407" t="s">
        <v>25</v>
      </c>
      <c r="N407" t="str">
        <f>VLOOKUP(E407,mappings!$L$1:$M$110,2,FALSE)</f>
        <v>No answer provided</v>
      </c>
      <c r="O407" t="str">
        <f>VLOOKUP(E407,mappings!L:O,3,FALSE)</f>
        <v>No answer provided</v>
      </c>
      <c r="P407" t="str">
        <f>VLOOKUP(E407,mappings!L:P,4,FALSE)</f>
        <v>No answer provided</v>
      </c>
    </row>
    <row r="408" spans="1:16" s="6" customFormat="1" x14ac:dyDescent="0.2">
      <c r="A408" s="6">
        <v>407</v>
      </c>
      <c r="B408" s="6">
        <v>3878176797</v>
      </c>
      <c r="C408" s="6" t="s">
        <v>6</v>
      </c>
      <c r="D408" s="6" t="s">
        <v>8</v>
      </c>
      <c r="E408" s="6" t="s">
        <v>8</v>
      </c>
      <c r="F408" s="6" t="s">
        <v>8</v>
      </c>
      <c r="G408" s="7" t="str">
        <f>VLOOKUP(F408,mappings!$G$2:$H$6,2,FALSE)</f>
        <v>na</v>
      </c>
      <c r="H408" s="6" t="s">
        <v>8</v>
      </c>
      <c r="I408" s="7" t="str">
        <f>VLOOKUP(H408,mappings!$D$2:$E$6,2,FALSE)</f>
        <v>na</v>
      </c>
      <c r="J408" s="6" t="s">
        <v>8</v>
      </c>
      <c r="K408" s="6" t="s">
        <v>8</v>
      </c>
      <c r="L408" s="7" t="str">
        <f>VLOOKUP(K408,mappings!$A$2:$B$13,2,FALSE)</f>
        <v>na</v>
      </c>
      <c r="M408" s="6" t="s">
        <v>8</v>
      </c>
      <c r="N408" t="str">
        <f>VLOOKUP(E408,mappings!$L$1:$M$110,2,FALSE)</f>
        <v>No answer provided</v>
      </c>
      <c r="O408" t="str">
        <f>VLOOKUP(E408,mappings!L:O,3,FALSE)</f>
        <v>No answer provided</v>
      </c>
      <c r="P408" t="str">
        <f>VLOOKUP(E408,mappings!L:P,4,FALSE)</f>
        <v>No answer provided</v>
      </c>
    </row>
    <row r="409" spans="1:16" s="6" customFormat="1" x14ac:dyDescent="0.2">
      <c r="A409" s="6">
        <v>408</v>
      </c>
      <c r="B409" s="6">
        <v>3878176285</v>
      </c>
      <c r="C409" s="6" t="s">
        <v>6</v>
      </c>
      <c r="D409" s="6" t="s">
        <v>8</v>
      </c>
      <c r="E409" s="6" t="s">
        <v>8</v>
      </c>
      <c r="F409" s="6" t="s">
        <v>8</v>
      </c>
      <c r="G409" s="7" t="str">
        <f>VLOOKUP(F409,mappings!$G$2:$H$6,2,FALSE)</f>
        <v>na</v>
      </c>
      <c r="H409" s="6" t="s">
        <v>8</v>
      </c>
      <c r="I409" s="7" t="str">
        <f>VLOOKUP(H409,mappings!$D$2:$E$6,2,FALSE)</f>
        <v>na</v>
      </c>
      <c r="J409" s="6" t="s">
        <v>8</v>
      </c>
      <c r="K409" s="6" t="s">
        <v>8</v>
      </c>
      <c r="L409" s="7" t="str">
        <f>VLOOKUP(K409,mappings!$A$2:$B$13,2,FALSE)</f>
        <v>na</v>
      </c>
      <c r="M409" s="6" t="s">
        <v>8</v>
      </c>
      <c r="N409" t="str">
        <f>VLOOKUP(E409,mappings!$L$1:$M$110,2,FALSE)</f>
        <v>No answer provided</v>
      </c>
      <c r="O409" t="str">
        <f>VLOOKUP(E409,mappings!L:O,3,FALSE)</f>
        <v>No answer provided</v>
      </c>
      <c r="P409" t="str">
        <f>VLOOKUP(E409,mappings!L:P,4,FALSE)</f>
        <v>No answer provided</v>
      </c>
    </row>
    <row r="410" spans="1:16" x14ac:dyDescent="0.2">
      <c r="A410">
        <v>409</v>
      </c>
      <c r="B410">
        <v>3878175971</v>
      </c>
      <c r="C410" t="s">
        <v>6</v>
      </c>
      <c r="D410" t="s">
        <v>7</v>
      </c>
      <c r="E410" t="s">
        <v>8</v>
      </c>
      <c r="F410" t="s">
        <v>9</v>
      </c>
      <c r="G410" s="2">
        <f>VLOOKUP(F410,mappings!$G$2:$H$6,2,FALSE)</f>
        <v>4</v>
      </c>
      <c r="H410" t="s">
        <v>43</v>
      </c>
      <c r="I410" s="2">
        <f>VLOOKUP(H410,mappings!$D$2:$E$6,2,FALSE)</f>
        <v>4</v>
      </c>
      <c r="J410" t="s">
        <v>10</v>
      </c>
      <c r="K410" t="s">
        <v>33</v>
      </c>
      <c r="L410" s="2">
        <f>VLOOKUP(K410,mappings!$A$2:$B$13,2,FALSE)</f>
        <v>5</v>
      </c>
      <c r="M410" t="s">
        <v>12</v>
      </c>
      <c r="N410" t="str">
        <f>VLOOKUP(E410,mappings!$L$1:$M$110,2,FALSE)</f>
        <v>No answer provided</v>
      </c>
      <c r="O410" t="str">
        <f>VLOOKUP(E410,mappings!L:O,3,FALSE)</f>
        <v>No answer provided</v>
      </c>
      <c r="P410" t="str">
        <f>VLOOKUP(E410,mappings!L:P,4,FALSE)</f>
        <v>No answer provided</v>
      </c>
    </row>
    <row r="411" spans="1:16" x14ac:dyDescent="0.2">
      <c r="A411">
        <v>410</v>
      </c>
      <c r="B411">
        <v>3878171501</v>
      </c>
      <c r="C411" t="s">
        <v>6</v>
      </c>
      <c r="D411" t="s">
        <v>21</v>
      </c>
      <c r="E411" t="s">
        <v>8</v>
      </c>
      <c r="F411" t="s">
        <v>22</v>
      </c>
      <c r="G411" s="2">
        <f>VLOOKUP(F411,mappings!$G$2:$H$6,2,FALSE)</f>
        <v>1</v>
      </c>
      <c r="H411" t="s">
        <v>161</v>
      </c>
      <c r="I411" s="2">
        <f>VLOOKUP(H411,mappings!$D$2:$E$6,2,FALSE)</f>
        <v>2</v>
      </c>
      <c r="J411" t="s">
        <v>36</v>
      </c>
      <c r="K411" t="s">
        <v>13</v>
      </c>
      <c r="L411" s="2">
        <f>VLOOKUP(K411,mappings!$A$2:$B$13,2,FALSE)</f>
        <v>11</v>
      </c>
      <c r="M411" t="s">
        <v>15</v>
      </c>
      <c r="N411" t="str">
        <f>VLOOKUP(E411,mappings!$L$1:$M$110,2,FALSE)</f>
        <v>No answer provided</v>
      </c>
      <c r="O411" t="str">
        <f>VLOOKUP(E411,mappings!L:O,3,FALSE)</f>
        <v>No answer provided</v>
      </c>
      <c r="P411" t="str">
        <f>VLOOKUP(E411,mappings!L:P,4,FALSE)</f>
        <v>No answer provided</v>
      </c>
    </row>
    <row r="412" spans="1:16" x14ac:dyDescent="0.2">
      <c r="A412">
        <v>411</v>
      </c>
      <c r="B412">
        <v>3878168802</v>
      </c>
      <c r="C412" t="s">
        <v>6</v>
      </c>
      <c r="D412" t="s">
        <v>31</v>
      </c>
      <c r="E412" t="s">
        <v>8</v>
      </c>
      <c r="F412" t="s">
        <v>9</v>
      </c>
      <c r="G412" s="2">
        <f>VLOOKUP(F412,mappings!$G$2:$H$6,2,FALSE)</f>
        <v>4</v>
      </c>
      <c r="H412" t="s">
        <v>163</v>
      </c>
      <c r="I412" s="2">
        <f>VLOOKUP(H412,mappings!$D$2:$E$6,2,FALSE)</f>
        <v>3</v>
      </c>
      <c r="J412" t="s">
        <v>36</v>
      </c>
      <c r="K412" t="s">
        <v>33</v>
      </c>
      <c r="L412" s="2">
        <f>VLOOKUP(K412,mappings!$A$2:$B$13,2,FALSE)</f>
        <v>5</v>
      </c>
      <c r="M412" t="s">
        <v>15</v>
      </c>
      <c r="N412" t="str">
        <f>VLOOKUP(E412,mappings!$L$1:$M$110,2,FALSE)</f>
        <v>No answer provided</v>
      </c>
      <c r="O412" t="str">
        <f>VLOOKUP(E412,mappings!L:O,3,FALSE)</f>
        <v>No answer provided</v>
      </c>
      <c r="P412" t="str">
        <f>VLOOKUP(E412,mappings!L:P,4,FALSE)</f>
        <v>No answer provided</v>
      </c>
    </row>
    <row r="413" spans="1:16" x14ac:dyDescent="0.2">
      <c r="A413">
        <v>412</v>
      </c>
      <c r="B413">
        <v>3878166803</v>
      </c>
      <c r="C413" t="s">
        <v>6</v>
      </c>
      <c r="D413" t="s">
        <v>31</v>
      </c>
      <c r="E413" t="s">
        <v>8</v>
      </c>
      <c r="F413" t="s">
        <v>28</v>
      </c>
      <c r="G413" s="2">
        <f>VLOOKUP(F413,mappings!$G$2:$H$6,2,FALSE)</f>
        <v>2</v>
      </c>
      <c r="H413" t="s">
        <v>163</v>
      </c>
      <c r="I413" s="2">
        <f>VLOOKUP(H413,mappings!$D$2:$E$6,2,FALSE)</f>
        <v>3</v>
      </c>
      <c r="J413" t="s">
        <v>36</v>
      </c>
      <c r="K413" t="s">
        <v>14</v>
      </c>
      <c r="L413" s="2">
        <f>VLOOKUP(K413,mappings!$A$2:$B$13,2,FALSE)</f>
        <v>6</v>
      </c>
      <c r="M413" t="s">
        <v>15</v>
      </c>
      <c r="N413" t="str">
        <f>VLOOKUP(E413,mappings!$L$1:$M$110,2,FALSE)</f>
        <v>No answer provided</v>
      </c>
      <c r="O413" t="str">
        <f>VLOOKUP(E413,mappings!L:O,3,FALSE)</f>
        <v>No answer provided</v>
      </c>
      <c r="P413" t="str">
        <f>VLOOKUP(E413,mappings!L:P,4,FALSE)</f>
        <v>No answer provided</v>
      </c>
    </row>
    <row r="414" spans="1:16" x14ac:dyDescent="0.2">
      <c r="A414">
        <v>413</v>
      </c>
      <c r="B414">
        <v>3878166171</v>
      </c>
      <c r="C414" t="s">
        <v>6</v>
      </c>
      <c r="D414" t="s">
        <v>1</v>
      </c>
      <c r="E414" t="s">
        <v>100</v>
      </c>
      <c r="F414" t="s">
        <v>22</v>
      </c>
      <c r="G414" s="2">
        <f>VLOOKUP(F414,mappings!$G$2:$H$6,2,FALSE)</f>
        <v>1</v>
      </c>
      <c r="H414" t="s">
        <v>163</v>
      </c>
      <c r="I414" s="2">
        <f>VLOOKUP(H414,mappings!$D$2:$E$6,2,FALSE)</f>
        <v>3</v>
      </c>
      <c r="J414" t="s">
        <v>36</v>
      </c>
      <c r="K414" t="s">
        <v>13</v>
      </c>
      <c r="L414" s="2">
        <f>VLOOKUP(K414,mappings!$A$2:$B$13,2,FALSE)</f>
        <v>11</v>
      </c>
      <c r="M414" t="s">
        <v>24</v>
      </c>
      <c r="N414" t="str">
        <f>VLOOKUP(E414,mappings!$L$1:$M$110,2,FALSE)</f>
        <v>Local News</v>
      </c>
      <c r="O414" t="str">
        <f>VLOOKUP(E414,mappings!L:O,3,FALSE)</f>
        <v>Website</v>
      </c>
      <c r="P414" t="str">
        <f>VLOOKUP(E414,mappings!L:P,4,FALSE)</f>
        <v>Other or unkown</v>
      </c>
    </row>
    <row r="415" spans="1:16" x14ac:dyDescent="0.2">
      <c r="A415">
        <v>414</v>
      </c>
      <c r="B415">
        <v>3878162896</v>
      </c>
      <c r="C415" t="s">
        <v>6</v>
      </c>
      <c r="D415" t="s">
        <v>1</v>
      </c>
      <c r="E415" t="s">
        <v>101</v>
      </c>
      <c r="F415" t="s">
        <v>22</v>
      </c>
      <c r="G415" s="2">
        <f>VLOOKUP(F415,mappings!$G$2:$H$6,2,FALSE)</f>
        <v>1</v>
      </c>
      <c r="H415" t="s">
        <v>161</v>
      </c>
      <c r="I415" s="2">
        <f>VLOOKUP(H415,mappings!$D$2:$E$6,2,FALSE)</f>
        <v>2</v>
      </c>
      <c r="J415" t="s">
        <v>36</v>
      </c>
      <c r="K415" t="s">
        <v>23</v>
      </c>
      <c r="L415" s="2">
        <f>VLOOKUP(K415,mappings!$A$2:$B$13,2,FALSE)</f>
        <v>3</v>
      </c>
      <c r="M415" t="s">
        <v>24</v>
      </c>
      <c r="N415" t="str">
        <f>VLOOKUP(E415,mappings!$L$1:$M$110,2,FALSE)</f>
        <v>Yahoo</v>
      </c>
      <c r="O415" t="str">
        <f>VLOOKUP(E415,mappings!L:O,3,FALSE)</f>
        <v>Website</v>
      </c>
      <c r="P415" t="str">
        <f>VLOOKUP(E415,mappings!L:P,4,FALSE)</f>
        <v>Other or unkown</v>
      </c>
    </row>
    <row r="416" spans="1:16" x14ac:dyDescent="0.2">
      <c r="A416">
        <v>415</v>
      </c>
      <c r="B416">
        <v>3878162631</v>
      </c>
      <c r="C416" t="s">
        <v>6</v>
      </c>
      <c r="D416" t="s">
        <v>1</v>
      </c>
      <c r="E416" t="s">
        <v>70</v>
      </c>
      <c r="F416" t="s">
        <v>9</v>
      </c>
      <c r="G416" s="2">
        <f>VLOOKUP(F416,mappings!$G$2:$H$6,2,FALSE)</f>
        <v>4</v>
      </c>
      <c r="H416" t="s">
        <v>161</v>
      </c>
      <c r="I416" s="2">
        <f>VLOOKUP(H416,mappings!$D$2:$E$6,2,FALSE)</f>
        <v>2</v>
      </c>
      <c r="J416" t="s">
        <v>36</v>
      </c>
      <c r="K416" t="s">
        <v>23</v>
      </c>
      <c r="L416" s="2">
        <f>VLOOKUP(K416,mappings!$A$2:$B$13,2,FALSE)</f>
        <v>3</v>
      </c>
      <c r="M416" t="s">
        <v>12</v>
      </c>
      <c r="N416" t="str">
        <f>VLOOKUP(E416,mappings!$L$1:$M$110,2,FALSE)</f>
        <v>AccuWeather</v>
      </c>
      <c r="O416" t="str">
        <f>VLOOKUP(E416,mappings!L:O,3,FALSE)</f>
        <v>Website</v>
      </c>
      <c r="P416" t="str">
        <f>VLOOKUP(E416,mappings!L:P,4,FALSE)</f>
        <v>Other or unkown</v>
      </c>
    </row>
    <row r="417" spans="1:16" x14ac:dyDescent="0.2">
      <c r="A417">
        <v>416</v>
      </c>
      <c r="B417">
        <v>3878162069</v>
      </c>
      <c r="C417" t="s">
        <v>26</v>
      </c>
      <c r="D417" t="s">
        <v>27</v>
      </c>
      <c r="E417" t="s">
        <v>8</v>
      </c>
      <c r="F417" t="s">
        <v>16</v>
      </c>
      <c r="G417" s="2">
        <f>VLOOKUP(F417,mappings!$G$2:$H$6,2,FALSE)</f>
        <v>3</v>
      </c>
      <c r="H417" t="s">
        <v>162</v>
      </c>
      <c r="I417" s="2">
        <f>VLOOKUP(H417,mappings!$D$2:$E$6,2,FALSE)</f>
        <v>1</v>
      </c>
      <c r="J417" t="s">
        <v>10</v>
      </c>
      <c r="K417" t="s">
        <v>33</v>
      </c>
      <c r="L417" s="2">
        <f>VLOOKUP(K417,mappings!$A$2:$B$13,2,FALSE)</f>
        <v>5</v>
      </c>
      <c r="M417" t="s">
        <v>24</v>
      </c>
      <c r="N417" t="str">
        <f>VLOOKUP(E417,mappings!$L$1:$M$110,2,FALSE)</f>
        <v>No answer provided</v>
      </c>
      <c r="O417" t="str">
        <f>VLOOKUP(E417,mappings!L:O,3,FALSE)</f>
        <v>No answer provided</v>
      </c>
      <c r="P417" t="str">
        <f>VLOOKUP(E417,mappings!L:P,4,FALSE)</f>
        <v>No answer provided</v>
      </c>
    </row>
    <row r="418" spans="1:16" x14ac:dyDescent="0.2">
      <c r="A418">
        <v>417</v>
      </c>
      <c r="B418">
        <v>3878160615</v>
      </c>
      <c r="C418" t="s">
        <v>6</v>
      </c>
      <c r="D418" t="s">
        <v>1</v>
      </c>
      <c r="E418" t="s">
        <v>102</v>
      </c>
      <c r="F418" t="s">
        <v>16</v>
      </c>
      <c r="G418" s="2">
        <f>VLOOKUP(F418,mappings!$G$2:$H$6,2,FALSE)</f>
        <v>3</v>
      </c>
      <c r="H418" t="s">
        <v>163</v>
      </c>
      <c r="I418" s="2">
        <f>VLOOKUP(H418,mappings!$D$2:$E$6,2,FALSE)</f>
        <v>3</v>
      </c>
      <c r="J418" t="s">
        <v>36</v>
      </c>
      <c r="K418" t="s">
        <v>39</v>
      </c>
      <c r="L418" s="2">
        <f>VLOOKUP(K418,mappings!$A$2:$B$13,2,FALSE)</f>
        <v>10</v>
      </c>
      <c r="M418" t="s">
        <v>25</v>
      </c>
      <c r="N418" t="str">
        <f>VLOOKUP(E418,mappings!$L$1:$M$110,2,FALSE)</f>
        <v>Weatherbug</v>
      </c>
      <c r="O418" t="str">
        <f>VLOOKUP(E418,mappings!L:O,3,FALSE)</f>
        <v>App</v>
      </c>
      <c r="P418" t="str">
        <f>VLOOKUP(E418,mappings!L:P,4,FALSE)</f>
        <v>Other or unkown</v>
      </c>
    </row>
    <row r="419" spans="1:16" x14ac:dyDescent="0.2">
      <c r="A419">
        <v>418</v>
      </c>
      <c r="B419">
        <v>3878160534</v>
      </c>
      <c r="C419" t="s">
        <v>6</v>
      </c>
      <c r="D419" t="s">
        <v>21</v>
      </c>
      <c r="E419" t="s">
        <v>8</v>
      </c>
      <c r="F419" t="s">
        <v>9</v>
      </c>
      <c r="G419" s="2">
        <f>VLOOKUP(F419,mappings!$G$2:$H$6,2,FALSE)</f>
        <v>4</v>
      </c>
      <c r="H419" t="s">
        <v>163</v>
      </c>
      <c r="I419" s="2">
        <f>VLOOKUP(H419,mappings!$D$2:$E$6,2,FALSE)</f>
        <v>3</v>
      </c>
      <c r="J419" t="s">
        <v>36</v>
      </c>
      <c r="K419" t="s">
        <v>11</v>
      </c>
      <c r="L419" s="2">
        <f>VLOOKUP(K419,mappings!$A$2:$B$13,2,FALSE)</f>
        <v>4</v>
      </c>
      <c r="M419" t="s">
        <v>15</v>
      </c>
      <c r="N419" t="str">
        <f>VLOOKUP(E419,mappings!$L$1:$M$110,2,FALSE)</f>
        <v>No answer provided</v>
      </c>
      <c r="O419" t="str">
        <f>VLOOKUP(E419,mappings!L:O,3,FALSE)</f>
        <v>No answer provided</v>
      </c>
      <c r="P419" t="str">
        <f>VLOOKUP(E419,mappings!L:P,4,FALSE)</f>
        <v>No answer provided</v>
      </c>
    </row>
    <row r="420" spans="1:16" x14ac:dyDescent="0.2">
      <c r="A420">
        <v>419</v>
      </c>
      <c r="B420">
        <v>3878159600</v>
      </c>
      <c r="C420" t="s">
        <v>26</v>
      </c>
      <c r="D420" t="s">
        <v>31</v>
      </c>
      <c r="E420" t="s">
        <v>8</v>
      </c>
      <c r="F420" t="s">
        <v>9</v>
      </c>
      <c r="G420" s="2">
        <f>VLOOKUP(F420,mappings!$G$2:$H$6,2,FALSE)</f>
        <v>4</v>
      </c>
      <c r="H420" t="s">
        <v>43</v>
      </c>
      <c r="I420" s="2">
        <f>VLOOKUP(H420,mappings!$D$2:$E$6,2,FALSE)</f>
        <v>4</v>
      </c>
      <c r="J420" t="s">
        <v>36</v>
      </c>
      <c r="K420" t="s">
        <v>32</v>
      </c>
      <c r="L420" s="2">
        <f>VLOOKUP(K420,mappings!$A$2:$B$13,2,FALSE)</f>
        <v>2</v>
      </c>
      <c r="M420" t="s">
        <v>20</v>
      </c>
      <c r="N420" t="str">
        <f>VLOOKUP(E420,mappings!$L$1:$M$110,2,FALSE)</f>
        <v>No answer provided</v>
      </c>
      <c r="O420" t="str">
        <f>VLOOKUP(E420,mappings!L:O,3,FALSE)</f>
        <v>No answer provided</v>
      </c>
      <c r="P420" t="str">
        <f>VLOOKUP(E420,mappings!L:P,4,FALSE)</f>
        <v>No answer provided</v>
      </c>
    </row>
    <row r="421" spans="1:16" x14ac:dyDescent="0.2">
      <c r="A421">
        <v>420</v>
      </c>
      <c r="B421">
        <v>3878159123</v>
      </c>
      <c r="C421" t="s">
        <v>6</v>
      </c>
      <c r="D421" t="s">
        <v>7</v>
      </c>
      <c r="E421" t="s">
        <v>8</v>
      </c>
      <c r="F421" t="s">
        <v>28</v>
      </c>
      <c r="G421" s="2">
        <f>VLOOKUP(F421,mappings!$G$2:$H$6,2,FALSE)</f>
        <v>2</v>
      </c>
      <c r="H421" t="s">
        <v>161</v>
      </c>
      <c r="I421" s="2">
        <f>VLOOKUP(H421,mappings!$D$2:$E$6,2,FALSE)</f>
        <v>2</v>
      </c>
      <c r="J421" t="s">
        <v>36</v>
      </c>
      <c r="K421" t="s">
        <v>32</v>
      </c>
      <c r="L421" s="2">
        <f>VLOOKUP(K421,mappings!$A$2:$B$13,2,FALSE)</f>
        <v>2</v>
      </c>
      <c r="M421" t="s">
        <v>20</v>
      </c>
      <c r="N421" t="str">
        <f>VLOOKUP(E421,mappings!$L$1:$M$110,2,FALSE)</f>
        <v>No answer provided</v>
      </c>
      <c r="O421" t="str">
        <f>VLOOKUP(E421,mappings!L:O,3,FALSE)</f>
        <v>No answer provided</v>
      </c>
      <c r="P421" t="str">
        <f>VLOOKUP(E421,mappings!L:P,4,FALSE)</f>
        <v>No answer provided</v>
      </c>
    </row>
    <row r="422" spans="1:16" x14ac:dyDescent="0.2">
      <c r="A422">
        <v>421</v>
      </c>
      <c r="B422">
        <v>3878158418</v>
      </c>
      <c r="C422" t="s">
        <v>6</v>
      </c>
      <c r="D422" t="s">
        <v>7</v>
      </c>
      <c r="E422" t="s">
        <v>8</v>
      </c>
      <c r="F422" t="s">
        <v>9</v>
      </c>
      <c r="G422" s="2">
        <f>VLOOKUP(F422,mappings!$G$2:$H$6,2,FALSE)</f>
        <v>4</v>
      </c>
      <c r="H422" t="s">
        <v>163</v>
      </c>
      <c r="I422" s="2">
        <f>VLOOKUP(H422,mappings!$D$2:$E$6,2,FALSE)</f>
        <v>3</v>
      </c>
      <c r="J422" t="s">
        <v>10</v>
      </c>
      <c r="K422" t="s">
        <v>23</v>
      </c>
      <c r="L422" s="2">
        <f>VLOOKUP(K422,mappings!$A$2:$B$13,2,FALSE)</f>
        <v>3</v>
      </c>
      <c r="M422" t="s">
        <v>24</v>
      </c>
      <c r="N422" t="str">
        <f>VLOOKUP(E422,mappings!$L$1:$M$110,2,FALSE)</f>
        <v>No answer provided</v>
      </c>
      <c r="O422" t="str">
        <f>VLOOKUP(E422,mappings!L:O,3,FALSE)</f>
        <v>No answer provided</v>
      </c>
      <c r="P422" t="str">
        <f>VLOOKUP(E422,mappings!L:P,4,FALSE)</f>
        <v>No answer provided</v>
      </c>
    </row>
    <row r="423" spans="1:16" x14ac:dyDescent="0.2">
      <c r="A423">
        <v>422</v>
      </c>
      <c r="B423">
        <v>3878156563</v>
      </c>
      <c r="C423" t="s">
        <v>6</v>
      </c>
      <c r="D423" t="s">
        <v>1</v>
      </c>
      <c r="E423" t="s">
        <v>103</v>
      </c>
      <c r="F423" t="s">
        <v>9</v>
      </c>
      <c r="G423" s="2">
        <f>VLOOKUP(F423,mappings!$G$2:$H$6,2,FALSE)</f>
        <v>4</v>
      </c>
      <c r="H423" t="s">
        <v>161</v>
      </c>
      <c r="I423" s="2">
        <f>VLOOKUP(H423,mappings!$D$2:$E$6,2,FALSE)</f>
        <v>2</v>
      </c>
      <c r="J423" t="s">
        <v>36</v>
      </c>
      <c r="K423" t="s">
        <v>32</v>
      </c>
      <c r="L423" s="2">
        <f>VLOOKUP(K423,mappings!$A$2:$B$13,2,FALSE)</f>
        <v>2</v>
      </c>
      <c r="M423" t="s">
        <v>24</v>
      </c>
      <c r="N423" t="str">
        <f>VLOOKUP(E423,mappings!$L$1:$M$110,2,FALSE)</f>
        <v>The Weather Channel</v>
      </c>
      <c r="O423" t="str">
        <f>VLOOKUP(E423,mappings!L:O,3,FALSE)</f>
        <v>App</v>
      </c>
      <c r="P423" t="str">
        <f>VLOOKUP(E423,mappings!L:P,4,FALSE)</f>
        <v>Other or unkown</v>
      </c>
    </row>
    <row r="424" spans="1:16" x14ac:dyDescent="0.2">
      <c r="A424">
        <v>423</v>
      </c>
      <c r="B424">
        <v>3878151947</v>
      </c>
      <c r="C424" t="s">
        <v>26</v>
      </c>
      <c r="D424" t="s">
        <v>1</v>
      </c>
      <c r="E424" t="s">
        <v>104</v>
      </c>
      <c r="F424" t="s">
        <v>9</v>
      </c>
      <c r="G424" s="2">
        <f>VLOOKUP(F424,mappings!$G$2:$H$6,2,FALSE)</f>
        <v>4</v>
      </c>
      <c r="H424" t="s">
        <v>43</v>
      </c>
      <c r="I424" s="2">
        <f>VLOOKUP(H424,mappings!$D$2:$E$6,2,FALSE)</f>
        <v>4</v>
      </c>
      <c r="J424" t="s">
        <v>10</v>
      </c>
      <c r="K424" t="s">
        <v>13</v>
      </c>
      <c r="L424" s="2">
        <f>VLOOKUP(K424,mappings!$A$2:$B$13,2,FALSE)</f>
        <v>11</v>
      </c>
      <c r="M424" t="s">
        <v>34</v>
      </c>
      <c r="N424" t="str">
        <f>VLOOKUP(E424,mappings!$L$1:$M$110,2,FALSE)</f>
        <v>The Weather Channel</v>
      </c>
      <c r="O424" t="str">
        <f>VLOOKUP(E424,mappings!L:O,3,FALSE)</f>
        <v>Website</v>
      </c>
      <c r="P424" t="str">
        <f>VLOOKUP(E424,mappings!L:P,4,FALSE)</f>
        <v>Other or unkown</v>
      </c>
    </row>
    <row r="425" spans="1:16" x14ac:dyDescent="0.2">
      <c r="A425">
        <v>424</v>
      </c>
      <c r="B425">
        <v>3878147244</v>
      </c>
      <c r="C425" t="s">
        <v>6</v>
      </c>
      <c r="D425" t="s">
        <v>27</v>
      </c>
      <c r="E425" t="s">
        <v>8</v>
      </c>
      <c r="F425" t="s">
        <v>9</v>
      </c>
      <c r="G425" s="2">
        <f>VLOOKUP(F425,mappings!$G$2:$H$6,2,FALSE)</f>
        <v>4</v>
      </c>
      <c r="H425" t="s">
        <v>43</v>
      </c>
      <c r="I425" s="2">
        <f>VLOOKUP(H425,mappings!$D$2:$E$6,2,FALSE)</f>
        <v>4</v>
      </c>
      <c r="J425" t="s">
        <v>10</v>
      </c>
      <c r="K425" t="s">
        <v>32</v>
      </c>
      <c r="L425" s="2">
        <f>VLOOKUP(K425,mappings!$A$2:$B$13,2,FALSE)</f>
        <v>2</v>
      </c>
      <c r="M425" t="s">
        <v>25</v>
      </c>
      <c r="N425" t="str">
        <f>VLOOKUP(E425,mappings!$L$1:$M$110,2,FALSE)</f>
        <v>No answer provided</v>
      </c>
      <c r="O425" t="str">
        <f>VLOOKUP(E425,mappings!L:O,3,FALSE)</f>
        <v>No answer provided</v>
      </c>
      <c r="P425" t="str">
        <f>VLOOKUP(E425,mappings!L:P,4,FALSE)</f>
        <v>No answer provided</v>
      </c>
    </row>
    <row r="426" spans="1:16" x14ac:dyDescent="0.2">
      <c r="A426">
        <v>425</v>
      </c>
      <c r="B426">
        <v>3878146840</v>
      </c>
      <c r="C426" t="s">
        <v>6</v>
      </c>
      <c r="D426" t="s">
        <v>27</v>
      </c>
      <c r="E426" t="s">
        <v>8</v>
      </c>
      <c r="F426" t="s">
        <v>16</v>
      </c>
      <c r="G426" s="2">
        <f>VLOOKUP(F426,mappings!$G$2:$H$6,2,FALSE)</f>
        <v>3</v>
      </c>
      <c r="H426" t="s">
        <v>162</v>
      </c>
      <c r="I426" s="2">
        <f>VLOOKUP(H426,mappings!$D$2:$E$6,2,FALSE)</f>
        <v>1</v>
      </c>
      <c r="J426" t="s">
        <v>10</v>
      </c>
      <c r="K426" t="s">
        <v>32</v>
      </c>
      <c r="L426" s="2">
        <f>VLOOKUP(K426,mappings!$A$2:$B$13,2,FALSE)</f>
        <v>2</v>
      </c>
      <c r="M426" t="s">
        <v>20</v>
      </c>
      <c r="N426" t="str">
        <f>VLOOKUP(E426,mappings!$L$1:$M$110,2,FALSE)</f>
        <v>No answer provided</v>
      </c>
      <c r="O426" t="str">
        <f>VLOOKUP(E426,mappings!L:O,3,FALSE)</f>
        <v>No answer provided</v>
      </c>
      <c r="P426" t="str">
        <f>VLOOKUP(E426,mappings!L:P,4,FALSE)</f>
        <v>No answer provided</v>
      </c>
    </row>
    <row r="427" spans="1:16" x14ac:dyDescent="0.2">
      <c r="A427">
        <v>426</v>
      </c>
      <c r="B427">
        <v>3878144950</v>
      </c>
      <c r="C427" t="s">
        <v>6</v>
      </c>
      <c r="D427" t="s">
        <v>27</v>
      </c>
      <c r="E427" t="s">
        <v>8</v>
      </c>
      <c r="F427" t="s">
        <v>22</v>
      </c>
      <c r="G427" s="2">
        <f>VLOOKUP(F427,mappings!$G$2:$H$6,2,FALSE)</f>
        <v>1</v>
      </c>
      <c r="H427" t="s">
        <v>161</v>
      </c>
      <c r="I427" s="2">
        <f>VLOOKUP(H427,mappings!$D$2:$E$6,2,FALSE)</f>
        <v>2</v>
      </c>
      <c r="J427" t="s">
        <v>36</v>
      </c>
      <c r="K427" t="s">
        <v>13</v>
      </c>
      <c r="L427" s="2">
        <f>VLOOKUP(K427,mappings!$A$2:$B$13,2,FALSE)</f>
        <v>11</v>
      </c>
      <c r="M427" t="s">
        <v>42</v>
      </c>
      <c r="N427" t="str">
        <f>VLOOKUP(E427,mappings!$L$1:$M$110,2,FALSE)</f>
        <v>No answer provided</v>
      </c>
      <c r="O427" t="str">
        <f>VLOOKUP(E427,mappings!L:O,3,FALSE)</f>
        <v>No answer provided</v>
      </c>
      <c r="P427" t="str">
        <f>VLOOKUP(E427,mappings!L:P,4,FALSE)</f>
        <v>No answer provided</v>
      </c>
    </row>
    <row r="428" spans="1:16" x14ac:dyDescent="0.2">
      <c r="A428">
        <v>427</v>
      </c>
      <c r="B428">
        <v>3878139391</v>
      </c>
      <c r="C428" t="s">
        <v>6</v>
      </c>
      <c r="D428" t="s">
        <v>40</v>
      </c>
      <c r="E428" t="s">
        <v>8</v>
      </c>
      <c r="F428" t="s">
        <v>28</v>
      </c>
      <c r="G428" s="2">
        <f>VLOOKUP(F428,mappings!$G$2:$H$6,2,FALSE)</f>
        <v>2</v>
      </c>
      <c r="H428" t="s">
        <v>43</v>
      </c>
      <c r="I428" s="2">
        <f>VLOOKUP(H428,mappings!$D$2:$E$6,2,FALSE)</f>
        <v>4</v>
      </c>
      <c r="J428" t="s">
        <v>36</v>
      </c>
      <c r="K428" t="s">
        <v>33</v>
      </c>
      <c r="L428" s="2">
        <f>VLOOKUP(K428,mappings!$A$2:$B$13,2,FALSE)</f>
        <v>5</v>
      </c>
      <c r="M428" t="s">
        <v>30</v>
      </c>
      <c r="N428" t="str">
        <f>VLOOKUP(E428,mappings!$L$1:$M$110,2,FALSE)</f>
        <v>No answer provided</v>
      </c>
      <c r="O428" t="str">
        <f>VLOOKUP(E428,mappings!L:O,3,FALSE)</f>
        <v>No answer provided</v>
      </c>
      <c r="P428" t="str">
        <f>VLOOKUP(E428,mappings!L:P,4,FALSE)</f>
        <v>No answer provided</v>
      </c>
    </row>
    <row r="429" spans="1:16" x14ac:dyDescent="0.2">
      <c r="A429">
        <v>428</v>
      </c>
      <c r="B429">
        <v>3878137364</v>
      </c>
      <c r="C429" t="s">
        <v>6</v>
      </c>
      <c r="D429" t="s">
        <v>1</v>
      </c>
      <c r="E429" t="s">
        <v>70</v>
      </c>
      <c r="F429" t="s">
        <v>16</v>
      </c>
      <c r="G429" s="2">
        <f>VLOOKUP(F429,mappings!$G$2:$H$6,2,FALSE)</f>
        <v>3</v>
      </c>
      <c r="H429" t="s">
        <v>163</v>
      </c>
      <c r="I429" s="2">
        <f>VLOOKUP(H429,mappings!$D$2:$E$6,2,FALSE)</f>
        <v>3</v>
      </c>
      <c r="J429" t="s">
        <v>10</v>
      </c>
      <c r="K429" t="s">
        <v>39</v>
      </c>
      <c r="L429" s="2">
        <f>VLOOKUP(K429,mappings!$A$2:$B$13,2,FALSE)</f>
        <v>10</v>
      </c>
      <c r="M429" t="s">
        <v>8</v>
      </c>
      <c r="N429" t="str">
        <f>VLOOKUP(E429,mappings!$L$1:$M$110,2,FALSE)</f>
        <v>AccuWeather</v>
      </c>
      <c r="O429" t="str">
        <f>VLOOKUP(E429,mappings!L:O,3,FALSE)</f>
        <v>Website</v>
      </c>
      <c r="P429" t="str">
        <f>VLOOKUP(E429,mappings!L:P,4,FALSE)</f>
        <v>Other or unkown</v>
      </c>
    </row>
    <row r="430" spans="1:16" x14ac:dyDescent="0.2">
      <c r="A430">
        <v>429</v>
      </c>
      <c r="B430">
        <v>3878136673</v>
      </c>
      <c r="C430" t="s">
        <v>6</v>
      </c>
      <c r="D430" t="s">
        <v>1</v>
      </c>
      <c r="E430" t="s">
        <v>105</v>
      </c>
      <c r="F430" t="s">
        <v>16</v>
      </c>
      <c r="G430" s="2">
        <f>VLOOKUP(F430,mappings!$G$2:$H$6,2,FALSE)</f>
        <v>3</v>
      </c>
      <c r="H430" t="s">
        <v>163</v>
      </c>
      <c r="I430" s="2">
        <f>VLOOKUP(H430,mappings!$D$2:$E$6,2,FALSE)</f>
        <v>3</v>
      </c>
      <c r="J430" t="s">
        <v>10</v>
      </c>
      <c r="K430" t="s">
        <v>18</v>
      </c>
      <c r="L430" s="2">
        <f>VLOOKUP(K430,mappings!$A$2:$B$13,2,FALSE)</f>
        <v>8</v>
      </c>
      <c r="M430" t="s">
        <v>24</v>
      </c>
      <c r="N430" t="str">
        <f>VLOOKUP(E430,mappings!$L$1:$M$110,2,FALSE)</f>
        <v>The Weather Channel</v>
      </c>
      <c r="O430" t="str">
        <f>VLOOKUP(E430,mappings!L:O,3,FALSE)</f>
        <v>App</v>
      </c>
      <c r="P430" t="str">
        <f>VLOOKUP(E430,mappings!L:P,4,FALSE)</f>
        <v>Other or unkown</v>
      </c>
    </row>
    <row r="431" spans="1:16" x14ac:dyDescent="0.2">
      <c r="A431">
        <v>430</v>
      </c>
      <c r="B431">
        <v>3878129801</v>
      </c>
      <c r="C431" t="s">
        <v>6</v>
      </c>
      <c r="D431" t="s">
        <v>27</v>
      </c>
      <c r="E431" t="s">
        <v>8</v>
      </c>
      <c r="F431" t="s">
        <v>9</v>
      </c>
      <c r="G431" s="2">
        <f>VLOOKUP(F431,mappings!$G$2:$H$6,2,FALSE)</f>
        <v>4</v>
      </c>
      <c r="H431" t="s">
        <v>163</v>
      </c>
      <c r="I431" s="2">
        <f>VLOOKUP(H431,mappings!$D$2:$E$6,2,FALSE)</f>
        <v>3</v>
      </c>
      <c r="J431" t="s">
        <v>36</v>
      </c>
      <c r="K431" t="s">
        <v>23</v>
      </c>
      <c r="L431" s="2">
        <f>VLOOKUP(K431,mappings!$A$2:$B$13,2,FALSE)</f>
        <v>3</v>
      </c>
      <c r="M431" t="s">
        <v>20</v>
      </c>
      <c r="N431" t="str">
        <f>VLOOKUP(E431,mappings!$L$1:$M$110,2,FALSE)</f>
        <v>No answer provided</v>
      </c>
      <c r="O431" t="str">
        <f>VLOOKUP(E431,mappings!L:O,3,FALSE)</f>
        <v>No answer provided</v>
      </c>
      <c r="P431" t="str">
        <f>VLOOKUP(E431,mappings!L:P,4,FALSE)</f>
        <v>No answer provided</v>
      </c>
    </row>
    <row r="432" spans="1:16" x14ac:dyDescent="0.2">
      <c r="A432">
        <v>431</v>
      </c>
      <c r="B432">
        <v>3878123775</v>
      </c>
      <c r="C432" t="s">
        <v>26</v>
      </c>
      <c r="D432" t="s">
        <v>27</v>
      </c>
      <c r="E432" t="s">
        <v>8</v>
      </c>
      <c r="F432" t="s">
        <v>16</v>
      </c>
      <c r="G432" s="2">
        <f>VLOOKUP(F432,mappings!$G$2:$H$6,2,FALSE)</f>
        <v>3</v>
      </c>
      <c r="H432" t="s">
        <v>43</v>
      </c>
      <c r="I432" s="2">
        <f>VLOOKUP(H432,mappings!$D$2:$E$6,2,FALSE)</f>
        <v>4</v>
      </c>
      <c r="J432" t="s">
        <v>36</v>
      </c>
      <c r="K432" t="s">
        <v>23</v>
      </c>
      <c r="L432" s="2">
        <f>VLOOKUP(K432,mappings!$A$2:$B$13,2,FALSE)</f>
        <v>3</v>
      </c>
      <c r="M432" t="s">
        <v>24</v>
      </c>
      <c r="N432" t="str">
        <f>VLOOKUP(E432,mappings!$L$1:$M$110,2,FALSE)</f>
        <v>No answer provided</v>
      </c>
      <c r="O432" t="str">
        <f>VLOOKUP(E432,mappings!L:O,3,FALSE)</f>
        <v>No answer provided</v>
      </c>
      <c r="P432" t="str">
        <f>VLOOKUP(E432,mappings!L:P,4,FALSE)</f>
        <v>No answer provided</v>
      </c>
    </row>
    <row r="433" spans="1:16" x14ac:dyDescent="0.2">
      <c r="A433">
        <v>432</v>
      </c>
      <c r="B433">
        <v>3878120046</v>
      </c>
      <c r="C433" t="s">
        <v>6</v>
      </c>
      <c r="D433" t="s">
        <v>7</v>
      </c>
      <c r="E433" t="s">
        <v>8</v>
      </c>
      <c r="F433" t="s">
        <v>16</v>
      </c>
      <c r="G433" s="2">
        <f>VLOOKUP(F433,mappings!$G$2:$H$6,2,FALSE)</f>
        <v>3</v>
      </c>
      <c r="H433" t="s">
        <v>161</v>
      </c>
      <c r="I433" s="2">
        <f>VLOOKUP(H433,mappings!$D$2:$E$6,2,FALSE)</f>
        <v>2</v>
      </c>
      <c r="J433" t="s">
        <v>36</v>
      </c>
      <c r="K433" t="s">
        <v>14</v>
      </c>
      <c r="L433" s="2">
        <f>VLOOKUP(K433,mappings!$A$2:$B$13,2,FALSE)</f>
        <v>6</v>
      </c>
      <c r="M433" t="s">
        <v>24</v>
      </c>
      <c r="N433" t="str">
        <f>VLOOKUP(E433,mappings!$L$1:$M$110,2,FALSE)</f>
        <v>No answer provided</v>
      </c>
      <c r="O433" t="str">
        <f>VLOOKUP(E433,mappings!L:O,3,FALSE)</f>
        <v>No answer provided</v>
      </c>
      <c r="P433" t="str">
        <f>VLOOKUP(E433,mappings!L:P,4,FALSE)</f>
        <v>No answer provided</v>
      </c>
    </row>
    <row r="434" spans="1:16" x14ac:dyDescent="0.2">
      <c r="A434">
        <v>433</v>
      </c>
      <c r="B434">
        <v>3878118150</v>
      </c>
      <c r="C434" t="s">
        <v>6</v>
      </c>
      <c r="D434" t="s">
        <v>1</v>
      </c>
      <c r="E434" t="s">
        <v>106</v>
      </c>
      <c r="F434" t="s">
        <v>9</v>
      </c>
      <c r="G434" s="2">
        <f>VLOOKUP(F434,mappings!$G$2:$H$6,2,FALSE)</f>
        <v>4</v>
      </c>
      <c r="H434" t="s">
        <v>163</v>
      </c>
      <c r="I434" s="2">
        <f>VLOOKUP(H434,mappings!$D$2:$E$6,2,FALSE)</f>
        <v>3</v>
      </c>
      <c r="J434" t="s">
        <v>10</v>
      </c>
      <c r="K434" t="s">
        <v>39</v>
      </c>
      <c r="L434" s="2">
        <f>VLOOKUP(K434,mappings!$A$2:$B$13,2,FALSE)</f>
        <v>10</v>
      </c>
      <c r="M434" t="s">
        <v>12</v>
      </c>
      <c r="N434" t="str">
        <f>VLOOKUP(E434,mappings!$L$1:$M$110,2,FALSE)</f>
        <v>Weather Underground</v>
      </c>
      <c r="O434" t="str">
        <f>VLOOKUP(E434,mappings!L:O,3,FALSE)</f>
        <v>Website</v>
      </c>
      <c r="P434" t="str">
        <f>VLOOKUP(E434,mappings!L:P,4,FALSE)</f>
        <v>Other or unkown</v>
      </c>
    </row>
    <row r="435" spans="1:16" x14ac:dyDescent="0.2">
      <c r="A435">
        <v>434</v>
      </c>
      <c r="B435">
        <v>3878117988</v>
      </c>
      <c r="C435" t="s">
        <v>6</v>
      </c>
      <c r="D435" t="s">
        <v>21</v>
      </c>
      <c r="E435" t="s">
        <v>8</v>
      </c>
      <c r="F435" t="s">
        <v>9</v>
      </c>
      <c r="G435" s="2">
        <f>VLOOKUP(F435,mappings!$G$2:$H$6,2,FALSE)</f>
        <v>4</v>
      </c>
      <c r="H435" t="s">
        <v>163</v>
      </c>
      <c r="I435" s="2">
        <f>VLOOKUP(H435,mappings!$D$2:$E$6,2,FALSE)</f>
        <v>3</v>
      </c>
      <c r="J435" t="s">
        <v>10</v>
      </c>
      <c r="K435" t="s">
        <v>14</v>
      </c>
      <c r="L435" s="2">
        <f>VLOOKUP(K435,mappings!$A$2:$B$13,2,FALSE)</f>
        <v>6</v>
      </c>
      <c r="M435" t="s">
        <v>30</v>
      </c>
      <c r="N435" t="str">
        <f>VLOOKUP(E435,mappings!$L$1:$M$110,2,FALSE)</f>
        <v>No answer provided</v>
      </c>
      <c r="O435" t="str">
        <f>VLOOKUP(E435,mappings!L:O,3,FALSE)</f>
        <v>No answer provided</v>
      </c>
      <c r="P435" t="str">
        <f>VLOOKUP(E435,mappings!L:P,4,FALSE)</f>
        <v>No answer provided</v>
      </c>
    </row>
    <row r="436" spans="1:16" x14ac:dyDescent="0.2">
      <c r="A436">
        <v>435</v>
      </c>
      <c r="B436">
        <v>3878115959</v>
      </c>
      <c r="C436" t="s">
        <v>6</v>
      </c>
      <c r="D436" t="s">
        <v>21</v>
      </c>
      <c r="E436" t="s">
        <v>8</v>
      </c>
      <c r="F436" t="s">
        <v>28</v>
      </c>
      <c r="G436" s="2">
        <f>VLOOKUP(F436,mappings!$G$2:$H$6,2,FALSE)</f>
        <v>2</v>
      </c>
      <c r="H436" t="s">
        <v>163</v>
      </c>
      <c r="I436" s="2">
        <f>VLOOKUP(H436,mappings!$D$2:$E$6,2,FALSE)</f>
        <v>3</v>
      </c>
      <c r="J436" t="s">
        <v>36</v>
      </c>
      <c r="K436" t="s">
        <v>39</v>
      </c>
      <c r="L436" s="2">
        <f>VLOOKUP(K436,mappings!$A$2:$B$13,2,FALSE)</f>
        <v>10</v>
      </c>
      <c r="M436" t="s">
        <v>30</v>
      </c>
      <c r="N436" t="str">
        <f>VLOOKUP(E436,mappings!$L$1:$M$110,2,FALSE)</f>
        <v>No answer provided</v>
      </c>
      <c r="O436" t="str">
        <f>VLOOKUP(E436,mappings!L:O,3,FALSE)</f>
        <v>No answer provided</v>
      </c>
      <c r="P436" t="str">
        <f>VLOOKUP(E436,mappings!L:P,4,FALSE)</f>
        <v>No answer provided</v>
      </c>
    </row>
    <row r="437" spans="1:16" x14ac:dyDescent="0.2">
      <c r="A437">
        <v>436</v>
      </c>
      <c r="B437">
        <v>3878114690</v>
      </c>
      <c r="C437" t="s">
        <v>6</v>
      </c>
      <c r="D437" t="s">
        <v>1</v>
      </c>
      <c r="E437" t="s">
        <v>101</v>
      </c>
      <c r="F437" t="s">
        <v>9</v>
      </c>
      <c r="G437" s="2">
        <f>VLOOKUP(F437,mappings!$G$2:$H$6,2,FALSE)</f>
        <v>4</v>
      </c>
      <c r="H437" t="s">
        <v>43</v>
      </c>
      <c r="I437" s="2">
        <f>VLOOKUP(H437,mappings!$D$2:$E$6,2,FALSE)</f>
        <v>4</v>
      </c>
      <c r="J437" t="s">
        <v>36</v>
      </c>
      <c r="K437" t="s">
        <v>13</v>
      </c>
      <c r="L437" s="2">
        <f>VLOOKUP(K437,mappings!$A$2:$B$13,2,FALSE)</f>
        <v>11</v>
      </c>
      <c r="M437" t="s">
        <v>34</v>
      </c>
      <c r="N437" t="str">
        <f>VLOOKUP(E437,mappings!$L$1:$M$110,2,FALSE)</f>
        <v>Yahoo</v>
      </c>
      <c r="O437" t="str">
        <f>VLOOKUP(E437,mappings!L:O,3,FALSE)</f>
        <v>Website</v>
      </c>
      <c r="P437" t="str">
        <f>VLOOKUP(E437,mappings!L:P,4,FALSE)</f>
        <v>Other or unkown</v>
      </c>
    </row>
    <row r="438" spans="1:16" x14ac:dyDescent="0.2">
      <c r="A438">
        <v>437</v>
      </c>
      <c r="B438">
        <v>3878112779</v>
      </c>
      <c r="C438" t="s">
        <v>6</v>
      </c>
      <c r="D438" t="s">
        <v>21</v>
      </c>
      <c r="E438" t="s">
        <v>8</v>
      </c>
      <c r="F438" t="s">
        <v>16</v>
      </c>
      <c r="G438" s="2">
        <f>VLOOKUP(F438,mappings!$G$2:$H$6,2,FALSE)</f>
        <v>3</v>
      </c>
      <c r="H438" t="s">
        <v>43</v>
      </c>
      <c r="I438" s="2">
        <f>VLOOKUP(H438,mappings!$D$2:$E$6,2,FALSE)</f>
        <v>4</v>
      </c>
      <c r="J438" t="s">
        <v>10</v>
      </c>
      <c r="K438" t="s">
        <v>18</v>
      </c>
      <c r="L438" s="2">
        <f>VLOOKUP(K438,mappings!$A$2:$B$13,2,FALSE)</f>
        <v>8</v>
      </c>
      <c r="M438" t="s">
        <v>12</v>
      </c>
      <c r="N438" t="str">
        <f>VLOOKUP(E438,mappings!$L$1:$M$110,2,FALSE)</f>
        <v>No answer provided</v>
      </c>
      <c r="O438" t="str">
        <f>VLOOKUP(E438,mappings!L:O,3,FALSE)</f>
        <v>No answer provided</v>
      </c>
      <c r="P438" t="str">
        <f>VLOOKUP(E438,mappings!L:P,4,FALSE)</f>
        <v>No answer provided</v>
      </c>
    </row>
    <row r="439" spans="1:16" x14ac:dyDescent="0.2">
      <c r="A439">
        <v>438</v>
      </c>
      <c r="B439">
        <v>3878112712</v>
      </c>
      <c r="C439" t="s">
        <v>6</v>
      </c>
      <c r="D439" t="s">
        <v>1</v>
      </c>
      <c r="E439" t="s">
        <v>107</v>
      </c>
      <c r="F439" t="s">
        <v>9</v>
      </c>
      <c r="G439" s="2">
        <f>VLOOKUP(F439,mappings!$G$2:$H$6,2,FALSE)</f>
        <v>4</v>
      </c>
      <c r="H439" t="s">
        <v>163</v>
      </c>
      <c r="I439" s="2">
        <f>VLOOKUP(H439,mappings!$D$2:$E$6,2,FALSE)</f>
        <v>3</v>
      </c>
      <c r="J439" t="s">
        <v>36</v>
      </c>
      <c r="K439" t="s">
        <v>23</v>
      </c>
      <c r="L439" s="2">
        <f>VLOOKUP(K439,mappings!$A$2:$B$13,2,FALSE)</f>
        <v>3</v>
      </c>
      <c r="M439" t="s">
        <v>30</v>
      </c>
      <c r="N439" t="str">
        <f>VLOOKUP(E439,mappings!$L$1:$M$110,2,FALSE)</f>
        <v>Other or unknown</v>
      </c>
      <c r="O439" t="str">
        <f>VLOOKUP(E439,mappings!L:O,3,FALSE)</f>
        <v>App</v>
      </c>
      <c r="P439" t="str">
        <f>VLOOKUP(E439,mappings!L:P,4,FALSE)</f>
        <v>Apple</v>
      </c>
    </row>
    <row r="440" spans="1:16" x14ac:dyDescent="0.2">
      <c r="A440">
        <v>439</v>
      </c>
      <c r="B440">
        <v>3878111554</v>
      </c>
      <c r="C440" t="s">
        <v>6</v>
      </c>
      <c r="D440" t="s">
        <v>31</v>
      </c>
      <c r="E440" t="s">
        <v>8</v>
      </c>
      <c r="F440" t="s">
        <v>22</v>
      </c>
      <c r="G440" s="2">
        <f>VLOOKUP(F440,mappings!$G$2:$H$6,2,FALSE)</f>
        <v>1</v>
      </c>
      <c r="H440" t="s">
        <v>43</v>
      </c>
      <c r="I440" s="2">
        <f>VLOOKUP(H440,mappings!$D$2:$E$6,2,FALSE)</f>
        <v>4</v>
      </c>
      <c r="J440" t="s">
        <v>10</v>
      </c>
      <c r="K440" t="s">
        <v>39</v>
      </c>
      <c r="L440" s="2">
        <f>VLOOKUP(K440,mappings!$A$2:$B$13,2,FALSE)</f>
        <v>10</v>
      </c>
      <c r="M440" t="s">
        <v>24</v>
      </c>
      <c r="N440" t="str">
        <f>VLOOKUP(E440,mappings!$L$1:$M$110,2,FALSE)</f>
        <v>No answer provided</v>
      </c>
      <c r="O440" t="str">
        <f>VLOOKUP(E440,mappings!L:O,3,FALSE)</f>
        <v>No answer provided</v>
      </c>
      <c r="P440" t="str">
        <f>VLOOKUP(E440,mappings!L:P,4,FALSE)</f>
        <v>No answer provided</v>
      </c>
    </row>
    <row r="441" spans="1:16" x14ac:dyDescent="0.2">
      <c r="A441">
        <v>440</v>
      </c>
      <c r="B441">
        <v>3878109491</v>
      </c>
      <c r="C441" t="s">
        <v>6</v>
      </c>
      <c r="D441" t="s">
        <v>7</v>
      </c>
      <c r="E441" t="s">
        <v>8</v>
      </c>
      <c r="F441" t="s">
        <v>22</v>
      </c>
      <c r="G441" s="2">
        <f>VLOOKUP(F441,mappings!$G$2:$H$6,2,FALSE)</f>
        <v>1</v>
      </c>
      <c r="H441" t="s">
        <v>162</v>
      </c>
      <c r="I441" s="2">
        <f>VLOOKUP(H441,mappings!$D$2:$E$6,2,FALSE)</f>
        <v>1</v>
      </c>
      <c r="J441" t="s">
        <v>36</v>
      </c>
      <c r="K441" t="s">
        <v>33</v>
      </c>
      <c r="L441" s="2">
        <f>VLOOKUP(K441,mappings!$A$2:$B$13,2,FALSE)</f>
        <v>5</v>
      </c>
      <c r="M441" t="s">
        <v>30</v>
      </c>
      <c r="N441" t="str">
        <f>VLOOKUP(E441,mappings!$L$1:$M$110,2,FALSE)</f>
        <v>No answer provided</v>
      </c>
      <c r="O441" t="str">
        <f>VLOOKUP(E441,mappings!L:O,3,FALSE)</f>
        <v>No answer provided</v>
      </c>
      <c r="P441" t="str">
        <f>VLOOKUP(E441,mappings!L:P,4,FALSE)</f>
        <v>No answer provided</v>
      </c>
    </row>
    <row r="442" spans="1:16" x14ac:dyDescent="0.2">
      <c r="A442">
        <v>441</v>
      </c>
      <c r="B442">
        <v>3878108075</v>
      </c>
      <c r="C442" t="s">
        <v>6</v>
      </c>
      <c r="D442" t="s">
        <v>1</v>
      </c>
      <c r="E442" t="s">
        <v>89</v>
      </c>
      <c r="F442" t="s">
        <v>9</v>
      </c>
      <c r="G442" s="2">
        <f>VLOOKUP(F442,mappings!$G$2:$H$6,2,FALSE)</f>
        <v>4</v>
      </c>
      <c r="H442" t="s">
        <v>161</v>
      </c>
      <c r="I442" s="2">
        <f>VLOOKUP(H442,mappings!$D$2:$E$6,2,FALSE)</f>
        <v>2</v>
      </c>
      <c r="J442" t="s">
        <v>10</v>
      </c>
      <c r="K442" t="s">
        <v>14</v>
      </c>
      <c r="L442" s="2">
        <f>VLOOKUP(K442,mappings!$A$2:$B$13,2,FALSE)</f>
        <v>6</v>
      </c>
      <c r="M442" t="s">
        <v>12</v>
      </c>
      <c r="N442" t="str">
        <f>VLOOKUP(E442,mappings!$L$1:$M$110,2,FALSE)</f>
        <v>Intellicast</v>
      </c>
      <c r="O442" t="str">
        <f>VLOOKUP(E442,mappings!L:O,3,FALSE)</f>
        <v>Website</v>
      </c>
      <c r="P442" t="str">
        <f>VLOOKUP(E442,mappings!L:P,4,FALSE)</f>
        <v>Other or unkown</v>
      </c>
    </row>
    <row r="443" spans="1:16" x14ac:dyDescent="0.2">
      <c r="A443">
        <v>442</v>
      </c>
      <c r="B443">
        <v>3878104623</v>
      </c>
      <c r="C443" t="s">
        <v>6</v>
      </c>
      <c r="D443" t="s">
        <v>7</v>
      </c>
      <c r="E443" t="s">
        <v>8</v>
      </c>
      <c r="F443" t="s">
        <v>9</v>
      </c>
      <c r="G443" s="2">
        <f>VLOOKUP(F443,mappings!$G$2:$H$6,2,FALSE)</f>
        <v>4</v>
      </c>
      <c r="H443" t="s">
        <v>163</v>
      </c>
      <c r="I443" s="2">
        <f>VLOOKUP(H443,mappings!$D$2:$E$6,2,FALSE)</f>
        <v>3</v>
      </c>
      <c r="J443" t="s">
        <v>36</v>
      </c>
      <c r="K443" t="s">
        <v>23</v>
      </c>
      <c r="L443" s="2">
        <f>VLOOKUP(K443,mappings!$A$2:$B$13,2,FALSE)</f>
        <v>3</v>
      </c>
      <c r="M443" t="s">
        <v>34</v>
      </c>
      <c r="N443" t="str">
        <f>VLOOKUP(E443,mappings!$L$1:$M$110,2,FALSE)</f>
        <v>No answer provided</v>
      </c>
      <c r="O443" t="str">
        <f>VLOOKUP(E443,mappings!L:O,3,FALSE)</f>
        <v>No answer provided</v>
      </c>
      <c r="P443" t="str">
        <f>VLOOKUP(E443,mappings!L:P,4,FALSE)</f>
        <v>No answer provided</v>
      </c>
    </row>
    <row r="444" spans="1:16" x14ac:dyDescent="0.2">
      <c r="A444">
        <v>443</v>
      </c>
      <c r="B444">
        <v>3878102392</v>
      </c>
      <c r="C444" t="s">
        <v>26</v>
      </c>
      <c r="D444" t="s">
        <v>31</v>
      </c>
      <c r="E444" t="s">
        <v>8</v>
      </c>
      <c r="F444" t="s">
        <v>16</v>
      </c>
      <c r="G444" s="2">
        <f>VLOOKUP(F444,mappings!$G$2:$H$6,2,FALSE)</f>
        <v>3</v>
      </c>
      <c r="H444" t="s">
        <v>163</v>
      </c>
      <c r="I444" s="2">
        <f>VLOOKUP(H444,mappings!$D$2:$E$6,2,FALSE)</f>
        <v>3</v>
      </c>
      <c r="J444" t="s">
        <v>36</v>
      </c>
      <c r="K444" t="s">
        <v>48</v>
      </c>
      <c r="L444" s="2">
        <f>VLOOKUP(K444,mappings!$A$2:$B$13,2,FALSE)</f>
        <v>7</v>
      </c>
      <c r="M444" t="s">
        <v>24</v>
      </c>
      <c r="N444" t="str">
        <f>VLOOKUP(E444,mappings!$L$1:$M$110,2,FALSE)</f>
        <v>No answer provided</v>
      </c>
      <c r="O444" t="str">
        <f>VLOOKUP(E444,mappings!L:O,3,FALSE)</f>
        <v>No answer provided</v>
      </c>
      <c r="P444" t="str">
        <f>VLOOKUP(E444,mappings!L:P,4,FALSE)</f>
        <v>No answer provided</v>
      </c>
    </row>
    <row r="445" spans="1:16" x14ac:dyDescent="0.2">
      <c r="A445">
        <v>444</v>
      </c>
      <c r="B445">
        <v>3878099445</v>
      </c>
      <c r="C445" t="s">
        <v>6</v>
      </c>
      <c r="D445" t="s">
        <v>31</v>
      </c>
      <c r="E445" t="s">
        <v>8</v>
      </c>
      <c r="F445" t="s">
        <v>16</v>
      </c>
      <c r="G445" s="2">
        <f>VLOOKUP(F445,mappings!$G$2:$H$6,2,FALSE)</f>
        <v>3</v>
      </c>
      <c r="H445" t="s">
        <v>162</v>
      </c>
      <c r="I445" s="2">
        <f>VLOOKUP(H445,mappings!$D$2:$E$6,2,FALSE)</f>
        <v>1</v>
      </c>
      <c r="J445" t="s">
        <v>36</v>
      </c>
      <c r="K445" t="s">
        <v>32</v>
      </c>
      <c r="L445" s="2">
        <f>VLOOKUP(K445,mappings!$A$2:$B$13,2,FALSE)</f>
        <v>2</v>
      </c>
      <c r="M445" t="s">
        <v>25</v>
      </c>
      <c r="N445" t="str">
        <f>VLOOKUP(E445,mappings!$L$1:$M$110,2,FALSE)</f>
        <v>No answer provided</v>
      </c>
      <c r="O445" t="str">
        <f>VLOOKUP(E445,mappings!L:O,3,FALSE)</f>
        <v>No answer provided</v>
      </c>
      <c r="P445" t="str">
        <f>VLOOKUP(E445,mappings!L:P,4,FALSE)</f>
        <v>No answer provided</v>
      </c>
    </row>
    <row r="446" spans="1:16" x14ac:dyDescent="0.2">
      <c r="A446">
        <v>445</v>
      </c>
      <c r="B446">
        <v>3878099081</v>
      </c>
      <c r="C446" t="s">
        <v>26</v>
      </c>
      <c r="D446" t="s">
        <v>21</v>
      </c>
      <c r="E446" t="s">
        <v>8</v>
      </c>
      <c r="F446" t="s">
        <v>16</v>
      </c>
      <c r="G446" s="2">
        <f>VLOOKUP(F446,mappings!$G$2:$H$6,2,FALSE)</f>
        <v>3</v>
      </c>
      <c r="H446" t="s">
        <v>162</v>
      </c>
      <c r="I446" s="2">
        <f>VLOOKUP(H446,mappings!$D$2:$E$6,2,FALSE)</f>
        <v>1</v>
      </c>
      <c r="J446" t="s">
        <v>10</v>
      </c>
      <c r="K446" t="s">
        <v>32</v>
      </c>
      <c r="L446" s="2">
        <f>VLOOKUP(K446,mappings!$A$2:$B$13,2,FALSE)</f>
        <v>2</v>
      </c>
      <c r="M446" t="s">
        <v>25</v>
      </c>
      <c r="N446" t="str">
        <f>VLOOKUP(E446,mappings!$L$1:$M$110,2,FALSE)</f>
        <v>No answer provided</v>
      </c>
      <c r="O446" t="str">
        <f>VLOOKUP(E446,mappings!L:O,3,FALSE)</f>
        <v>No answer provided</v>
      </c>
      <c r="P446" t="str">
        <f>VLOOKUP(E446,mappings!L:P,4,FALSE)</f>
        <v>No answer provided</v>
      </c>
    </row>
    <row r="447" spans="1:16" x14ac:dyDescent="0.2">
      <c r="A447">
        <v>446</v>
      </c>
      <c r="B447">
        <v>3878098952</v>
      </c>
      <c r="C447" t="s">
        <v>6</v>
      </c>
      <c r="D447" t="s">
        <v>21</v>
      </c>
      <c r="E447" t="s">
        <v>8</v>
      </c>
      <c r="F447" t="s">
        <v>9</v>
      </c>
      <c r="G447" s="2">
        <f>VLOOKUP(F447,mappings!$G$2:$H$6,2,FALSE)</f>
        <v>4</v>
      </c>
      <c r="H447" t="s">
        <v>162</v>
      </c>
      <c r="I447" s="2">
        <f>VLOOKUP(H447,mappings!$D$2:$E$6,2,FALSE)</f>
        <v>1</v>
      </c>
      <c r="J447" t="s">
        <v>36</v>
      </c>
      <c r="K447" t="s">
        <v>13</v>
      </c>
      <c r="L447" s="2">
        <f>VLOOKUP(K447,mappings!$A$2:$B$13,2,FALSE)</f>
        <v>11</v>
      </c>
      <c r="M447" t="s">
        <v>30</v>
      </c>
      <c r="N447" t="str">
        <f>VLOOKUP(E447,mappings!$L$1:$M$110,2,FALSE)</f>
        <v>No answer provided</v>
      </c>
      <c r="O447" t="str">
        <f>VLOOKUP(E447,mappings!L:O,3,FALSE)</f>
        <v>No answer provided</v>
      </c>
      <c r="P447" t="str">
        <f>VLOOKUP(E447,mappings!L:P,4,FALSE)</f>
        <v>No answer provided</v>
      </c>
    </row>
    <row r="448" spans="1:16" x14ac:dyDescent="0.2">
      <c r="A448">
        <v>447</v>
      </c>
      <c r="B448">
        <v>3878098258</v>
      </c>
      <c r="C448" t="s">
        <v>6</v>
      </c>
      <c r="D448" t="s">
        <v>1</v>
      </c>
      <c r="E448" t="s">
        <v>108</v>
      </c>
      <c r="F448" t="s">
        <v>22</v>
      </c>
      <c r="G448" s="2">
        <f>VLOOKUP(F448,mappings!$G$2:$H$6,2,FALSE)</f>
        <v>1</v>
      </c>
      <c r="H448" t="s">
        <v>163</v>
      </c>
      <c r="I448" s="2">
        <f>VLOOKUP(H448,mappings!$D$2:$E$6,2,FALSE)</f>
        <v>3</v>
      </c>
      <c r="J448" t="s">
        <v>10</v>
      </c>
      <c r="K448" t="s">
        <v>14</v>
      </c>
      <c r="L448" s="2">
        <f>VLOOKUP(K448,mappings!$A$2:$B$13,2,FALSE)</f>
        <v>6</v>
      </c>
      <c r="M448" t="s">
        <v>20</v>
      </c>
      <c r="N448" t="str">
        <f>VLOOKUP(E448,mappings!$L$1:$M$110,2,FALSE)</f>
        <v>The Weather Channel</v>
      </c>
      <c r="O448" t="str">
        <f>VLOOKUP(E448,mappings!L:O,3,FALSE)</f>
        <v>App</v>
      </c>
      <c r="P448" t="str">
        <f>VLOOKUP(E448,mappings!L:P,4,FALSE)</f>
        <v>Android</v>
      </c>
    </row>
    <row r="449" spans="1:16" x14ac:dyDescent="0.2">
      <c r="A449">
        <v>448</v>
      </c>
      <c r="B449">
        <v>3878096992</v>
      </c>
      <c r="C449" t="s">
        <v>6</v>
      </c>
      <c r="D449" t="s">
        <v>1</v>
      </c>
      <c r="E449" t="s">
        <v>109</v>
      </c>
      <c r="F449" t="s">
        <v>16</v>
      </c>
      <c r="G449" s="2">
        <f>VLOOKUP(F449,mappings!$G$2:$H$6,2,FALSE)</f>
        <v>3</v>
      </c>
      <c r="H449" t="s">
        <v>43</v>
      </c>
      <c r="I449" s="2">
        <f>VLOOKUP(H449,mappings!$D$2:$E$6,2,FALSE)</f>
        <v>4</v>
      </c>
      <c r="J449" t="s">
        <v>10</v>
      </c>
      <c r="K449" t="s">
        <v>48</v>
      </c>
      <c r="L449" s="2">
        <f>VLOOKUP(K449,mappings!$A$2:$B$13,2,FALSE)</f>
        <v>7</v>
      </c>
      <c r="M449" t="s">
        <v>15</v>
      </c>
      <c r="N449" t="str">
        <f>VLOOKUP(E449,mappings!$L$1:$M$110,2,FALSE)</f>
        <v>NOAA</v>
      </c>
      <c r="O449" t="str">
        <f>VLOOKUP(E449,mappings!L:O,3,FALSE)</f>
        <v>App</v>
      </c>
      <c r="P449" t="str">
        <f>VLOOKUP(E449,mappings!L:P,4,FALSE)</f>
        <v>Other or unkown</v>
      </c>
    </row>
    <row r="450" spans="1:16" x14ac:dyDescent="0.2">
      <c r="A450">
        <v>449</v>
      </c>
      <c r="B450">
        <v>3878096868</v>
      </c>
      <c r="C450" t="s">
        <v>6</v>
      </c>
      <c r="D450" t="s">
        <v>1</v>
      </c>
      <c r="E450" t="s">
        <v>110</v>
      </c>
      <c r="F450" t="s">
        <v>9</v>
      </c>
      <c r="G450" s="2">
        <f>VLOOKUP(F450,mappings!$G$2:$H$6,2,FALSE)</f>
        <v>4</v>
      </c>
      <c r="H450" t="s">
        <v>43</v>
      </c>
      <c r="I450" s="2">
        <f>VLOOKUP(H450,mappings!$D$2:$E$6,2,FALSE)</f>
        <v>4</v>
      </c>
      <c r="J450" t="s">
        <v>10</v>
      </c>
      <c r="K450" t="s">
        <v>23</v>
      </c>
      <c r="L450" s="2">
        <f>VLOOKUP(K450,mappings!$A$2:$B$13,2,FALSE)</f>
        <v>3</v>
      </c>
      <c r="M450" t="s">
        <v>34</v>
      </c>
      <c r="N450" t="str">
        <f>VLOOKUP(E450,mappings!$L$1:$M$110,2,FALSE)</f>
        <v>Yahoo</v>
      </c>
      <c r="O450" t="str">
        <f>VLOOKUP(E450,mappings!L:O,3,FALSE)</f>
        <v>App</v>
      </c>
      <c r="P450" t="str">
        <f>VLOOKUP(E450,mappings!L:P,4,FALSE)</f>
        <v>Apple</v>
      </c>
    </row>
    <row r="451" spans="1:16" x14ac:dyDescent="0.2">
      <c r="A451">
        <v>450</v>
      </c>
      <c r="B451">
        <v>3878095559</v>
      </c>
      <c r="C451" t="s">
        <v>6</v>
      </c>
      <c r="D451" t="s">
        <v>21</v>
      </c>
      <c r="E451" t="s">
        <v>8</v>
      </c>
      <c r="F451" t="s">
        <v>22</v>
      </c>
      <c r="G451" s="2">
        <f>VLOOKUP(F451,mappings!$G$2:$H$6,2,FALSE)</f>
        <v>1</v>
      </c>
      <c r="H451" t="s">
        <v>162</v>
      </c>
      <c r="I451" s="2">
        <f>VLOOKUP(H451,mappings!$D$2:$E$6,2,FALSE)</f>
        <v>1</v>
      </c>
      <c r="J451" t="s">
        <v>36</v>
      </c>
      <c r="K451" t="s">
        <v>23</v>
      </c>
      <c r="L451" s="2">
        <f>VLOOKUP(K451,mappings!$A$2:$B$13,2,FALSE)</f>
        <v>3</v>
      </c>
      <c r="M451" t="s">
        <v>15</v>
      </c>
      <c r="N451" t="str">
        <f>VLOOKUP(E451,mappings!$L$1:$M$110,2,FALSE)</f>
        <v>No answer provided</v>
      </c>
      <c r="O451" t="str">
        <f>VLOOKUP(E451,mappings!L:O,3,FALSE)</f>
        <v>No answer provided</v>
      </c>
      <c r="P451" t="str">
        <f>VLOOKUP(E451,mappings!L:P,4,FALSE)</f>
        <v>No answer provided</v>
      </c>
    </row>
    <row r="452" spans="1:16" x14ac:dyDescent="0.2">
      <c r="A452">
        <v>451</v>
      </c>
      <c r="B452">
        <v>3878094553</v>
      </c>
      <c r="C452" t="s">
        <v>26</v>
      </c>
      <c r="D452" t="s">
        <v>27</v>
      </c>
      <c r="E452" t="s">
        <v>8</v>
      </c>
      <c r="F452" t="s">
        <v>22</v>
      </c>
      <c r="G452" s="2">
        <f>VLOOKUP(F452,mappings!$G$2:$H$6,2,FALSE)</f>
        <v>1</v>
      </c>
      <c r="H452" t="s">
        <v>162</v>
      </c>
      <c r="I452" s="2">
        <f>VLOOKUP(H452,mappings!$D$2:$E$6,2,FALSE)</f>
        <v>1</v>
      </c>
      <c r="J452" t="s">
        <v>10</v>
      </c>
      <c r="K452" t="s">
        <v>13</v>
      </c>
      <c r="L452" s="2">
        <f>VLOOKUP(K452,mappings!$A$2:$B$13,2,FALSE)</f>
        <v>11</v>
      </c>
      <c r="M452" t="s">
        <v>8</v>
      </c>
      <c r="N452" t="str">
        <f>VLOOKUP(E452,mappings!$L$1:$M$110,2,FALSE)</f>
        <v>No answer provided</v>
      </c>
      <c r="O452" t="str">
        <f>VLOOKUP(E452,mappings!L:O,3,FALSE)</f>
        <v>No answer provided</v>
      </c>
      <c r="P452" t="str">
        <f>VLOOKUP(E452,mappings!L:P,4,FALSE)</f>
        <v>No answer provided</v>
      </c>
    </row>
    <row r="453" spans="1:16" x14ac:dyDescent="0.2">
      <c r="A453">
        <v>452</v>
      </c>
      <c r="B453">
        <v>3878093169</v>
      </c>
      <c r="C453" t="s">
        <v>6</v>
      </c>
      <c r="D453" t="s">
        <v>21</v>
      </c>
      <c r="E453" t="s">
        <v>8</v>
      </c>
      <c r="F453" t="s">
        <v>28</v>
      </c>
      <c r="G453" s="2">
        <f>VLOOKUP(F453,mappings!$G$2:$H$6,2,FALSE)</f>
        <v>2</v>
      </c>
      <c r="H453" t="s">
        <v>43</v>
      </c>
      <c r="I453" s="2">
        <f>VLOOKUP(H453,mappings!$D$2:$E$6,2,FALSE)</f>
        <v>4</v>
      </c>
      <c r="J453" t="s">
        <v>10</v>
      </c>
      <c r="K453" t="s">
        <v>32</v>
      </c>
      <c r="L453" s="2">
        <f>VLOOKUP(K453,mappings!$A$2:$B$13,2,FALSE)</f>
        <v>2</v>
      </c>
      <c r="M453" t="s">
        <v>42</v>
      </c>
      <c r="N453" t="str">
        <f>VLOOKUP(E453,mappings!$L$1:$M$110,2,FALSE)</f>
        <v>No answer provided</v>
      </c>
      <c r="O453" t="str">
        <f>VLOOKUP(E453,mappings!L:O,3,FALSE)</f>
        <v>No answer provided</v>
      </c>
      <c r="P453" t="str">
        <f>VLOOKUP(E453,mappings!L:P,4,FALSE)</f>
        <v>No answer provided</v>
      </c>
    </row>
    <row r="454" spans="1:16" x14ac:dyDescent="0.2">
      <c r="A454">
        <v>453</v>
      </c>
      <c r="B454">
        <v>3878093010</v>
      </c>
      <c r="C454" t="s">
        <v>6</v>
      </c>
      <c r="D454" t="s">
        <v>27</v>
      </c>
      <c r="E454" t="s">
        <v>8</v>
      </c>
      <c r="F454" t="s">
        <v>28</v>
      </c>
      <c r="G454" s="2">
        <f>VLOOKUP(F454,mappings!$G$2:$H$6,2,FALSE)</f>
        <v>2</v>
      </c>
      <c r="H454" t="s">
        <v>163</v>
      </c>
      <c r="I454" s="2">
        <f>VLOOKUP(H454,mappings!$D$2:$E$6,2,FALSE)</f>
        <v>3</v>
      </c>
      <c r="J454" t="s">
        <v>10</v>
      </c>
      <c r="K454" t="s">
        <v>33</v>
      </c>
      <c r="L454" s="2">
        <f>VLOOKUP(K454,mappings!$A$2:$B$13,2,FALSE)</f>
        <v>5</v>
      </c>
      <c r="M454" t="s">
        <v>12</v>
      </c>
      <c r="N454" t="str">
        <f>VLOOKUP(E454,mappings!$L$1:$M$110,2,FALSE)</f>
        <v>No answer provided</v>
      </c>
      <c r="O454" t="str">
        <f>VLOOKUP(E454,mappings!L:O,3,FALSE)</f>
        <v>No answer provided</v>
      </c>
      <c r="P454" t="str">
        <f>VLOOKUP(E454,mappings!L:P,4,FALSE)</f>
        <v>No answer provided</v>
      </c>
    </row>
    <row r="455" spans="1:16" x14ac:dyDescent="0.2">
      <c r="A455">
        <v>454</v>
      </c>
      <c r="B455">
        <v>3878089067</v>
      </c>
      <c r="C455" t="s">
        <v>6</v>
      </c>
      <c r="D455" t="s">
        <v>7</v>
      </c>
      <c r="E455" t="s">
        <v>8</v>
      </c>
      <c r="F455" t="s">
        <v>16</v>
      </c>
      <c r="G455" s="2">
        <f>VLOOKUP(F455,mappings!$G$2:$H$6,2,FALSE)</f>
        <v>3</v>
      </c>
      <c r="H455" t="s">
        <v>162</v>
      </c>
      <c r="I455" s="2">
        <f>VLOOKUP(H455,mappings!$D$2:$E$6,2,FALSE)</f>
        <v>1</v>
      </c>
      <c r="J455" t="s">
        <v>36</v>
      </c>
      <c r="K455" t="s">
        <v>32</v>
      </c>
      <c r="L455" s="2">
        <f>VLOOKUP(K455,mappings!$A$2:$B$13,2,FALSE)</f>
        <v>2</v>
      </c>
      <c r="M455" t="s">
        <v>34</v>
      </c>
      <c r="N455" t="str">
        <f>VLOOKUP(E455,mappings!$L$1:$M$110,2,FALSE)</f>
        <v>No answer provided</v>
      </c>
      <c r="O455" t="str">
        <f>VLOOKUP(E455,mappings!L:O,3,FALSE)</f>
        <v>No answer provided</v>
      </c>
      <c r="P455" t="str">
        <f>VLOOKUP(E455,mappings!L:P,4,FALSE)</f>
        <v>No answer provided</v>
      </c>
    </row>
    <row r="456" spans="1:16" x14ac:dyDescent="0.2">
      <c r="A456">
        <v>455</v>
      </c>
      <c r="B456">
        <v>3878088243</v>
      </c>
      <c r="C456" t="s">
        <v>6</v>
      </c>
      <c r="D456" t="s">
        <v>7</v>
      </c>
      <c r="E456" t="s">
        <v>8</v>
      </c>
      <c r="F456" t="s">
        <v>22</v>
      </c>
      <c r="G456" s="2">
        <f>VLOOKUP(F456,mappings!$G$2:$H$6,2,FALSE)</f>
        <v>1</v>
      </c>
      <c r="H456" t="s">
        <v>162</v>
      </c>
      <c r="I456" s="2">
        <f>VLOOKUP(H456,mappings!$D$2:$E$6,2,FALSE)</f>
        <v>1</v>
      </c>
      <c r="J456" t="s">
        <v>36</v>
      </c>
      <c r="K456" t="s">
        <v>32</v>
      </c>
      <c r="L456" s="2">
        <f>VLOOKUP(K456,mappings!$A$2:$B$13,2,FALSE)</f>
        <v>2</v>
      </c>
      <c r="M456" t="s">
        <v>30</v>
      </c>
      <c r="N456" t="str">
        <f>VLOOKUP(E456,mappings!$L$1:$M$110,2,FALSE)</f>
        <v>No answer provided</v>
      </c>
      <c r="O456" t="str">
        <f>VLOOKUP(E456,mappings!L:O,3,FALSE)</f>
        <v>No answer provided</v>
      </c>
      <c r="P456" t="str">
        <f>VLOOKUP(E456,mappings!L:P,4,FALSE)</f>
        <v>No answer provided</v>
      </c>
    </row>
    <row r="457" spans="1:16" x14ac:dyDescent="0.2">
      <c r="A457">
        <v>456</v>
      </c>
      <c r="B457">
        <v>3878086902</v>
      </c>
      <c r="C457" t="s">
        <v>6</v>
      </c>
      <c r="D457" t="s">
        <v>7</v>
      </c>
      <c r="E457" t="s">
        <v>8</v>
      </c>
      <c r="F457" t="s">
        <v>9</v>
      </c>
      <c r="G457" s="2">
        <f>VLOOKUP(F457,mappings!$G$2:$H$6,2,FALSE)</f>
        <v>4</v>
      </c>
      <c r="H457" t="s">
        <v>163</v>
      </c>
      <c r="I457" s="2">
        <f>VLOOKUP(H457,mappings!$D$2:$E$6,2,FALSE)</f>
        <v>3</v>
      </c>
      <c r="J457" t="s">
        <v>10</v>
      </c>
      <c r="K457" t="s">
        <v>33</v>
      </c>
      <c r="L457" s="2">
        <f>VLOOKUP(K457,mappings!$A$2:$B$13,2,FALSE)</f>
        <v>5</v>
      </c>
      <c r="M457" t="s">
        <v>24</v>
      </c>
      <c r="N457" t="str">
        <f>VLOOKUP(E457,mappings!$L$1:$M$110,2,FALSE)</f>
        <v>No answer provided</v>
      </c>
      <c r="O457" t="str">
        <f>VLOOKUP(E457,mappings!L:O,3,FALSE)</f>
        <v>No answer provided</v>
      </c>
      <c r="P457" t="str">
        <f>VLOOKUP(E457,mappings!L:P,4,FALSE)</f>
        <v>No answer provided</v>
      </c>
    </row>
    <row r="458" spans="1:16" x14ac:dyDescent="0.2">
      <c r="A458">
        <v>457</v>
      </c>
      <c r="B458">
        <v>3878086392</v>
      </c>
      <c r="C458" t="s">
        <v>26</v>
      </c>
      <c r="D458" t="s">
        <v>27</v>
      </c>
      <c r="E458" t="s">
        <v>8</v>
      </c>
      <c r="F458" t="s">
        <v>16</v>
      </c>
      <c r="G458" s="2">
        <f>VLOOKUP(F458,mappings!$G$2:$H$6,2,FALSE)</f>
        <v>3</v>
      </c>
      <c r="H458" t="s">
        <v>162</v>
      </c>
      <c r="I458" s="2">
        <f>VLOOKUP(H458,mappings!$D$2:$E$6,2,FALSE)</f>
        <v>1</v>
      </c>
      <c r="J458" t="s">
        <v>36</v>
      </c>
      <c r="K458" t="s">
        <v>13</v>
      </c>
      <c r="L458" s="2">
        <f>VLOOKUP(K458,mappings!$A$2:$B$13,2,FALSE)</f>
        <v>11</v>
      </c>
      <c r="M458" t="s">
        <v>24</v>
      </c>
      <c r="N458" t="str">
        <f>VLOOKUP(E458,mappings!$L$1:$M$110,2,FALSE)</f>
        <v>No answer provided</v>
      </c>
      <c r="O458" t="str">
        <f>VLOOKUP(E458,mappings!L:O,3,FALSE)</f>
        <v>No answer provided</v>
      </c>
      <c r="P458" t="str">
        <f>VLOOKUP(E458,mappings!L:P,4,FALSE)</f>
        <v>No answer provided</v>
      </c>
    </row>
    <row r="459" spans="1:16" x14ac:dyDescent="0.2">
      <c r="A459">
        <v>458</v>
      </c>
      <c r="B459">
        <v>3878085372</v>
      </c>
      <c r="C459" t="s">
        <v>6</v>
      </c>
      <c r="D459" t="s">
        <v>1</v>
      </c>
      <c r="E459" t="s">
        <v>111</v>
      </c>
      <c r="F459" t="s">
        <v>22</v>
      </c>
      <c r="G459" s="2">
        <f>VLOOKUP(F459,mappings!$G$2:$H$6,2,FALSE)</f>
        <v>1</v>
      </c>
      <c r="H459" t="s">
        <v>43</v>
      </c>
      <c r="I459" s="2">
        <f>VLOOKUP(H459,mappings!$D$2:$E$6,2,FALSE)</f>
        <v>4</v>
      </c>
      <c r="J459" t="s">
        <v>36</v>
      </c>
      <c r="K459" t="s">
        <v>11</v>
      </c>
      <c r="L459" s="2">
        <f>VLOOKUP(K459,mappings!$A$2:$B$13,2,FALSE)</f>
        <v>4</v>
      </c>
      <c r="M459" t="s">
        <v>34</v>
      </c>
      <c r="N459" t="str">
        <f>VLOOKUP(E459,mappings!$L$1:$M$110,2,FALSE)</f>
        <v>Other weather site</v>
      </c>
      <c r="O459" t="str">
        <f>VLOOKUP(E459,mappings!L:O,3,FALSE)</f>
        <v>Website</v>
      </c>
      <c r="P459" t="str">
        <f>VLOOKUP(E459,mappings!L:P,4,FALSE)</f>
        <v>Other or unkown</v>
      </c>
    </row>
    <row r="460" spans="1:16" x14ac:dyDescent="0.2">
      <c r="A460">
        <v>459</v>
      </c>
      <c r="B460">
        <v>3878084501</v>
      </c>
      <c r="C460" t="s">
        <v>6</v>
      </c>
      <c r="D460" t="s">
        <v>31</v>
      </c>
      <c r="E460" t="s">
        <v>8</v>
      </c>
      <c r="F460" t="s">
        <v>16</v>
      </c>
      <c r="G460" s="2">
        <f>VLOOKUP(F460,mappings!$G$2:$H$6,2,FALSE)</f>
        <v>3</v>
      </c>
      <c r="H460" t="s">
        <v>161</v>
      </c>
      <c r="I460" s="2">
        <f>VLOOKUP(H460,mappings!$D$2:$E$6,2,FALSE)</f>
        <v>2</v>
      </c>
      <c r="J460" t="s">
        <v>36</v>
      </c>
      <c r="K460" t="s">
        <v>32</v>
      </c>
      <c r="L460" s="2">
        <f>VLOOKUP(K460,mappings!$A$2:$B$13,2,FALSE)</f>
        <v>2</v>
      </c>
      <c r="M460" t="s">
        <v>15</v>
      </c>
      <c r="N460" t="str">
        <f>VLOOKUP(E460,mappings!$L$1:$M$110,2,FALSE)</f>
        <v>No answer provided</v>
      </c>
      <c r="O460" t="str">
        <f>VLOOKUP(E460,mappings!L:O,3,FALSE)</f>
        <v>No answer provided</v>
      </c>
      <c r="P460" t="str">
        <f>VLOOKUP(E460,mappings!L:P,4,FALSE)</f>
        <v>No answer provided</v>
      </c>
    </row>
    <row r="461" spans="1:16" x14ac:dyDescent="0.2">
      <c r="A461">
        <v>460</v>
      </c>
      <c r="B461">
        <v>3878078991</v>
      </c>
      <c r="C461" t="s">
        <v>6</v>
      </c>
      <c r="D461" t="s">
        <v>27</v>
      </c>
      <c r="E461" t="s">
        <v>8</v>
      </c>
      <c r="F461" t="s">
        <v>22</v>
      </c>
      <c r="G461" s="2">
        <f>VLOOKUP(F461,mappings!$G$2:$H$6,2,FALSE)</f>
        <v>1</v>
      </c>
      <c r="H461" t="s">
        <v>161</v>
      </c>
      <c r="I461" s="2">
        <f>VLOOKUP(H461,mappings!$D$2:$E$6,2,FALSE)</f>
        <v>2</v>
      </c>
      <c r="J461" t="s">
        <v>36</v>
      </c>
      <c r="K461" t="s">
        <v>39</v>
      </c>
      <c r="L461" s="2">
        <f>VLOOKUP(K461,mappings!$A$2:$B$13,2,FALSE)</f>
        <v>10</v>
      </c>
      <c r="M461" t="s">
        <v>24</v>
      </c>
      <c r="N461" t="str">
        <f>VLOOKUP(E461,mappings!$L$1:$M$110,2,FALSE)</f>
        <v>No answer provided</v>
      </c>
      <c r="O461" t="str">
        <f>VLOOKUP(E461,mappings!L:O,3,FALSE)</f>
        <v>No answer provided</v>
      </c>
      <c r="P461" t="str">
        <f>VLOOKUP(E461,mappings!L:P,4,FALSE)</f>
        <v>No answer provided</v>
      </c>
    </row>
    <row r="462" spans="1:16" x14ac:dyDescent="0.2">
      <c r="A462">
        <v>461</v>
      </c>
      <c r="B462">
        <v>3878074226</v>
      </c>
      <c r="C462" t="s">
        <v>6</v>
      </c>
      <c r="D462" t="s">
        <v>27</v>
      </c>
      <c r="E462" t="s">
        <v>8</v>
      </c>
      <c r="F462" t="s">
        <v>16</v>
      </c>
      <c r="G462" s="2">
        <f>VLOOKUP(F462,mappings!$G$2:$H$6,2,FALSE)</f>
        <v>3</v>
      </c>
      <c r="H462" t="s">
        <v>43</v>
      </c>
      <c r="I462" s="2">
        <f>VLOOKUP(H462,mappings!$D$2:$E$6,2,FALSE)</f>
        <v>4</v>
      </c>
      <c r="J462" t="s">
        <v>36</v>
      </c>
      <c r="K462" t="s">
        <v>13</v>
      </c>
      <c r="L462" s="2">
        <f>VLOOKUP(K462,mappings!$A$2:$B$13,2,FALSE)</f>
        <v>11</v>
      </c>
      <c r="M462" t="s">
        <v>12</v>
      </c>
      <c r="N462" t="str">
        <f>VLOOKUP(E462,mappings!$L$1:$M$110,2,FALSE)</f>
        <v>No answer provided</v>
      </c>
      <c r="O462" t="str">
        <f>VLOOKUP(E462,mappings!L:O,3,FALSE)</f>
        <v>No answer provided</v>
      </c>
      <c r="P462" t="str">
        <f>VLOOKUP(E462,mappings!L:P,4,FALSE)</f>
        <v>No answer provided</v>
      </c>
    </row>
    <row r="463" spans="1:16" x14ac:dyDescent="0.2">
      <c r="A463">
        <v>462</v>
      </c>
      <c r="B463">
        <v>3878064767</v>
      </c>
      <c r="C463" t="s">
        <v>6</v>
      </c>
      <c r="D463" t="s">
        <v>31</v>
      </c>
      <c r="E463" t="s">
        <v>8</v>
      </c>
      <c r="F463" t="s">
        <v>22</v>
      </c>
      <c r="G463" s="2">
        <f>VLOOKUP(F463,mappings!$G$2:$H$6,2,FALSE)</f>
        <v>1</v>
      </c>
      <c r="H463" t="s">
        <v>43</v>
      </c>
      <c r="I463" s="2">
        <f>VLOOKUP(H463,mappings!$D$2:$E$6,2,FALSE)</f>
        <v>4</v>
      </c>
      <c r="J463" t="s">
        <v>10</v>
      </c>
      <c r="K463" t="s">
        <v>23</v>
      </c>
      <c r="L463" s="2">
        <f>VLOOKUP(K463,mappings!$A$2:$B$13,2,FALSE)</f>
        <v>3</v>
      </c>
      <c r="M463" t="s">
        <v>24</v>
      </c>
      <c r="N463" t="str">
        <f>VLOOKUP(E463,mappings!$L$1:$M$110,2,FALSE)</f>
        <v>No answer provided</v>
      </c>
      <c r="O463" t="str">
        <f>VLOOKUP(E463,mappings!L:O,3,FALSE)</f>
        <v>No answer provided</v>
      </c>
      <c r="P463" t="str">
        <f>VLOOKUP(E463,mappings!L:P,4,FALSE)</f>
        <v>No answer provided</v>
      </c>
    </row>
    <row r="464" spans="1:16" x14ac:dyDescent="0.2">
      <c r="A464">
        <v>463</v>
      </c>
      <c r="B464">
        <v>3878064239</v>
      </c>
      <c r="C464" t="s">
        <v>6</v>
      </c>
      <c r="D464" t="s">
        <v>21</v>
      </c>
      <c r="E464" t="s">
        <v>8</v>
      </c>
      <c r="F464" t="s">
        <v>22</v>
      </c>
      <c r="G464" s="2">
        <f>VLOOKUP(F464,mappings!$G$2:$H$6,2,FALSE)</f>
        <v>1</v>
      </c>
      <c r="H464" t="s">
        <v>43</v>
      </c>
      <c r="I464" s="2">
        <f>VLOOKUP(H464,mappings!$D$2:$E$6,2,FALSE)</f>
        <v>4</v>
      </c>
      <c r="J464" t="s">
        <v>36</v>
      </c>
      <c r="K464" t="s">
        <v>48</v>
      </c>
      <c r="L464" s="2">
        <f>VLOOKUP(K464,mappings!$A$2:$B$13,2,FALSE)</f>
        <v>7</v>
      </c>
      <c r="M464" t="s">
        <v>38</v>
      </c>
      <c r="N464" t="str">
        <f>VLOOKUP(E464,mappings!$L$1:$M$110,2,FALSE)</f>
        <v>No answer provided</v>
      </c>
      <c r="O464" t="str">
        <f>VLOOKUP(E464,mappings!L:O,3,FALSE)</f>
        <v>No answer provided</v>
      </c>
      <c r="P464" t="str">
        <f>VLOOKUP(E464,mappings!L:P,4,FALSE)</f>
        <v>No answer provided</v>
      </c>
    </row>
    <row r="465" spans="1:16" x14ac:dyDescent="0.2">
      <c r="A465">
        <v>464</v>
      </c>
      <c r="B465">
        <v>3878061795</v>
      </c>
      <c r="C465" t="s">
        <v>6</v>
      </c>
      <c r="D465" t="s">
        <v>27</v>
      </c>
      <c r="E465" t="s">
        <v>8</v>
      </c>
      <c r="F465" t="s">
        <v>22</v>
      </c>
      <c r="G465" s="2">
        <f>VLOOKUP(F465,mappings!$G$2:$H$6,2,FALSE)</f>
        <v>1</v>
      </c>
      <c r="H465" t="s">
        <v>43</v>
      </c>
      <c r="I465" s="2">
        <f>VLOOKUP(H465,mappings!$D$2:$E$6,2,FALSE)</f>
        <v>4</v>
      </c>
      <c r="J465" t="s">
        <v>10</v>
      </c>
      <c r="K465" t="s">
        <v>23</v>
      </c>
      <c r="L465" s="2">
        <f>VLOOKUP(K465,mappings!$A$2:$B$13,2,FALSE)</f>
        <v>3</v>
      </c>
      <c r="M465" t="s">
        <v>34</v>
      </c>
      <c r="N465" t="str">
        <f>VLOOKUP(E465,mappings!$L$1:$M$110,2,FALSE)</f>
        <v>No answer provided</v>
      </c>
      <c r="O465" t="str">
        <f>VLOOKUP(E465,mappings!L:O,3,FALSE)</f>
        <v>No answer provided</v>
      </c>
      <c r="P465" t="str">
        <f>VLOOKUP(E465,mappings!L:P,4,FALSE)</f>
        <v>No answer provided</v>
      </c>
    </row>
    <row r="466" spans="1:16" x14ac:dyDescent="0.2">
      <c r="A466">
        <v>465</v>
      </c>
      <c r="B466">
        <v>3878059916</v>
      </c>
      <c r="C466" t="s">
        <v>6</v>
      </c>
      <c r="D466" t="s">
        <v>21</v>
      </c>
      <c r="E466" t="s">
        <v>8</v>
      </c>
      <c r="F466" t="s">
        <v>16</v>
      </c>
      <c r="G466" s="2">
        <f>VLOOKUP(F466,mappings!$G$2:$H$6,2,FALSE)</f>
        <v>3</v>
      </c>
      <c r="H466" t="s">
        <v>163</v>
      </c>
      <c r="I466" s="2">
        <f>VLOOKUP(H466,mappings!$D$2:$E$6,2,FALSE)</f>
        <v>3</v>
      </c>
      <c r="J466" t="s">
        <v>10</v>
      </c>
      <c r="K466" t="s">
        <v>18</v>
      </c>
      <c r="L466" s="2">
        <f>VLOOKUP(K466,mappings!$A$2:$B$13,2,FALSE)</f>
        <v>8</v>
      </c>
      <c r="M466" t="s">
        <v>30</v>
      </c>
      <c r="N466" t="str">
        <f>VLOOKUP(E466,mappings!$L$1:$M$110,2,FALSE)</f>
        <v>No answer provided</v>
      </c>
      <c r="O466" t="str">
        <f>VLOOKUP(E466,mappings!L:O,3,FALSE)</f>
        <v>No answer provided</v>
      </c>
      <c r="P466" t="str">
        <f>VLOOKUP(E466,mappings!L:P,4,FALSE)</f>
        <v>No answer provided</v>
      </c>
    </row>
    <row r="467" spans="1:16" x14ac:dyDescent="0.2">
      <c r="A467">
        <v>466</v>
      </c>
      <c r="B467">
        <v>3878059307</v>
      </c>
      <c r="C467" t="s">
        <v>6</v>
      </c>
      <c r="D467" t="s">
        <v>7</v>
      </c>
      <c r="E467" t="s">
        <v>8</v>
      </c>
      <c r="F467" t="s">
        <v>9</v>
      </c>
      <c r="G467" s="2">
        <f>VLOOKUP(F467,mappings!$G$2:$H$6,2,FALSE)</f>
        <v>4</v>
      </c>
      <c r="H467" t="s">
        <v>43</v>
      </c>
      <c r="I467" s="2">
        <f>VLOOKUP(H467,mappings!$D$2:$E$6,2,FALSE)</f>
        <v>4</v>
      </c>
      <c r="J467" t="s">
        <v>36</v>
      </c>
      <c r="K467" t="s">
        <v>14</v>
      </c>
      <c r="L467" s="2">
        <f>VLOOKUP(K467,mappings!$A$2:$B$13,2,FALSE)</f>
        <v>6</v>
      </c>
      <c r="M467" t="s">
        <v>30</v>
      </c>
      <c r="N467" t="str">
        <f>VLOOKUP(E467,mappings!$L$1:$M$110,2,FALSE)</f>
        <v>No answer provided</v>
      </c>
      <c r="O467" t="str">
        <f>VLOOKUP(E467,mappings!L:O,3,FALSE)</f>
        <v>No answer provided</v>
      </c>
      <c r="P467" t="str">
        <f>VLOOKUP(E467,mappings!L:P,4,FALSE)</f>
        <v>No answer provided</v>
      </c>
    </row>
    <row r="468" spans="1:16" x14ac:dyDescent="0.2">
      <c r="A468">
        <v>467</v>
      </c>
      <c r="B468">
        <v>3878054163</v>
      </c>
      <c r="C468" t="s">
        <v>6</v>
      </c>
      <c r="D468" t="s">
        <v>7</v>
      </c>
      <c r="E468" t="s">
        <v>8</v>
      </c>
      <c r="F468" t="s">
        <v>16</v>
      </c>
      <c r="G468" s="2">
        <f>VLOOKUP(F468,mappings!$G$2:$H$6,2,FALSE)</f>
        <v>3</v>
      </c>
      <c r="H468" t="s">
        <v>43</v>
      </c>
      <c r="I468" s="2">
        <f>VLOOKUP(H468,mappings!$D$2:$E$6,2,FALSE)</f>
        <v>4</v>
      </c>
      <c r="J468" t="s">
        <v>36</v>
      </c>
      <c r="K468" t="s">
        <v>39</v>
      </c>
      <c r="L468" s="2">
        <f>VLOOKUP(K468,mappings!$A$2:$B$13,2,FALSE)</f>
        <v>10</v>
      </c>
      <c r="M468" t="s">
        <v>12</v>
      </c>
      <c r="N468" t="str">
        <f>VLOOKUP(E468,mappings!$L$1:$M$110,2,FALSE)</f>
        <v>No answer provided</v>
      </c>
      <c r="O468" t="str">
        <f>VLOOKUP(E468,mappings!L:O,3,FALSE)</f>
        <v>No answer provided</v>
      </c>
      <c r="P468" t="str">
        <f>VLOOKUP(E468,mappings!L:P,4,FALSE)</f>
        <v>No answer provided</v>
      </c>
    </row>
    <row r="469" spans="1:16" x14ac:dyDescent="0.2">
      <c r="A469">
        <v>468</v>
      </c>
      <c r="B469">
        <v>3878053524</v>
      </c>
      <c r="C469" t="s">
        <v>6</v>
      </c>
      <c r="D469" t="s">
        <v>1</v>
      </c>
      <c r="E469" t="s">
        <v>112</v>
      </c>
      <c r="F469" t="s">
        <v>16</v>
      </c>
      <c r="G469" s="2">
        <f>VLOOKUP(F469,mappings!$G$2:$H$6,2,FALSE)</f>
        <v>3</v>
      </c>
      <c r="H469" t="s">
        <v>162</v>
      </c>
      <c r="I469" s="2">
        <f>VLOOKUP(H469,mappings!$D$2:$E$6,2,FALSE)</f>
        <v>1</v>
      </c>
      <c r="J469" t="s">
        <v>36</v>
      </c>
      <c r="K469" t="s">
        <v>33</v>
      </c>
      <c r="L469" s="2">
        <f>VLOOKUP(K469,mappings!$A$2:$B$13,2,FALSE)</f>
        <v>5</v>
      </c>
      <c r="M469" t="s">
        <v>30</v>
      </c>
      <c r="N469" t="str">
        <f>VLOOKUP(E469,mappings!$L$1:$M$110,2,FALSE)</f>
        <v>Weather Underground</v>
      </c>
      <c r="O469" t="str">
        <f>VLOOKUP(E469,mappings!L:O,3,FALSE)</f>
        <v>App</v>
      </c>
      <c r="P469" t="str">
        <f>VLOOKUP(E469,mappings!L:P,4,FALSE)</f>
        <v>Other or unkown</v>
      </c>
    </row>
    <row r="470" spans="1:16" x14ac:dyDescent="0.2">
      <c r="A470">
        <v>469</v>
      </c>
      <c r="B470">
        <v>3878052764</v>
      </c>
      <c r="C470" t="s">
        <v>6</v>
      </c>
      <c r="D470" t="s">
        <v>1</v>
      </c>
      <c r="E470" t="s">
        <v>69</v>
      </c>
      <c r="F470" t="s">
        <v>22</v>
      </c>
      <c r="G470" s="2">
        <f>VLOOKUP(F470,mappings!$G$2:$H$6,2,FALSE)</f>
        <v>1</v>
      </c>
      <c r="H470" t="s">
        <v>163</v>
      </c>
      <c r="I470" s="2">
        <f>VLOOKUP(H470,mappings!$D$2:$E$6,2,FALSE)</f>
        <v>3</v>
      </c>
      <c r="J470" t="s">
        <v>10</v>
      </c>
      <c r="K470" t="s">
        <v>18</v>
      </c>
      <c r="L470" s="2">
        <f>VLOOKUP(K470,mappings!$A$2:$B$13,2,FALSE)</f>
        <v>8</v>
      </c>
      <c r="M470" t="s">
        <v>24</v>
      </c>
      <c r="N470" t="str">
        <f>VLOOKUP(E470,mappings!$L$1:$M$110,2,FALSE)</f>
        <v>Weatherbug</v>
      </c>
      <c r="O470" t="str">
        <f>VLOOKUP(E470,mappings!L:O,3,FALSE)</f>
        <v>Website</v>
      </c>
      <c r="P470" t="str">
        <f>VLOOKUP(E470,mappings!L:P,4,FALSE)</f>
        <v>Other or unkown</v>
      </c>
    </row>
    <row r="471" spans="1:16" x14ac:dyDescent="0.2">
      <c r="A471">
        <v>470</v>
      </c>
      <c r="B471">
        <v>3878052086</v>
      </c>
      <c r="C471" t="s">
        <v>6</v>
      </c>
      <c r="D471" t="s">
        <v>7</v>
      </c>
      <c r="E471" t="s">
        <v>8</v>
      </c>
      <c r="F471" t="s">
        <v>9</v>
      </c>
      <c r="G471" s="2">
        <f>VLOOKUP(F471,mappings!$G$2:$H$6,2,FALSE)</f>
        <v>4</v>
      </c>
      <c r="H471" t="s">
        <v>161</v>
      </c>
      <c r="I471" s="2">
        <f>VLOOKUP(H471,mappings!$D$2:$E$6,2,FALSE)</f>
        <v>2</v>
      </c>
      <c r="J471" t="s">
        <v>36</v>
      </c>
      <c r="K471" t="s">
        <v>14</v>
      </c>
      <c r="L471" s="2">
        <f>VLOOKUP(K471,mappings!$A$2:$B$13,2,FALSE)</f>
        <v>6</v>
      </c>
      <c r="M471" t="s">
        <v>24</v>
      </c>
      <c r="N471" t="str">
        <f>VLOOKUP(E471,mappings!$L$1:$M$110,2,FALSE)</f>
        <v>No answer provided</v>
      </c>
      <c r="O471" t="str">
        <f>VLOOKUP(E471,mappings!L:O,3,FALSE)</f>
        <v>No answer provided</v>
      </c>
      <c r="P471" t="str">
        <f>VLOOKUP(E471,mappings!L:P,4,FALSE)</f>
        <v>No answer provided</v>
      </c>
    </row>
    <row r="472" spans="1:16" x14ac:dyDescent="0.2">
      <c r="A472">
        <v>471</v>
      </c>
      <c r="B472">
        <v>3878048164</v>
      </c>
      <c r="C472" t="s">
        <v>6</v>
      </c>
      <c r="D472" t="s">
        <v>21</v>
      </c>
      <c r="E472" t="s">
        <v>8</v>
      </c>
      <c r="F472" t="s">
        <v>16</v>
      </c>
      <c r="G472" s="2">
        <f>VLOOKUP(F472,mappings!$G$2:$H$6,2,FALSE)</f>
        <v>3</v>
      </c>
      <c r="H472" t="s">
        <v>163</v>
      </c>
      <c r="I472" s="2">
        <f>VLOOKUP(H472,mappings!$D$2:$E$6,2,FALSE)</f>
        <v>3</v>
      </c>
      <c r="J472" t="s">
        <v>36</v>
      </c>
      <c r="K472" t="s">
        <v>11</v>
      </c>
      <c r="L472" s="2">
        <f>VLOOKUP(K472,mappings!$A$2:$B$13,2,FALSE)</f>
        <v>4</v>
      </c>
      <c r="M472" t="s">
        <v>24</v>
      </c>
      <c r="N472" t="str">
        <f>VLOOKUP(E472,mappings!$L$1:$M$110,2,FALSE)</f>
        <v>No answer provided</v>
      </c>
      <c r="O472" t="str">
        <f>VLOOKUP(E472,mappings!L:O,3,FALSE)</f>
        <v>No answer provided</v>
      </c>
      <c r="P472" t="str">
        <f>VLOOKUP(E472,mappings!L:P,4,FALSE)</f>
        <v>No answer provided</v>
      </c>
    </row>
    <row r="473" spans="1:16" x14ac:dyDescent="0.2">
      <c r="A473">
        <v>472</v>
      </c>
      <c r="B473">
        <v>3878044812</v>
      </c>
      <c r="C473" t="s">
        <v>6</v>
      </c>
      <c r="D473" t="s">
        <v>27</v>
      </c>
      <c r="E473" t="s">
        <v>8</v>
      </c>
      <c r="F473" t="s">
        <v>9</v>
      </c>
      <c r="G473" s="2">
        <f>VLOOKUP(F473,mappings!$G$2:$H$6,2,FALSE)</f>
        <v>4</v>
      </c>
      <c r="H473" t="s">
        <v>162</v>
      </c>
      <c r="I473" s="2">
        <f>VLOOKUP(H473,mappings!$D$2:$E$6,2,FALSE)</f>
        <v>1</v>
      </c>
      <c r="J473" t="s">
        <v>36</v>
      </c>
      <c r="K473" t="s">
        <v>33</v>
      </c>
      <c r="L473" s="2">
        <f>VLOOKUP(K473,mappings!$A$2:$B$13,2,FALSE)</f>
        <v>5</v>
      </c>
      <c r="M473" t="s">
        <v>25</v>
      </c>
      <c r="N473" t="str">
        <f>VLOOKUP(E473,mappings!$L$1:$M$110,2,FALSE)</f>
        <v>No answer provided</v>
      </c>
      <c r="O473" t="str">
        <f>VLOOKUP(E473,mappings!L:O,3,FALSE)</f>
        <v>No answer provided</v>
      </c>
      <c r="P473" t="str">
        <f>VLOOKUP(E473,mappings!L:P,4,FALSE)</f>
        <v>No answer provided</v>
      </c>
    </row>
    <row r="474" spans="1:16" x14ac:dyDescent="0.2">
      <c r="A474">
        <v>473</v>
      </c>
      <c r="B474">
        <v>3878044317</v>
      </c>
      <c r="C474" t="s">
        <v>26</v>
      </c>
      <c r="D474" t="s">
        <v>7</v>
      </c>
      <c r="E474" t="s">
        <v>8</v>
      </c>
      <c r="F474" t="s">
        <v>9</v>
      </c>
      <c r="G474" s="2">
        <f>VLOOKUP(F474,mappings!$G$2:$H$6,2,FALSE)</f>
        <v>4</v>
      </c>
      <c r="H474" t="s">
        <v>163</v>
      </c>
      <c r="I474" s="2">
        <f>VLOOKUP(H474,mappings!$D$2:$E$6,2,FALSE)</f>
        <v>3</v>
      </c>
      <c r="J474" t="s">
        <v>36</v>
      </c>
      <c r="K474" t="s">
        <v>33</v>
      </c>
      <c r="L474" s="2">
        <f>VLOOKUP(K474,mappings!$A$2:$B$13,2,FALSE)</f>
        <v>5</v>
      </c>
      <c r="M474" t="s">
        <v>30</v>
      </c>
      <c r="N474" t="str">
        <f>VLOOKUP(E474,mappings!$L$1:$M$110,2,FALSE)</f>
        <v>No answer provided</v>
      </c>
      <c r="O474" t="str">
        <f>VLOOKUP(E474,mappings!L:O,3,FALSE)</f>
        <v>No answer provided</v>
      </c>
      <c r="P474" t="str">
        <f>VLOOKUP(E474,mappings!L:P,4,FALSE)</f>
        <v>No answer provided</v>
      </c>
    </row>
    <row r="475" spans="1:16" x14ac:dyDescent="0.2">
      <c r="A475">
        <v>474</v>
      </c>
      <c r="B475">
        <v>3878043927</v>
      </c>
      <c r="C475" t="s">
        <v>6</v>
      </c>
      <c r="D475" t="s">
        <v>21</v>
      </c>
      <c r="E475" t="s">
        <v>8</v>
      </c>
      <c r="F475" t="s">
        <v>9</v>
      </c>
      <c r="G475" s="2">
        <f>VLOOKUP(F475,mappings!$G$2:$H$6,2,FALSE)</f>
        <v>4</v>
      </c>
      <c r="H475" t="s">
        <v>163</v>
      </c>
      <c r="I475" s="2">
        <f>VLOOKUP(H475,mappings!$D$2:$E$6,2,FALSE)</f>
        <v>3</v>
      </c>
      <c r="J475" t="s">
        <v>36</v>
      </c>
      <c r="K475" t="s">
        <v>13</v>
      </c>
      <c r="L475" s="2">
        <f>VLOOKUP(K475,mappings!$A$2:$B$13,2,FALSE)</f>
        <v>11</v>
      </c>
      <c r="M475" t="s">
        <v>15</v>
      </c>
      <c r="N475" t="str">
        <f>VLOOKUP(E475,mappings!$L$1:$M$110,2,FALSE)</f>
        <v>No answer provided</v>
      </c>
      <c r="O475" t="str">
        <f>VLOOKUP(E475,mappings!L:O,3,FALSE)</f>
        <v>No answer provided</v>
      </c>
      <c r="P475" t="str">
        <f>VLOOKUP(E475,mappings!L:P,4,FALSE)</f>
        <v>No answer provided</v>
      </c>
    </row>
    <row r="476" spans="1:16" x14ac:dyDescent="0.2">
      <c r="A476">
        <v>475</v>
      </c>
      <c r="B476">
        <v>3878043272</v>
      </c>
      <c r="C476" t="s">
        <v>26</v>
      </c>
      <c r="D476" t="s">
        <v>7</v>
      </c>
      <c r="E476" t="s">
        <v>8</v>
      </c>
      <c r="F476" t="s">
        <v>16</v>
      </c>
      <c r="G476" s="2">
        <f>VLOOKUP(F476,mappings!$G$2:$H$6,2,FALSE)</f>
        <v>3</v>
      </c>
      <c r="H476" t="s">
        <v>162</v>
      </c>
      <c r="I476" s="2">
        <f>VLOOKUP(H476,mappings!$D$2:$E$6,2,FALSE)</f>
        <v>1</v>
      </c>
      <c r="J476" t="s">
        <v>36</v>
      </c>
      <c r="K476" t="s">
        <v>23</v>
      </c>
      <c r="L476" s="2">
        <f>VLOOKUP(K476,mappings!$A$2:$B$13,2,FALSE)</f>
        <v>3</v>
      </c>
      <c r="M476" t="s">
        <v>34</v>
      </c>
      <c r="N476" t="str">
        <f>VLOOKUP(E476,mappings!$L$1:$M$110,2,FALSE)</f>
        <v>No answer provided</v>
      </c>
      <c r="O476" t="str">
        <f>VLOOKUP(E476,mappings!L:O,3,FALSE)</f>
        <v>No answer provided</v>
      </c>
      <c r="P476" t="str">
        <f>VLOOKUP(E476,mappings!L:P,4,FALSE)</f>
        <v>No answer provided</v>
      </c>
    </row>
    <row r="477" spans="1:16" x14ac:dyDescent="0.2">
      <c r="A477">
        <v>476</v>
      </c>
      <c r="B477">
        <v>3878042695</v>
      </c>
      <c r="C477" t="s">
        <v>6</v>
      </c>
      <c r="D477" t="s">
        <v>7</v>
      </c>
      <c r="E477" t="s">
        <v>8</v>
      </c>
      <c r="F477" t="s">
        <v>9</v>
      </c>
      <c r="G477" s="2">
        <f>VLOOKUP(F477,mappings!$G$2:$H$6,2,FALSE)</f>
        <v>4</v>
      </c>
      <c r="H477" t="s">
        <v>162</v>
      </c>
      <c r="I477" s="2">
        <f>VLOOKUP(H477,mappings!$D$2:$E$6,2,FALSE)</f>
        <v>1</v>
      </c>
      <c r="J477" t="s">
        <v>36</v>
      </c>
      <c r="K477" t="s">
        <v>18</v>
      </c>
      <c r="L477" s="2">
        <f>VLOOKUP(K477,mappings!$A$2:$B$13,2,FALSE)</f>
        <v>8</v>
      </c>
      <c r="M477" t="s">
        <v>15</v>
      </c>
      <c r="N477" t="str">
        <f>VLOOKUP(E477,mappings!$L$1:$M$110,2,FALSE)</f>
        <v>No answer provided</v>
      </c>
      <c r="O477" t="str">
        <f>VLOOKUP(E477,mappings!L:O,3,FALSE)</f>
        <v>No answer provided</v>
      </c>
      <c r="P477" t="str">
        <f>VLOOKUP(E477,mappings!L:P,4,FALSE)</f>
        <v>No answer provided</v>
      </c>
    </row>
    <row r="478" spans="1:16" x14ac:dyDescent="0.2">
      <c r="A478">
        <v>477</v>
      </c>
      <c r="B478">
        <v>3878041562</v>
      </c>
      <c r="C478" t="s">
        <v>6</v>
      </c>
      <c r="D478" t="s">
        <v>21</v>
      </c>
      <c r="E478" t="s">
        <v>8</v>
      </c>
      <c r="F478" t="s">
        <v>9</v>
      </c>
      <c r="G478" s="2">
        <f>VLOOKUP(F478,mappings!$G$2:$H$6,2,FALSE)</f>
        <v>4</v>
      </c>
      <c r="H478" t="s">
        <v>163</v>
      </c>
      <c r="I478" s="2">
        <f>VLOOKUP(H478,mappings!$D$2:$E$6,2,FALSE)</f>
        <v>3</v>
      </c>
      <c r="J478" t="s">
        <v>36</v>
      </c>
      <c r="K478" t="s">
        <v>23</v>
      </c>
      <c r="L478" s="2">
        <f>VLOOKUP(K478,mappings!$A$2:$B$13,2,FALSE)</f>
        <v>3</v>
      </c>
      <c r="M478" t="s">
        <v>20</v>
      </c>
      <c r="N478" t="str">
        <f>VLOOKUP(E478,mappings!$L$1:$M$110,2,FALSE)</f>
        <v>No answer provided</v>
      </c>
      <c r="O478" t="str">
        <f>VLOOKUP(E478,mappings!L:O,3,FALSE)</f>
        <v>No answer provided</v>
      </c>
      <c r="P478" t="str">
        <f>VLOOKUP(E478,mappings!L:P,4,FALSE)</f>
        <v>No answer provided</v>
      </c>
    </row>
    <row r="479" spans="1:16" x14ac:dyDescent="0.2">
      <c r="A479">
        <v>478</v>
      </c>
      <c r="B479">
        <v>3878040881</v>
      </c>
      <c r="C479" t="s">
        <v>6</v>
      </c>
      <c r="D479" t="s">
        <v>40</v>
      </c>
      <c r="E479" t="s">
        <v>8</v>
      </c>
      <c r="F479" t="s">
        <v>22</v>
      </c>
      <c r="G479" s="2">
        <f>VLOOKUP(F479,mappings!$G$2:$H$6,2,FALSE)</f>
        <v>1</v>
      </c>
      <c r="H479" t="s">
        <v>163</v>
      </c>
      <c r="I479" s="2">
        <f>VLOOKUP(H479,mappings!$D$2:$E$6,2,FALSE)</f>
        <v>3</v>
      </c>
      <c r="J479" t="s">
        <v>36</v>
      </c>
      <c r="K479" t="s">
        <v>33</v>
      </c>
      <c r="L479" s="2">
        <f>VLOOKUP(K479,mappings!$A$2:$B$13,2,FALSE)</f>
        <v>5</v>
      </c>
      <c r="M479" t="s">
        <v>15</v>
      </c>
      <c r="N479" t="str">
        <f>VLOOKUP(E479,mappings!$L$1:$M$110,2,FALSE)</f>
        <v>No answer provided</v>
      </c>
      <c r="O479" t="str">
        <f>VLOOKUP(E479,mappings!L:O,3,FALSE)</f>
        <v>No answer provided</v>
      </c>
      <c r="P479" t="str">
        <f>VLOOKUP(E479,mappings!L:P,4,FALSE)</f>
        <v>No answer provided</v>
      </c>
    </row>
    <row r="480" spans="1:16" x14ac:dyDescent="0.2">
      <c r="A480">
        <v>479</v>
      </c>
      <c r="B480">
        <v>3878040492</v>
      </c>
      <c r="C480" t="s">
        <v>6</v>
      </c>
      <c r="D480" t="s">
        <v>31</v>
      </c>
      <c r="E480" t="s">
        <v>8</v>
      </c>
      <c r="F480" t="s">
        <v>16</v>
      </c>
      <c r="G480" s="2">
        <f>VLOOKUP(F480,mappings!$G$2:$H$6,2,FALSE)</f>
        <v>3</v>
      </c>
      <c r="H480" t="s">
        <v>161</v>
      </c>
      <c r="I480" s="2">
        <f>VLOOKUP(H480,mappings!$D$2:$E$6,2,FALSE)</f>
        <v>2</v>
      </c>
      <c r="J480" t="s">
        <v>36</v>
      </c>
      <c r="K480" t="s">
        <v>13</v>
      </c>
      <c r="L480" s="2">
        <f>VLOOKUP(K480,mappings!$A$2:$B$13,2,FALSE)</f>
        <v>11</v>
      </c>
      <c r="M480" t="s">
        <v>24</v>
      </c>
      <c r="N480" t="str">
        <f>VLOOKUP(E480,mappings!$L$1:$M$110,2,FALSE)</f>
        <v>No answer provided</v>
      </c>
      <c r="O480" t="str">
        <f>VLOOKUP(E480,mappings!L:O,3,FALSE)</f>
        <v>No answer provided</v>
      </c>
      <c r="P480" t="str">
        <f>VLOOKUP(E480,mappings!L:P,4,FALSE)</f>
        <v>No answer provided</v>
      </c>
    </row>
    <row r="481" spans="1:16" x14ac:dyDescent="0.2">
      <c r="A481">
        <v>480</v>
      </c>
      <c r="B481">
        <v>3878040326</v>
      </c>
      <c r="C481" t="s">
        <v>6</v>
      </c>
      <c r="D481" t="s">
        <v>31</v>
      </c>
      <c r="E481" t="s">
        <v>8</v>
      </c>
      <c r="F481" t="s">
        <v>16</v>
      </c>
      <c r="G481" s="2">
        <f>VLOOKUP(F481,mappings!$G$2:$H$6,2,FALSE)</f>
        <v>3</v>
      </c>
      <c r="H481" t="s">
        <v>161</v>
      </c>
      <c r="I481" s="2">
        <f>VLOOKUP(H481,mappings!$D$2:$E$6,2,FALSE)</f>
        <v>2</v>
      </c>
      <c r="J481" t="s">
        <v>36</v>
      </c>
      <c r="K481" t="s">
        <v>11</v>
      </c>
      <c r="L481" s="2">
        <f>VLOOKUP(K481,mappings!$A$2:$B$13,2,FALSE)</f>
        <v>4</v>
      </c>
      <c r="M481" t="s">
        <v>30</v>
      </c>
      <c r="N481" t="str">
        <f>VLOOKUP(E481,mappings!$L$1:$M$110,2,FALSE)</f>
        <v>No answer provided</v>
      </c>
      <c r="O481" t="str">
        <f>VLOOKUP(E481,mappings!L:O,3,FALSE)</f>
        <v>No answer provided</v>
      </c>
      <c r="P481" t="str">
        <f>VLOOKUP(E481,mappings!L:P,4,FALSE)</f>
        <v>No answer provided</v>
      </c>
    </row>
    <row r="482" spans="1:16" x14ac:dyDescent="0.2">
      <c r="A482">
        <v>481</v>
      </c>
      <c r="B482">
        <v>3878038987</v>
      </c>
      <c r="C482" t="s">
        <v>6</v>
      </c>
      <c r="D482" t="s">
        <v>21</v>
      </c>
      <c r="E482" t="s">
        <v>8</v>
      </c>
      <c r="F482" t="s">
        <v>9</v>
      </c>
      <c r="G482" s="2">
        <f>VLOOKUP(F482,mappings!$G$2:$H$6,2,FALSE)</f>
        <v>4</v>
      </c>
      <c r="H482" t="s">
        <v>163</v>
      </c>
      <c r="I482" s="2">
        <f>VLOOKUP(H482,mappings!$D$2:$E$6,2,FALSE)</f>
        <v>3</v>
      </c>
      <c r="J482" t="s">
        <v>36</v>
      </c>
      <c r="K482" t="s">
        <v>33</v>
      </c>
      <c r="L482" s="2">
        <f>VLOOKUP(K482,mappings!$A$2:$B$13,2,FALSE)</f>
        <v>5</v>
      </c>
      <c r="M482" t="s">
        <v>34</v>
      </c>
      <c r="N482" t="str">
        <f>VLOOKUP(E482,mappings!$L$1:$M$110,2,FALSE)</f>
        <v>No answer provided</v>
      </c>
      <c r="O482" t="str">
        <f>VLOOKUP(E482,mappings!L:O,3,FALSE)</f>
        <v>No answer provided</v>
      </c>
      <c r="P482" t="str">
        <f>VLOOKUP(E482,mappings!L:P,4,FALSE)</f>
        <v>No answer provided</v>
      </c>
    </row>
    <row r="483" spans="1:16" x14ac:dyDescent="0.2">
      <c r="A483">
        <v>482</v>
      </c>
      <c r="B483">
        <v>3878037165</v>
      </c>
      <c r="C483" t="s">
        <v>6</v>
      </c>
      <c r="D483" t="s">
        <v>1</v>
      </c>
      <c r="E483" t="s">
        <v>113</v>
      </c>
      <c r="F483" t="s">
        <v>9</v>
      </c>
      <c r="G483" s="2">
        <f>VLOOKUP(F483,mappings!$G$2:$H$6,2,FALSE)</f>
        <v>4</v>
      </c>
      <c r="H483" t="s">
        <v>161</v>
      </c>
      <c r="I483" s="2">
        <f>VLOOKUP(H483,mappings!$D$2:$E$6,2,FALSE)</f>
        <v>2</v>
      </c>
      <c r="J483" t="s">
        <v>36</v>
      </c>
      <c r="K483" t="s">
        <v>13</v>
      </c>
      <c r="L483" s="2">
        <f>VLOOKUP(K483,mappings!$A$2:$B$13,2,FALSE)</f>
        <v>11</v>
      </c>
      <c r="M483" t="s">
        <v>25</v>
      </c>
      <c r="N483" t="str">
        <f>VLOOKUP(E483,mappings!$L$1:$M$110,2,FALSE)</f>
        <v>Other or unknown</v>
      </c>
      <c r="O483" t="str">
        <f>VLOOKUP(E483,mappings!L:O,3,FALSE)</f>
        <v>App</v>
      </c>
      <c r="P483" t="str">
        <f>VLOOKUP(E483,mappings!L:P,4,FALSE)</f>
        <v>Other or unkown</v>
      </c>
    </row>
    <row r="484" spans="1:16" x14ac:dyDescent="0.2">
      <c r="A484">
        <v>483</v>
      </c>
      <c r="B484">
        <v>3878035259</v>
      </c>
      <c r="C484" t="s">
        <v>6</v>
      </c>
      <c r="D484" t="s">
        <v>31</v>
      </c>
      <c r="E484" t="s">
        <v>8</v>
      </c>
      <c r="F484" t="s">
        <v>9</v>
      </c>
      <c r="G484" s="2">
        <f>VLOOKUP(F484,mappings!$G$2:$H$6,2,FALSE)</f>
        <v>4</v>
      </c>
      <c r="H484" t="s">
        <v>43</v>
      </c>
      <c r="I484" s="2">
        <f>VLOOKUP(H484,mappings!$D$2:$E$6,2,FALSE)</f>
        <v>4</v>
      </c>
      <c r="J484" t="s">
        <v>10</v>
      </c>
      <c r="K484" t="s">
        <v>14</v>
      </c>
      <c r="L484" s="2">
        <f>VLOOKUP(K484,mappings!$A$2:$B$13,2,FALSE)</f>
        <v>6</v>
      </c>
      <c r="M484" t="s">
        <v>24</v>
      </c>
      <c r="N484" t="str">
        <f>VLOOKUP(E484,mappings!$L$1:$M$110,2,FALSE)</f>
        <v>No answer provided</v>
      </c>
      <c r="O484" t="str">
        <f>VLOOKUP(E484,mappings!L:O,3,FALSE)</f>
        <v>No answer provided</v>
      </c>
      <c r="P484" t="str">
        <f>VLOOKUP(E484,mappings!L:P,4,FALSE)</f>
        <v>No answer provided</v>
      </c>
    </row>
    <row r="485" spans="1:16" x14ac:dyDescent="0.2">
      <c r="A485">
        <v>484</v>
      </c>
      <c r="B485">
        <v>3878035151</v>
      </c>
      <c r="C485" t="s">
        <v>6</v>
      </c>
      <c r="D485" t="s">
        <v>1</v>
      </c>
      <c r="E485" t="s">
        <v>50</v>
      </c>
      <c r="F485" t="s">
        <v>16</v>
      </c>
      <c r="G485" s="2">
        <f>VLOOKUP(F485,mappings!$G$2:$H$6,2,FALSE)</f>
        <v>3</v>
      </c>
      <c r="H485" t="s">
        <v>161</v>
      </c>
      <c r="I485" s="2">
        <f>VLOOKUP(H485,mappings!$D$2:$E$6,2,FALSE)</f>
        <v>2</v>
      </c>
      <c r="J485" t="s">
        <v>36</v>
      </c>
      <c r="K485" t="s">
        <v>39</v>
      </c>
      <c r="L485" s="2">
        <f>VLOOKUP(K485,mappings!$A$2:$B$13,2,FALSE)</f>
        <v>10</v>
      </c>
      <c r="M485" t="s">
        <v>30</v>
      </c>
      <c r="N485" t="str">
        <f>VLOOKUP(E485,mappings!$L$1:$M$110,2,FALSE)</f>
        <v>AccuWeather</v>
      </c>
      <c r="O485" t="str">
        <f>VLOOKUP(E485,mappings!L:O,3,FALSE)</f>
        <v>Website</v>
      </c>
      <c r="P485" t="str">
        <f>VLOOKUP(E485,mappings!L:P,4,FALSE)</f>
        <v>Other or unkown</v>
      </c>
    </row>
    <row r="486" spans="1:16" x14ac:dyDescent="0.2">
      <c r="A486">
        <v>485</v>
      </c>
      <c r="B486">
        <v>3878035092</v>
      </c>
      <c r="C486" t="s">
        <v>6</v>
      </c>
      <c r="D486" t="s">
        <v>31</v>
      </c>
      <c r="E486" t="s">
        <v>8</v>
      </c>
      <c r="F486" t="s">
        <v>9</v>
      </c>
      <c r="G486" s="2">
        <f>VLOOKUP(F486,mappings!$G$2:$H$6,2,FALSE)</f>
        <v>4</v>
      </c>
      <c r="H486" t="s">
        <v>161</v>
      </c>
      <c r="I486" s="2">
        <f>VLOOKUP(H486,mappings!$D$2:$E$6,2,FALSE)</f>
        <v>2</v>
      </c>
      <c r="J486" t="s">
        <v>36</v>
      </c>
      <c r="K486" t="s">
        <v>23</v>
      </c>
      <c r="L486" s="2">
        <f>VLOOKUP(K486,mappings!$A$2:$B$13,2,FALSE)</f>
        <v>3</v>
      </c>
      <c r="M486" t="s">
        <v>12</v>
      </c>
      <c r="N486" t="str">
        <f>VLOOKUP(E486,mappings!$L$1:$M$110,2,FALSE)</f>
        <v>No answer provided</v>
      </c>
      <c r="O486" t="str">
        <f>VLOOKUP(E486,mappings!L:O,3,FALSE)</f>
        <v>No answer provided</v>
      </c>
      <c r="P486" t="str">
        <f>VLOOKUP(E486,mappings!L:P,4,FALSE)</f>
        <v>No answer provided</v>
      </c>
    </row>
    <row r="487" spans="1:16" x14ac:dyDescent="0.2">
      <c r="A487">
        <v>486</v>
      </c>
      <c r="B487">
        <v>3878034412</v>
      </c>
      <c r="C487" t="s">
        <v>6</v>
      </c>
      <c r="D487" t="s">
        <v>31</v>
      </c>
      <c r="E487" t="s">
        <v>8</v>
      </c>
      <c r="F487" t="s">
        <v>22</v>
      </c>
      <c r="G487" s="2">
        <f>VLOOKUP(F487,mappings!$G$2:$H$6,2,FALSE)</f>
        <v>1</v>
      </c>
      <c r="H487" t="s">
        <v>43</v>
      </c>
      <c r="I487" s="2">
        <f>VLOOKUP(H487,mappings!$D$2:$E$6,2,FALSE)</f>
        <v>4</v>
      </c>
      <c r="J487" t="s">
        <v>36</v>
      </c>
      <c r="K487" t="s">
        <v>32</v>
      </c>
      <c r="L487" s="2">
        <f>VLOOKUP(K487,mappings!$A$2:$B$13,2,FALSE)</f>
        <v>2</v>
      </c>
      <c r="M487" t="s">
        <v>25</v>
      </c>
      <c r="N487" t="str">
        <f>VLOOKUP(E487,mappings!$L$1:$M$110,2,FALSE)</f>
        <v>No answer provided</v>
      </c>
      <c r="O487" t="str">
        <f>VLOOKUP(E487,mappings!L:O,3,FALSE)</f>
        <v>No answer provided</v>
      </c>
      <c r="P487" t="str">
        <f>VLOOKUP(E487,mappings!L:P,4,FALSE)</f>
        <v>No answer provided</v>
      </c>
    </row>
    <row r="488" spans="1:16" x14ac:dyDescent="0.2">
      <c r="A488">
        <v>487</v>
      </c>
      <c r="B488">
        <v>3878033239</v>
      </c>
      <c r="C488" t="s">
        <v>6</v>
      </c>
      <c r="D488" t="s">
        <v>7</v>
      </c>
      <c r="E488" t="s">
        <v>8</v>
      </c>
      <c r="F488" t="s">
        <v>9</v>
      </c>
      <c r="G488" s="2">
        <f>VLOOKUP(F488,mappings!$G$2:$H$6,2,FALSE)</f>
        <v>4</v>
      </c>
      <c r="H488" t="s">
        <v>162</v>
      </c>
      <c r="I488" s="2">
        <f>VLOOKUP(H488,mappings!$D$2:$E$6,2,FALSE)</f>
        <v>1</v>
      </c>
      <c r="J488" t="s">
        <v>36</v>
      </c>
      <c r="K488" t="s">
        <v>33</v>
      </c>
      <c r="L488" s="2">
        <f>VLOOKUP(K488,mappings!$A$2:$B$13,2,FALSE)</f>
        <v>5</v>
      </c>
      <c r="M488" t="s">
        <v>30</v>
      </c>
      <c r="N488" t="str">
        <f>VLOOKUP(E488,mappings!$L$1:$M$110,2,FALSE)</f>
        <v>No answer provided</v>
      </c>
      <c r="O488" t="str">
        <f>VLOOKUP(E488,mappings!L:O,3,FALSE)</f>
        <v>No answer provided</v>
      </c>
      <c r="P488" t="str">
        <f>VLOOKUP(E488,mappings!L:P,4,FALSE)</f>
        <v>No answer provided</v>
      </c>
    </row>
    <row r="489" spans="1:16" x14ac:dyDescent="0.2">
      <c r="A489">
        <v>488</v>
      </c>
      <c r="B489">
        <v>3878032634</v>
      </c>
      <c r="C489" t="s">
        <v>6</v>
      </c>
      <c r="D489" t="s">
        <v>27</v>
      </c>
      <c r="E489" t="s">
        <v>8</v>
      </c>
      <c r="F489" t="s">
        <v>16</v>
      </c>
      <c r="G489" s="2">
        <f>VLOOKUP(F489,mappings!$G$2:$H$6,2,FALSE)</f>
        <v>3</v>
      </c>
      <c r="H489" t="s">
        <v>162</v>
      </c>
      <c r="I489" s="2">
        <f>VLOOKUP(H489,mappings!$D$2:$E$6,2,FALSE)</f>
        <v>1</v>
      </c>
      <c r="J489" t="s">
        <v>36</v>
      </c>
      <c r="K489" t="s">
        <v>32</v>
      </c>
      <c r="L489" s="2">
        <f>VLOOKUP(K489,mappings!$A$2:$B$13,2,FALSE)</f>
        <v>2</v>
      </c>
      <c r="M489" t="s">
        <v>34</v>
      </c>
      <c r="N489" t="str">
        <f>VLOOKUP(E489,mappings!$L$1:$M$110,2,FALSE)</f>
        <v>No answer provided</v>
      </c>
      <c r="O489" t="str">
        <f>VLOOKUP(E489,mappings!L:O,3,FALSE)</f>
        <v>No answer provided</v>
      </c>
      <c r="P489" t="str">
        <f>VLOOKUP(E489,mappings!L:P,4,FALSE)</f>
        <v>No answer provided</v>
      </c>
    </row>
    <row r="490" spans="1:16" x14ac:dyDescent="0.2">
      <c r="A490">
        <v>489</v>
      </c>
      <c r="B490">
        <v>3878032607</v>
      </c>
      <c r="C490" t="s">
        <v>6</v>
      </c>
      <c r="D490" t="s">
        <v>7</v>
      </c>
      <c r="E490" t="s">
        <v>8</v>
      </c>
      <c r="F490" t="s">
        <v>9</v>
      </c>
      <c r="G490" s="2">
        <f>VLOOKUP(F490,mappings!$G$2:$H$6,2,FALSE)</f>
        <v>4</v>
      </c>
      <c r="H490" t="s">
        <v>43</v>
      </c>
      <c r="I490" s="2">
        <f>VLOOKUP(H490,mappings!$D$2:$E$6,2,FALSE)</f>
        <v>4</v>
      </c>
      <c r="J490" t="s">
        <v>36</v>
      </c>
      <c r="K490" t="s">
        <v>33</v>
      </c>
      <c r="L490" s="2">
        <f>VLOOKUP(K490,mappings!$A$2:$B$13,2,FALSE)</f>
        <v>5</v>
      </c>
      <c r="M490" t="s">
        <v>24</v>
      </c>
      <c r="N490" t="str">
        <f>VLOOKUP(E490,mappings!$L$1:$M$110,2,FALSE)</f>
        <v>No answer provided</v>
      </c>
      <c r="O490" t="str">
        <f>VLOOKUP(E490,mappings!L:O,3,FALSE)</f>
        <v>No answer provided</v>
      </c>
      <c r="P490" t="str">
        <f>VLOOKUP(E490,mappings!L:P,4,FALSE)</f>
        <v>No answer provided</v>
      </c>
    </row>
    <row r="491" spans="1:16" x14ac:dyDescent="0.2">
      <c r="A491">
        <v>490</v>
      </c>
      <c r="B491">
        <v>3878032087</v>
      </c>
      <c r="C491" t="s">
        <v>6</v>
      </c>
      <c r="D491" t="s">
        <v>31</v>
      </c>
      <c r="E491" t="s">
        <v>8</v>
      </c>
      <c r="F491" t="s">
        <v>9</v>
      </c>
      <c r="G491" s="2">
        <f>VLOOKUP(F491,mappings!$G$2:$H$6,2,FALSE)</f>
        <v>4</v>
      </c>
      <c r="H491" t="s">
        <v>163</v>
      </c>
      <c r="I491" s="2">
        <f>VLOOKUP(H491,mappings!$D$2:$E$6,2,FALSE)</f>
        <v>3</v>
      </c>
      <c r="J491" t="s">
        <v>36</v>
      </c>
      <c r="K491" t="s">
        <v>33</v>
      </c>
      <c r="L491" s="2">
        <f>VLOOKUP(K491,mappings!$A$2:$B$13,2,FALSE)</f>
        <v>5</v>
      </c>
      <c r="M491" t="s">
        <v>15</v>
      </c>
      <c r="N491" t="str">
        <f>VLOOKUP(E491,mappings!$L$1:$M$110,2,FALSE)</f>
        <v>No answer provided</v>
      </c>
      <c r="O491" t="str">
        <f>VLOOKUP(E491,mappings!L:O,3,FALSE)</f>
        <v>No answer provided</v>
      </c>
      <c r="P491" t="str">
        <f>VLOOKUP(E491,mappings!L:P,4,FALSE)</f>
        <v>No answer provided</v>
      </c>
    </row>
    <row r="492" spans="1:16" x14ac:dyDescent="0.2">
      <c r="A492">
        <v>491</v>
      </c>
      <c r="B492">
        <v>3878031030</v>
      </c>
      <c r="C492" t="s">
        <v>6</v>
      </c>
      <c r="D492" t="s">
        <v>1</v>
      </c>
      <c r="E492" t="s">
        <v>114</v>
      </c>
      <c r="F492" t="s">
        <v>16</v>
      </c>
      <c r="G492" s="2">
        <f>VLOOKUP(F492,mappings!$G$2:$H$6,2,FALSE)</f>
        <v>3</v>
      </c>
      <c r="H492" t="s">
        <v>161</v>
      </c>
      <c r="I492" s="2">
        <f>VLOOKUP(H492,mappings!$D$2:$E$6,2,FALSE)</f>
        <v>2</v>
      </c>
      <c r="J492" t="s">
        <v>36</v>
      </c>
      <c r="K492" t="s">
        <v>33</v>
      </c>
      <c r="L492" s="2">
        <f>VLOOKUP(K492,mappings!$A$2:$B$13,2,FALSE)</f>
        <v>5</v>
      </c>
      <c r="M492" t="s">
        <v>30</v>
      </c>
      <c r="N492" t="str">
        <f>VLOOKUP(E492,mappings!$L$1:$M$110,2,FALSE)</f>
        <v>Yahoo</v>
      </c>
      <c r="O492" t="str">
        <f>VLOOKUP(E492,mappings!L:O,3,FALSE)</f>
        <v>App</v>
      </c>
      <c r="P492" t="str">
        <f>VLOOKUP(E492,mappings!L:P,4,FALSE)</f>
        <v>Apple</v>
      </c>
    </row>
    <row r="493" spans="1:16" x14ac:dyDescent="0.2">
      <c r="A493">
        <v>492</v>
      </c>
      <c r="B493">
        <v>3878023139</v>
      </c>
      <c r="C493" t="s">
        <v>26</v>
      </c>
      <c r="D493" t="s">
        <v>31</v>
      </c>
      <c r="E493" t="s">
        <v>8</v>
      </c>
      <c r="F493" t="s">
        <v>9</v>
      </c>
      <c r="G493" s="2">
        <f>VLOOKUP(F493,mappings!$G$2:$H$6,2,FALSE)</f>
        <v>4</v>
      </c>
      <c r="H493" t="s">
        <v>162</v>
      </c>
      <c r="I493" s="2">
        <f>VLOOKUP(H493,mappings!$D$2:$E$6,2,FALSE)</f>
        <v>1</v>
      </c>
      <c r="J493" t="s">
        <v>36</v>
      </c>
      <c r="K493" t="s">
        <v>29</v>
      </c>
      <c r="L493" s="2">
        <f>VLOOKUP(K493,mappings!$A$2:$B$13,2,FALSE)</f>
        <v>1</v>
      </c>
      <c r="M493" t="s">
        <v>12</v>
      </c>
      <c r="N493" t="str">
        <f>VLOOKUP(E493,mappings!$L$1:$M$110,2,FALSE)</f>
        <v>No answer provided</v>
      </c>
      <c r="O493" t="str">
        <f>VLOOKUP(E493,mappings!L:O,3,FALSE)</f>
        <v>No answer provided</v>
      </c>
      <c r="P493" t="str">
        <f>VLOOKUP(E493,mappings!L:P,4,FALSE)</f>
        <v>No answer provided</v>
      </c>
    </row>
    <row r="494" spans="1:16" x14ac:dyDescent="0.2">
      <c r="A494">
        <v>493</v>
      </c>
      <c r="B494">
        <v>3878020495</v>
      </c>
      <c r="C494" t="s">
        <v>26</v>
      </c>
      <c r="D494" t="s">
        <v>1</v>
      </c>
      <c r="E494" t="s">
        <v>115</v>
      </c>
      <c r="F494" t="s">
        <v>22</v>
      </c>
      <c r="G494" s="2">
        <f>VLOOKUP(F494,mappings!$G$2:$H$6,2,FALSE)</f>
        <v>1</v>
      </c>
      <c r="H494" t="s">
        <v>163</v>
      </c>
      <c r="I494" s="2">
        <f>VLOOKUP(H494,mappings!$D$2:$E$6,2,FALSE)</f>
        <v>3</v>
      </c>
      <c r="J494" t="s">
        <v>36</v>
      </c>
      <c r="K494" t="s">
        <v>18</v>
      </c>
      <c r="L494" s="2">
        <f>VLOOKUP(K494,mappings!$A$2:$B$13,2,FALSE)</f>
        <v>8</v>
      </c>
      <c r="M494" t="s">
        <v>15</v>
      </c>
      <c r="N494" t="str">
        <f>VLOOKUP(E494,mappings!$L$1:$M$110,2,FALSE)</f>
        <v>National Weather Service</v>
      </c>
      <c r="O494" t="str">
        <f>VLOOKUP(E494,mappings!L:O,3,FALSE)</f>
        <v>Website</v>
      </c>
      <c r="P494" t="str">
        <f>VLOOKUP(E494,mappings!L:P,4,FALSE)</f>
        <v>Other or unkown</v>
      </c>
    </row>
    <row r="495" spans="1:16" x14ac:dyDescent="0.2">
      <c r="A495">
        <v>494</v>
      </c>
      <c r="B495">
        <v>3878020282</v>
      </c>
      <c r="C495" t="s">
        <v>6</v>
      </c>
      <c r="D495" t="s">
        <v>40</v>
      </c>
      <c r="E495" t="s">
        <v>8</v>
      </c>
      <c r="F495" t="s">
        <v>9</v>
      </c>
      <c r="G495" s="2">
        <f>VLOOKUP(F495,mappings!$G$2:$H$6,2,FALSE)</f>
        <v>4</v>
      </c>
      <c r="H495" t="s">
        <v>43</v>
      </c>
      <c r="I495" s="2">
        <f>VLOOKUP(H495,mappings!$D$2:$E$6,2,FALSE)</f>
        <v>4</v>
      </c>
      <c r="J495" t="s">
        <v>36</v>
      </c>
      <c r="K495" t="s">
        <v>14</v>
      </c>
      <c r="L495" s="2">
        <f>VLOOKUP(K495,mappings!$A$2:$B$13,2,FALSE)</f>
        <v>6</v>
      </c>
      <c r="M495" t="s">
        <v>38</v>
      </c>
      <c r="N495" t="str">
        <f>VLOOKUP(E495,mappings!$L$1:$M$110,2,FALSE)</f>
        <v>No answer provided</v>
      </c>
      <c r="O495" t="str">
        <f>VLOOKUP(E495,mappings!L:O,3,FALSE)</f>
        <v>No answer provided</v>
      </c>
      <c r="P495" t="str">
        <f>VLOOKUP(E495,mappings!L:P,4,FALSE)</f>
        <v>No answer provided</v>
      </c>
    </row>
    <row r="496" spans="1:16" x14ac:dyDescent="0.2">
      <c r="A496">
        <v>495</v>
      </c>
      <c r="B496">
        <v>3878019960</v>
      </c>
      <c r="C496" t="s">
        <v>6</v>
      </c>
      <c r="D496" t="s">
        <v>27</v>
      </c>
      <c r="E496" t="s">
        <v>8</v>
      </c>
      <c r="F496" t="s">
        <v>22</v>
      </c>
      <c r="G496" s="2">
        <f>VLOOKUP(F496,mappings!$G$2:$H$6,2,FALSE)</f>
        <v>1</v>
      </c>
      <c r="H496" t="s">
        <v>161</v>
      </c>
      <c r="I496" s="2">
        <f>VLOOKUP(H496,mappings!$D$2:$E$6,2,FALSE)</f>
        <v>2</v>
      </c>
      <c r="J496" t="s">
        <v>36</v>
      </c>
      <c r="K496" t="s">
        <v>14</v>
      </c>
      <c r="L496" s="2">
        <f>VLOOKUP(K496,mappings!$A$2:$B$13,2,FALSE)</f>
        <v>6</v>
      </c>
      <c r="M496" t="s">
        <v>30</v>
      </c>
      <c r="N496" t="str">
        <f>VLOOKUP(E496,mappings!$L$1:$M$110,2,FALSE)</f>
        <v>No answer provided</v>
      </c>
      <c r="O496" t="str">
        <f>VLOOKUP(E496,mappings!L:O,3,FALSE)</f>
        <v>No answer provided</v>
      </c>
      <c r="P496" t="str">
        <f>VLOOKUP(E496,mappings!L:P,4,FALSE)</f>
        <v>No answer provided</v>
      </c>
    </row>
    <row r="497" spans="1:16" x14ac:dyDescent="0.2">
      <c r="A497">
        <v>496</v>
      </c>
      <c r="B497">
        <v>3878019423</v>
      </c>
      <c r="C497" t="s">
        <v>6</v>
      </c>
      <c r="D497" t="s">
        <v>31</v>
      </c>
      <c r="E497" t="s">
        <v>8</v>
      </c>
      <c r="F497" t="s">
        <v>9</v>
      </c>
      <c r="G497" s="2">
        <f>VLOOKUP(F497,mappings!$G$2:$H$6,2,FALSE)</f>
        <v>4</v>
      </c>
      <c r="H497" t="s">
        <v>43</v>
      </c>
      <c r="I497" s="2">
        <f>VLOOKUP(H497,mappings!$D$2:$E$6,2,FALSE)</f>
        <v>4</v>
      </c>
      <c r="J497" t="s">
        <v>36</v>
      </c>
      <c r="K497" t="s">
        <v>39</v>
      </c>
      <c r="L497" s="2">
        <f>VLOOKUP(K497,mappings!$A$2:$B$13,2,FALSE)</f>
        <v>10</v>
      </c>
      <c r="M497" t="s">
        <v>12</v>
      </c>
      <c r="N497" t="str">
        <f>VLOOKUP(E497,mappings!$L$1:$M$110,2,FALSE)</f>
        <v>No answer provided</v>
      </c>
      <c r="O497" t="str">
        <f>VLOOKUP(E497,mappings!L:O,3,FALSE)</f>
        <v>No answer provided</v>
      </c>
      <c r="P497" t="str">
        <f>VLOOKUP(E497,mappings!L:P,4,FALSE)</f>
        <v>No answer provided</v>
      </c>
    </row>
    <row r="498" spans="1:16" x14ac:dyDescent="0.2">
      <c r="A498">
        <v>497</v>
      </c>
      <c r="B498">
        <v>3878018322</v>
      </c>
      <c r="C498" t="s">
        <v>6</v>
      </c>
      <c r="D498" t="s">
        <v>40</v>
      </c>
      <c r="E498" t="s">
        <v>8</v>
      </c>
      <c r="F498" t="s">
        <v>16</v>
      </c>
      <c r="G498" s="2">
        <f>VLOOKUP(F498,mappings!$G$2:$H$6,2,FALSE)</f>
        <v>3</v>
      </c>
      <c r="H498" t="s">
        <v>43</v>
      </c>
      <c r="I498" s="2">
        <f>VLOOKUP(H498,mappings!$D$2:$E$6,2,FALSE)</f>
        <v>4</v>
      </c>
      <c r="J498" t="s">
        <v>10</v>
      </c>
      <c r="K498" t="s">
        <v>13</v>
      </c>
      <c r="L498" s="2">
        <f>VLOOKUP(K498,mappings!$A$2:$B$13,2,FALSE)</f>
        <v>11</v>
      </c>
      <c r="M498" t="s">
        <v>30</v>
      </c>
      <c r="N498" t="str">
        <f>VLOOKUP(E498,mappings!$L$1:$M$110,2,FALSE)</f>
        <v>No answer provided</v>
      </c>
      <c r="O498" t="str">
        <f>VLOOKUP(E498,mappings!L:O,3,FALSE)</f>
        <v>No answer provided</v>
      </c>
      <c r="P498" t="str">
        <f>VLOOKUP(E498,mappings!L:P,4,FALSE)</f>
        <v>No answer provided</v>
      </c>
    </row>
    <row r="499" spans="1:16" x14ac:dyDescent="0.2">
      <c r="A499">
        <v>498</v>
      </c>
      <c r="B499">
        <v>3878018310</v>
      </c>
      <c r="C499" t="s">
        <v>6</v>
      </c>
      <c r="D499" t="s">
        <v>21</v>
      </c>
      <c r="E499" t="s">
        <v>8</v>
      </c>
      <c r="F499" t="s">
        <v>9</v>
      </c>
      <c r="G499" s="2">
        <f>VLOOKUP(F499,mappings!$G$2:$H$6,2,FALSE)</f>
        <v>4</v>
      </c>
      <c r="H499" t="s">
        <v>43</v>
      </c>
      <c r="I499" s="2">
        <f>VLOOKUP(H499,mappings!$D$2:$E$6,2,FALSE)</f>
        <v>4</v>
      </c>
      <c r="J499" t="s">
        <v>10</v>
      </c>
      <c r="K499" t="s">
        <v>48</v>
      </c>
      <c r="L499" s="2">
        <f>VLOOKUP(K499,mappings!$A$2:$B$13,2,FALSE)</f>
        <v>7</v>
      </c>
      <c r="M499" t="s">
        <v>38</v>
      </c>
      <c r="N499" t="str">
        <f>VLOOKUP(E499,mappings!$L$1:$M$110,2,FALSE)</f>
        <v>No answer provided</v>
      </c>
      <c r="O499" t="str">
        <f>VLOOKUP(E499,mappings!L:O,3,FALSE)</f>
        <v>No answer provided</v>
      </c>
      <c r="P499" t="str">
        <f>VLOOKUP(E499,mappings!L:P,4,FALSE)</f>
        <v>No answer provided</v>
      </c>
    </row>
    <row r="500" spans="1:16" x14ac:dyDescent="0.2">
      <c r="A500">
        <v>499</v>
      </c>
      <c r="B500">
        <v>3878016803</v>
      </c>
      <c r="C500" t="s">
        <v>6</v>
      </c>
      <c r="D500" t="s">
        <v>1</v>
      </c>
      <c r="E500" t="s">
        <v>95</v>
      </c>
      <c r="F500" t="s">
        <v>9</v>
      </c>
      <c r="G500" s="2">
        <f>VLOOKUP(F500,mappings!$G$2:$H$6,2,FALSE)</f>
        <v>4</v>
      </c>
      <c r="H500" t="s">
        <v>43</v>
      </c>
      <c r="I500" s="2">
        <f>VLOOKUP(H500,mappings!$D$2:$E$6,2,FALSE)</f>
        <v>4</v>
      </c>
      <c r="J500" t="s">
        <v>36</v>
      </c>
      <c r="K500" t="s">
        <v>13</v>
      </c>
      <c r="L500" s="2">
        <f>VLOOKUP(K500,mappings!$A$2:$B$13,2,FALSE)</f>
        <v>11</v>
      </c>
      <c r="M500" t="s">
        <v>24</v>
      </c>
      <c r="N500" t="str">
        <f>VLOOKUP(E500,mappings!$L$1:$M$110,2,FALSE)</f>
        <v>AccuWeather</v>
      </c>
      <c r="O500" t="str">
        <f>VLOOKUP(E500,mappings!L:O,3,FALSE)</f>
        <v>Website</v>
      </c>
      <c r="P500" t="str">
        <f>VLOOKUP(E500,mappings!L:P,4,FALSE)</f>
        <v>Other or unkown</v>
      </c>
    </row>
    <row r="501" spans="1:16" x14ac:dyDescent="0.2">
      <c r="A501">
        <v>500</v>
      </c>
      <c r="B501">
        <v>3878014756</v>
      </c>
      <c r="C501" t="s">
        <v>6</v>
      </c>
      <c r="D501" t="s">
        <v>31</v>
      </c>
      <c r="E501" t="s">
        <v>8</v>
      </c>
      <c r="F501" t="s">
        <v>16</v>
      </c>
      <c r="G501" s="2">
        <f>VLOOKUP(F501,mappings!$G$2:$H$6,2,FALSE)</f>
        <v>3</v>
      </c>
      <c r="H501" t="s">
        <v>163</v>
      </c>
      <c r="I501" s="2">
        <f>VLOOKUP(H501,mappings!$D$2:$E$6,2,FALSE)</f>
        <v>3</v>
      </c>
      <c r="J501" t="s">
        <v>36</v>
      </c>
      <c r="K501" t="s">
        <v>13</v>
      </c>
      <c r="L501" s="2">
        <f>VLOOKUP(K501,mappings!$A$2:$B$13,2,FALSE)</f>
        <v>11</v>
      </c>
      <c r="M501" t="s">
        <v>30</v>
      </c>
      <c r="N501" t="str">
        <f>VLOOKUP(E501,mappings!$L$1:$M$110,2,FALSE)</f>
        <v>No answer provided</v>
      </c>
      <c r="O501" t="str">
        <f>VLOOKUP(E501,mappings!L:O,3,FALSE)</f>
        <v>No answer provided</v>
      </c>
      <c r="P501" t="str">
        <f>VLOOKUP(E501,mappings!L:P,4,FALSE)</f>
        <v>No answer provided</v>
      </c>
    </row>
    <row r="502" spans="1:16" x14ac:dyDescent="0.2">
      <c r="A502">
        <v>501</v>
      </c>
      <c r="B502">
        <v>3878013956</v>
      </c>
      <c r="C502" t="s">
        <v>6</v>
      </c>
      <c r="D502" t="s">
        <v>1</v>
      </c>
      <c r="E502" t="s">
        <v>70</v>
      </c>
      <c r="F502" t="s">
        <v>9</v>
      </c>
      <c r="G502" s="2">
        <f>VLOOKUP(F502,mappings!$G$2:$H$6,2,FALSE)</f>
        <v>4</v>
      </c>
      <c r="H502" t="s">
        <v>162</v>
      </c>
      <c r="I502" s="2">
        <f>VLOOKUP(H502,mappings!$D$2:$E$6,2,FALSE)</f>
        <v>1</v>
      </c>
      <c r="J502" t="s">
        <v>36</v>
      </c>
      <c r="K502" t="s">
        <v>13</v>
      </c>
      <c r="L502" s="2">
        <f>VLOOKUP(K502,mappings!$A$2:$B$13,2,FALSE)</f>
        <v>11</v>
      </c>
      <c r="M502" t="s">
        <v>12</v>
      </c>
      <c r="N502" t="str">
        <f>VLOOKUP(E502,mappings!$L$1:$M$110,2,FALSE)</f>
        <v>AccuWeather</v>
      </c>
      <c r="O502" t="str">
        <f>VLOOKUP(E502,mappings!L:O,3,FALSE)</f>
        <v>Website</v>
      </c>
      <c r="P502" t="str">
        <f>VLOOKUP(E502,mappings!L:P,4,FALSE)</f>
        <v>Other or unkown</v>
      </c>
    </row>
    <row r="503" spans="1:16" x14ac:dyDescent="0.2">
      <c r="A503">
        <v>502</v>
      </c>
      <c r="B503">
        <v>3878012449</v>
      </c>
      <c r="C503" t="s">
        <v>6</v>
      </c>
      <c r="D503" t="s">
        <v>31</v>
      </c>
      <c r="E503" t="s">
        <v>8</v>
      </c>
      <c r="F503" t="s">
        <v>16</v>
      </c>
      <c r="G503" s="2">
        <f>VLOOKUP(F503,mappings!$G$2:$H$6,2,FALSE)</f>
        <v>3</v>
      </c>
      <c r="H503" t="s">
        <v>163</v>
      </c>
      <c r="I503" s="2">
        <f>VLOOKUP(H503,mappings!$D$2:$E$6,2,FALSE)</f>
        <v>3</v>
      </c>
      <c r="J503" t="s">
        <v>10</v>
      </c>
      <c r="K503" t="s">
        <v>11</v>
      </c>
      <c r="L503" s="2">
        <f>VLOOKUP(K503,mappings!$A$2:$B$13,2,FALSE)</f>
        <v>4</v>
      </c>
      <c r="M503" t="s">
        <v>24</v>
      </c>
      <c r="N503" t="str">
        <f>VLOOKUP(E503,mappings!$L$1:$M$110,2,FALSE)</f>
        <v>No answer provided</v>
      </c>
      <c r="O503" t="str">
        <f>VLOOKUP(E503,mappings!L:O,3,FALSE)</f>
        <v>No answer provided</v>
      </c>
      <c r="P503" t="str">
        <f>VLOOKUP(E503,mappings!L:P,4,FALSE)</f>
        <v>No answer provided</v>
      </c>
    </row>
    <row r="504" spans="1:16" x14ac:dyDescent="0.2">
      <c r="A504">
        <v>503</v>
      </c>
      <c r="B504">
        <v>3878010983</v>
      </c>
      <c r="C504" t="s">
        <v>6</v>
      </c>
      <c r="D504" t="s">
        <v>40</v>
      </c>
      <c r="E504" t="s">
        <v>8</v>
      </c>
      <c r="F504" t="s">
        <v>16</v>
      </c>
      <c r="G504" s="2">
        <f>VLOOKUP(F504,mappings!$G$2:$H$6,2,FALSE)</f>
        <v>3</v>
      </c>
      <c r="H504" t="s">
        <v>163</v>
      </c>
      <c r="I504" s="2">
        <f>VLOOKUP(H504,mappings!$D$2:$E$6,2,FALSE)</f>
        <v>3</v>
      </c>
      <c r="J504" t="s">
        <v>36</v>
      </c>
      <c r="K504" t="s">
        <v>13</v>
      </c>
      <c r="L504" s="2">
        <f>VLOOKUP(K504,mappings!$A$2:$B$13,2,FALSE)</f>
        <v>11</v>
      </c>
      <c r="M504" t="s">
        <v>24</v>
      </c>
      <c r="N504" t="str">
        <f>VLOOKUP(E504,mappings!$L$1:$M$110,2,FALSE)</f>
        <v>No answer provided</v>
      </c>
      <c r="O504" t="str">
        <f>VLOOKUP(E504,mappings!L:O,3,FALSE)</f>
        <v>No answer provided</v>
      </c>
      <c r="P504" t="str">
        <f>VLOOKUP(E504,mappings!L:P,4,FALSE)</f>
        <v>No answer provided</v>
      </c>
    </row>
    <row r="505" spans="1:16" x14ac:dyDescent="0.2">
      <c r="A505">
        <v>504</v>
      </c>
      <c r="B505">
        <v>3878010950</v>
      </c>
      <c r="C505" t="s">
        <v>6</v>
      </c>
      <c r="D505" t="s">
        <v>27</v>
      </c>
      <c r="E505" t="s">
        <v>8</v>
      </c>
      <c r="F505" t="s">
        <v>28</v>
      </c>
      <c r="G505" s="2">
        <f>VLOOKUP(F505,mappings!$G$2:$H$6,2,FALSE)</f>
        <v>2</v>
      </c>
      <c r="H505" t="s">
        <v>43</v>
      </c>
      <c r="I505" s="2">
        <f>VLOOKUP(H505,mappings!$D$2:$E$6,2,FALSE)</f>
        <v>4</v>
      </c>
      <c r="J505" t="s">
        <v>10</v>
      </c>
      <c r="K505" t="s">
        <v>23</v>
      </c>
      <c r="L505" s="2">
        <f>VLOOKUP(K505,mappings!$A$2:$B$13,2,FALSE)</f>
        <v>3</v>
      </c>
      <c r="M505" t="s">
        <v>24</v>
      </c>
      <c r="N505" t="str">
        <f>VLOOKUP(E505,mappings!$L$1:$M$110,2,FALSE)</f>
        <v>No answer provided</v>
      </c>
      <c r="O505" t="str">
        <f>VLOOKUP(E505,mappings!L:O,3,FALSE)</f>
        <v>No answer provided</v>
      </c>
      <c r="P505" t="str">
        <f>VLOOKUP(E505,mappings!L:P,4,FALSE)</f>
        <v>No answer provided</v>
      </c>
    </row>
    <row r="506" spans="1:16" x14ac:dyDescent="0.2">
      <c r="A506">
        <v>505</v>
      </c>
      <c r="B506">
        <v>3878010904</v>
      </c>
      <c r="C506" t="s">
        <v>6</v>
      </c>
      <c r="D506" t="s">
        <v>31</v>
      </c>
      <c r="E506" t="s">
        <v>8</v>
      </c>
      <c r="F506" t="s">
        <v>22</v>
      </c>
      <c r="G506" s="2">
        <f>VLOOKUP(F506,mappings!$G$2:$H$6,2,FALSE)</f>
        <v>1</v>
      </c>
      <c r="H506" t="s">
        <v>43</v>
      </c>
      <c r="I506" s="2">
        <f>VLOOKUP(H506,mappings!$D$2:$E$6,2,FALSE)</f>
        <v>4</v>
      </c>
      <c r="J506" t="s">
        <v>36</v>
      </c>
      <c r="K506" t="s">
        <v>13</v>
      </c>
      <c r="L506" s="2">
        <f>VLOOKUP(K506,mappings!$A$2:$B$13,2,FALSE)</f>
        <v>11</v>
      </c>
      <c r="M506" t="s">
        <v>20</v>
      </c>
      <c r="N506" t="str">
        <f>VLOOKUP(E506,mappings!$L$1:$M$110,2,FALSE)</f>
        <v>No answer provided</v>
      </c>
      <c r="O506" t="str">
        <f>VLOOKUP(E506,mappings!L:O,3,FALSE)</f>
        <v>No answer provided</v>
      </c>
      <c r="P506" t="str">
        <f>VLOOKUP(E506,mappings!L:P,4,FALSE)</f>
        <v>No answer provided</v>
      </c>
    </row>
    <row r="507" spans="1:16" x14ac:dyDescent="0.2">
      <c r="A507">
        <v>506</v>
      </c>
      <c r="B507">
        <v>3878010376</v>
      </c>
      <c r="C507" t="s">
        <v>6</v>
      </c>
      <c r="D507" t="s">
        <v>7</v>
      </c>
      <c r="E507" t="s">
        <v>8</v>
      </c>
      <c r="F507" t="s">
        <v>22</v>
      </c>
      <c r="G507" s="2">
        <f>VLOOKUP(F507,mappings!$G$2:$H$6,2,FALSE)</f>
        <v>1</v>
      </c>
      <c r="H507" t="s">
        <v>161</v>
      </c>
      <c r="I507" s="2">
        <f>VLOOKUP(H507,mappings!$D$2:$E$6,2,FALSE)</f>
        <v>2</v>
      </c>
      <c r="J507" t="s">
        <v>36</v>
      </c>
      <c r="K507" t="s">
        <v>14</v>
      </c>
      <c r="L507" s="2">
        <f>VLOOKUP(K507,mappings!$A$2:$B$13,2,FALSE)</f>
        <v>6</v>
      </c>
      <c r="M507" t="s">
        <v>30</v>
      </c>
      <c r="N507" t="str">
        <f>VLOOKUP(E507,mappings!$L$1:$M$110,2,FALSE)</f>
        <v>No answer provided</v>
      </c>
      <c r="O507" t="str">
        <f>VLOOKUP(E507,mappings!L:O,3,FALSE)</f>
        <v>No answer provided</v>
      </c>
      <c r="P507" t="str">
        <f>VLOOKUP(E507,mappings!L:P,4,FALSE)</f>
        <v>No answer provided</v>
      </c>
    </row>
    <row r="508" spans="1:16" x14ac:dyDescent="0.2">
      <c r="A508">
        <v>507</v>
      </c>
      <c r="B508">
        <v>3878009694</v>
      </c>
      <c r="C508" t="s">
        <v>6</v>
      </c>
      <c r="D508" t="s">
        <v>21</v>
      </c>
      <c r="E508" t="s">
        <v>8</v>
      </c>
      <c r="F508" t="s">
        <v>9</v>
      </c>
      <c r="G508" s="2">
        <f>VLOOKUP(F508,mappings!$G$2:$H$6,2,FALSE)</f>
        <v>4</v>
      </c>
      <c r="H508" t="s">
        <v>43</v>
      </c>
      <c r="I508" s="2">
        <f>VLOOKUP(H508,mappings!$D$2:$E$6,2,FALSE)</f>
        <v>4</v>
      </c>
      <c r="J508" t="s">
        <v>10</v>
      </c>
      <c r="K508" t="s">
        <v>23</v>
      </c>
      <c r="L508" s="2">
        <f>VLOOKUP(K508,mappings!$A$2:$B$13,2,FALSE)</f>
        <v>3</v>
      </c>
      <c r="M508" t="s">
        <v>24</v>
      </c>
      <c r="N508" t="str">
        <f>VLOOKUP(E508,mappings!$L$1:$M$110,2,FALSE)</f>
        <v>No answer provided</v>
      </c>
      <c r="O508" t="str">
        <f>VLOOKUP(E508,mappings!L:O,3,FALSE)</f>
        <v>No answer provided</v>
      </c>
      <c r="P508" t="str">
        <f>VLOOKUP(E508,mappings!L:P,4,FALSE)</f>
        <v>No answer provided</v>
      </c>
    </row>
    <row r="509" spans="1:16" x14ac:dyDescent="0.2">
      <c r="A509">
        <v>508</v>
      </c>
      <c r="B509">
        <v>3878009691</v>
      </c>
      <c r="C509" t="s">
        <v>6</v>
      </c>
      <c r="D509" t="s">
        <v>27</v>
      </c>
      <c r="E509" t="s">
        <v>8</v>
      </c>
      <c r="F509" t="s">
        <v>22</v>
      </c>
      <c r="G509" s="2">
        <f>VLOOKUP(F509,mappings!$G$2:$H$6,2,FALSE)</f>
        <v>1</v>
      </c>
      <c r="H509" t="s">
        <v>161</v>
      </c>
      <c r="I509" s="2">
        <f>VLOOKUP(H509,mappings!$D$2:$E$6,2,FALSE)</f>
        <v>2</v>
      </c>
      <c r="J509" t="s">
        <v>36</v>
      </c>
      <c r="K509" t="s">
        <v>23</v>
      </c>
      <c r="L509" s="2">
        <f>VLOOKUP(K509,mappings!$A$2:$B$13,2,FALSE)</f>
        <v>3</v>
      </c>
      <c r="M509" t="s">
        <v>24</v>
      </c>
      <c r="N509" t="str">
        <f>VLOOKUP(E509,mappings!$L$1:$M$110,2,FALSE)</f>
        <v>No answer provided</v>
      </c>
      <c r="O509" t="str">
        <f>VLOOKUP(E509,mappings!L:O,3,FALSE)</f>
        <v>No answer provided</v>
      </c>
      <c r="P509" t="str">
        <f>VLOOKUP(E509,mappings!L:P,4,FALSE)</f>
        <v>No answer provided</v>
      </c>
    </row>
    <row r="510" spans="1:16" x14ac:dyDescent="0.2">
      <c r="A510">
        <v>509</v>
      </c>
      <c r="B510">
        <v>3878009582</v>
      </c>
      <c r="C510" t="s">
        <v>6</v>
      </c>
      <c r="D510" t="s">
        <v>1</v>
      </c>
      <c r="E510" t="s">
        <v>116</v>
      </c>
      <c r="F510" t="s">
        <v>22</v>
      </c>
      <c r="G510" s="2">
        <f>VLOOKUP(F510,mappings!$G$2:$H$6,2,FALSE)</f>
        <v>1</v>
      </c>
      <c r="H510" t="s">
        <v>163</v>
      </c>
      <c r="I510" s="2">
        <f>VLOOKUP(H510,mappings!$D$2:$E$6,2,FALSE)</f>
        <v>3</v>
      </c>
      <c r="J510" t="s">
        <v>10</v>
      </c>
      <c r="K510" t="s">
        <v>13</v>
      </c>
      <c r="L510" s="2">
        <f>VLOOKUP(K510,mappings!$A$2:$B$13,2,FALSE)</f>
        <v>11</v>
      </c>
      <c r="M510" t="s">
        <v>24</v>
      </c>
      <c r="N510" t="str">
        <f>VLOOKUP(E510,mappings!$L$1:$M$110,2,FALSE)</f>
        <v>The Weather Channel</v>
      </c>
      <c r="O510" t="str">
        <f>VLOOKUP(E510,mappings!L:O,3,FALSE)</f>
        <v>Website</v>
      </c>
      <c r="P510" t="str">
        <f>VLOOKUP(E510,mappings!L:P,4,FALSE)</f>
        <v>Other or unkown</v>
      </c>
    </row>
    <row r="511" spans="1:16" x14ac:dyDescent="0.2">
      <c r="A511">
        <v>510</v>
      </c>
      <c r="B511">
        <v>3878009488</v>
      </c>
      <c r="C511" t="s">
        <v>6</v>
      </c>
      <c r="D511" t="s">
        <v>27</v>
      </c>
      <c r="E511" t="s">
        <v>8</v>
      </c>
      <c r="F511" t="s">
        <v>22</v>
      </c>
      <c r="G511" s="2">
        <f>VLOOKUP(F511,mappings!$G$2:$H$6,2,FALSE)</f>
        <v>1</v>
      </c>
      <c r="H511" t="s">
        <v>43</v>
      </c>
      <c r="I511" s="2">
        <f>VLOOKUP(H511,mappings!$D$2:$E$6,2,FALSE)</f>
        <v>4</v>
      </c>
      <c r="J511" t="s">
        <v>36</v>
      </c>
      <c r="K511" t="s">
        <v>29</v>
      </c>
      <c r="L511" s="2">
        <f>VLOOKUP(K511,mappings!$A$2:$B$13,2,FALSE)</f>
        <v>1</v>
      </c>
      <c r="M511" t="s">
        <v>24</v>
      </c>
      <c r="N511" t="str">
        <f>VLOOKUP(E511,mappings!$L$1:$M$110,2,FALSE)</f>
        <v>No answer provided</v>
      </c>
      <c r="O511" t="str">
        <f>VLOOKUP(E511,mappings!L:O,3,FALSE)</f>
        <v>No answer provided</v>
      </c>
      <c r="P511" t="str">
        <f>VLOOKUP(E511,mappings!L:P,4,FALSE)</f>
        <v>No answer provided</v>
      </c>
    </row>
    <row r="512" spans="1:16" x14ac:dyDescent="0.2">
      <c r="A512">
        <v>511</v>
      </c>
      <c r="B512">
        <v>3878008863</v>
      </c>
      <c r="C512" t="s">
        <v>6</v>
      </c>
      <c r="D512" t="s">
        <v>40</v>
      </c>
      <c r="E512" t="s">
        <v>8</v>
      </c>
      <c r="F512" t="s">
        <v>16</v>
      </c>
      <c r="G512" s="2">
        <f>VLOOKUP(F512,mappings!$G$2:$H$6,2,FALSE)</f>
        <v>3</v>
      </c>
      <c r="H512" t="s">
        <v>43</v>
      </c>
      <c r="I512" s="2">
        <f>VLOOKUP(H512,mappings!$D$2:$E$6,2,FALSE)</f>
        <v>4</v>
      </c>
      <c r="J512" t="s">
        <v>10</v>
      </c>
      <c r="K512" t="s">
        <v>13</v>
      </c>
      <c r="L512" s="2">
        <f>VLOOKUP(K512,mappings!$A$2:$B$13,2,FALSE)</f>
        <v>11</v>
      </c>
      <c r="M512" t="s">
        <v>34</v>
      </c>
      <c r="N512" t="str">
        <f>VLOOKUP(E512,mappings!$L$1:$M$110,2,FALSE)</f>
        <v>No answer provided</v>
      </c>
      <c r="O512" t="str">
        <f>VLOOKUP(E512,mappings!L:O,3,FALSE)</f>
        <v>No answer provided</v>
      </c>
      <c r="P512" t="str">
        <f>VLOOKUP(E512,mappings!L:P,4,FALSE)</f>
        <v>No answer provided</v>
      </c>
    </row>
    <row r="513" spans="1:16" x14ac:dyDescent="0.2">
      <c r="A513">
        <v>512</v>
      </c>
      <c r="B513">
        <v>3878007018</v>
      </c>
      <c r="C513" t="s">
        <v>6</v>
      </c>
      <c r="D513" t="s">
        <v>7</v>
      </c>
      <c r="E513" t="s">
        <v>8</v>
      </c>
      <c r="F513" t="s">
        <v>9</v>
      </c>
      <c r="G513" s="2">
        <f>VLOOKUP(F513,mappings!$G$2:$H$6,2,FALSE)</f>
        <v>4</v>
      </c>
      <c r="H513" t="s">
        <v>43</v>
      </c>
      <c r="I513" s="2">
        <f>VLOOKUP(H513,mappings!$D$2:$E$6,2,FALSE)</f>
        <v>4</v>
      </c>
      <c r="J513" t="s">
        <v>10</v>
      </c>
      <c r="K513" t="s">
        <v>39</v>
      </c>
      <c r="L513" s="2">
        <f>VLOOKUP(K513,mappings!$A$2:$B$13,2,FALSE)</f>
        <v>10</v>
      </c>
      <c r="M513" t="s">
        <v>12</v>
      </c>
      <c r="N513" t="str">
        <f>VLOOKUP(E513,mappings!$L$1:$M$110,2,FALSE)</f>
        <v>No answer provided</v>
      </c>
      <c r="O513" t="str">
        <f>VLOOKUP(E513,mappings!L:O,3,FALSE)</f>
        <v>No answer provided</v>
      </c>
      <c r="P513" t="str">
        <f>VLOOKUP(E513,mappings!L:P,4,FALSE)</f>
        <v>No answer provided</v>
      </c>
    </row>
    <row r="514" spans="1:16" x14ac:dyDescent="0.2">
      <c r="A514">
        <v>513</v>
      </c>
      <c r="B514">
        <v>3878005790</v>
      </c>
      <c r="C514" t="s">
        <v>6</v>
      </c>
      <c r="D514" t="s">
        <v>27</v>
      </c>
      <c r="E514" t="s">
        <v>8</v>
      </c>
      <c r="F514" t="s">
        <v>9</v>
      </c>
      <c r="G514" s="2">
        <f>VLOOKUP(F514,mappings!$G$2:$H$6,2,FALSE)</f>
        <v>4</v>
      </c>
      <c r="H514" t="s">
        <v>162</v>
      </c>
      <c r="I514" s="2">
        <f>VLOOKUP(H514,mappings!$D$2:$E$6,2,FALSE)</f>
        <v>1</v>
      </c>
      <c r="J514" t="s">
        <v>36</v>
      </c>
      <c r="K514" t="s">
        <v>32</v>
      </c>
      <c r="L514" s="2">
        <f>VLOOKUP(K514,mappings!$A$2:$B$13,2,FALSE)</f>
        <v>2</v>
      </c>
      <c r="M514" t="s">
        <v>34</v>
      </c>
      <c r="N514" t="str">
        <f>VLOOKUP(E514,mappings!$L$1:$M$110,2,FALSE)</f>
        <v>No answer provided</v>
      </c>
      <c r="O514" t="str">
        <f>VLOOKUP(E514,mappings!L:O,3,FALSE)</f>
        <v>No answer provided</v>
      </c>
      <c r="P514" t="str">
        <f>VLOOKUP(E514,mappings!L:P,4,FALSE)</f>
        <v>No answer provided</v>
      </c>
    </row>
    <row r="515" spans="1:16" x14ac:dyDescent="0.2">
      <c r="A515">
        <v>514</v>
      </c>
      <c r="B515">
        <v>3878001706</v>
      </c>
      <c r="C515" t="s">
        <v>6</v>
      </c>
      <c r="D515" t="s">
        <v>7</v>
      </c>
      <c r="E515" t="s">
        <v>8</v>
      </c>
      <c r="F515" t="s">
        <v>9</v>
      </c>
      <c r="G515" s="2">
        <f>VLOOKUP(F515,mappings!$G$2:$H$6,2,FALSE)</f>
        <v>4</v>
      </c>
      <c r="H515" t="s">
        <v>162</v>
      </c>
      <c r="I515" s="2">
        <f>VLOOKUP(H515,mappings!$D$2:$E$6,2,FALSE)</f>
        <v>1</v>
      </c>
      <c r="J515" t="s">
        <v>36</v>
      </c>
      <c r="K515" t="s">
        <v>14</v>
      </c>
      <c r="L515" s="2">
        <f>VLOOKUP(K515,mappings!$A$2:$B$13,2,FALSE)</f>
        <v>6</v>
      </c>
      <c r="M515" t="s">
        <v>30</v>
      </c>
      <c r="N515" t="str">
        <f>VLOOKUP(E515,mappings!$L$1:$M$110,2,FALSE)</f>
        <v>No answer provided</v>
      </c>
      <c r="O515" t="str">
        <f>VLOOKUP(E515,mappings!L:O,3,FALSE)</f>
        <v>No answer provided</v>
      </c>
      <c r="P515" t="str">
        <f>VLOOKUP(E515,mappings!L:P,4,FALSE)</f>
        <v>No answer provided</v>
      </c>
    </row>
    <row r="516" spans="1:16" x14ac:dyDescent="0.2">
      <c r="A516">
        <v>515</v>
      </c>
      <c r="B516">
        <v>3877999985</v>
      </c>
      <c r="C516" t="s">
        <v>26</v>
      </c>
      <c r="D516" t="s">
        <v>27</v>
      </c>
      <c r="E516" t="s">
        <v>8</v>
      </c>
      <c r="F516" t="s">
        <v>22</v>
      </c>
      <c r="G516" s="2">
        <f>VLOOKUP(F516,mappings!$G$2:$H$6,2,FALSE)</f>
        <v>1</v>
      </c>
      <c r="H516" t="s">
        <v>163</v>
      </c>
      <c r="I516" s="2">
        <f>VLOOKUP(H516,mappings!$D$2:$E$6,2,FALSE)</f>
        <v>3</v>
      </c>
      <c r="J516" t="s">
        <v>36</v>
      </c>
      <c r="K516" t="s">
        <v>14</v>
      </c>
      <c r="L516" s="2">
        <f>VLOOKUP(K516,mappings!$A$2:$B$13,2,FALSE)</f>
        <v>6</v>
      </c>
      <c r="M516" t="s">
        <v>24</v>
      </c>
      <c r="N516" t="str">
        <f>VLOOKUP(E516,mappings!$L$1:$M$110,2,FALSE)</f>
        <v>No answer provided</v>
      </c>
      <c r="O516" t="str">
        <f>VLOOKUP(E516,mappings!L:O,3,FALSE)</f>
        <v>No answer provided</v>
      </c>
      <c r="P516" t="str">
        <f>VLOOKUP(E516,mappings!L:P,4,FALSE)</f>
        <v>No answer provided</v>
      </c>
    </row>
    <row r="517" spans="1:16" x14ac:dyDescent="0.2">
      <c r="A517">
        <v>516</v>
      </c>
      <c r="B517">
        <v>3877998847</v>
      </c>
      <c r="C517" t="s">
        <v>6</v>
      </c>
      <c r="D517" t="s">
        <v>1</v>
      </c>
      <c r="E517" t="s">
        <v>89</v>
      </c>
      <c r="F517" t="s">
        <v>16</v>
      </c>
      <c r="G517" s="2">
        <f>VLOOKUP(F517,mappings!$G$2:$H$6,2,FALSE)</f>
        <v>3</v>
      </c>
      <c r="H517" t="s">
        <v>43</v>
      </c>
      <c r="I517" s="2">
        <f>VLOOKUP(H517,mappings!$D$2:$E$6,2,FALSE)</f>
        <v>4</v>
      </c>
      <c r="J517" t="s">
        <v>10</v>
      </c>
      <c r="K517" t="s">
        <v>13</v>
      </c>
      <c r="L517" s="2">
        <f>VLOOKUP(K517,mappings!$A$2:$B$13,2,FALSE)</f>
        <v>11</v>
      </c>
      <c r="M517" t="s">
        <v>12</v>
      </c>
      <c r="N517" t="str">
        <f>VLOOKUP(E517,mappings!$L$1:$M$110,2,FALSE)</f>
        <v>Intellicast</v>
      </c>
      <c r="O517" t="str">
        <f>VLOOKUP(E517,mappings!L:O,3,FALSE)</f>
        <v>Website</v>
      </c>
      <c r="P517" t="str">
        <f>VLOOKUP(E517,mappings!L:P,4,FALSE)</f>
        <v>Other or unkown</v>
      </c>
    </row>
    <row r="518" spans="1:16" x14ac:dyDescent="0.2">
      <c r="A518">
        <v>517</v>
      </c>
      <c r="B518">
        <v>3877998797</v>
      </c>
      <c r="C518" t="s">
        <v>6</v>
      </c>
      <c r="D518" t="s">
        <v>21</v>
      </c>
      <c r="E518" t="s">
        <v>8</v>
      </c>
      <c r="F518" t="s">
        <v>9</v>
      </c>
      <c r="G518" s="2">
        <f>VLOOKUP(F518,mappings!$G$2:$H$6,2,FALSE)</f>
        <v>4</v>
      </c>
      <c r="H518" t="s">
        <v>162</v>
      </c>
      <c r="I518" s="2">
        <f>VLOOKUP(H518,mappings!$D$2:$E$6,2,FALSE)</f>
        <v>1</v>
      </c>
      <c r="J518" t="s">
        <v>36</v>
      </c>
      <c r="K518" t="s">
        <v>32</v>
      </c>
      <c r="L518" s="2">
        <f>VLOOKUP(K518,mappings!$A$2:$B$13,2,FALSE)</f>
        <v>2</v>
      </c>
      <c r="M518" t="s">
        <v>20</v>
      </c>
      <c r="N518" t="str">
        <f>VLOOKUP(E518,mappings!$L$1:$M$110,2,FALSE)</f>
        <v>No answer provided</v>
      </c>
      <c r="O518" t="str">
        <f>VLOOKUP(E518,mappings!L:O,3,FALSE)</f>
        <v>No answer provided</v>
      </c>
      <c r="P518" t="str">
        <f>VLOOKUP(E518,mappings!L:P,4,FALSE)</f>
        <v>No answer provided</v>
      </c>
    </row>
    <row r="519" spans="1:16" x14ac:dyDescent="0.2">
      <c r="A519">
        <v>518</v>
      </c>
      <c r="B519">
        <v>3877997607</v>
      </c>
      <c r="C519" t="s">
        <v>6</v>
      </c>
      <c r="D519" t="s">
        <v>21</v>
      </c>
      <c r="E519" t="s">
        <v>8</v>
      </c>
      <c r="F519" t="s">
        <v>9</v>
      </c>
      <c r="G519" s="2">
        <f>VLOOKUP(F519,mappings!$G$2:$H$6,2,FALSE)</f>
        <v>4</v>
      </c>
      <c r="H519" t="s">
        <v>162</v>
      </c>
      <c r="I519" s="2">
        <f>VLOOKUP(H519,mappings!$D$2:$E$6,2,FALSE)</f>
        <v>1</v>
      </c>
      <c r="J519" t="s">
        <v>36</v>
      </c>
      <c r="K519" t="s">
        <v>13</v>
      </c>
      <c r="L519" s="2">
        <f>VLOOKUP(K519,mappings!$A$2:$B$13,2,FALSE)</f>
        <v>11</v>
      </c>
      <c r="M519" t="s">
        <v>30</v>
      </c>
      <c r="N519" t="str">
        <f>VLOOKUP(E519,mappings!$L$1:$M$110,2,FALSE)</f>
        <v>No answer provided</v>
      </c>
      <c r="O519" t="str">
        <f>VLOOKUP(E519,mappings!L:O,3,FALSE)</f>
        <v>No answer provided</v>
      </c>
      <c r="P519" t="str">
        <f>VLOOKUP(E519,mappings!L:P,4,FALSE)</f>
        <v>No answer provided</v>
      </c>
    </row>
    <row r="520" spans="1:16" x14ac:dyDescent="0.2">
      <c r="A520">
        <v>519</v>
      </c>
      <c r="B520">
        <v>3877996677</v>
      </c>
      <c r="C520" t="s">
        <v>26</v>
      </c>
      <c r="D520" t="s">
        <v>31</v>
      </c>
      <c r="E520" t="s">
        <v>8</v>
      </c>
      <c r="F520" t="s">
        <v>22</v>
      </c>
      <c r="G520" s="2">
        <f>VLOOKUP(F520,mappings!$G$2:$H$6,2,FALSE)</f>
        <v>1</v>
      </c>
      <c r="H520" t="s">
        <v>43</v>
      </c>
      <c r="I520" s="2">
        <f>VLOOKUP(H520,mappings!$D$2:$E$6,2,FALSE)</f>
        <v>4</v>
      </c>
      <c r="J520" t="s">
        <v>10</v>
      </c>
      <c r="K520" t="s">
        <v>11</v>
      </c>
      <c r="L520" s="2">
        <f>VLOOKUP(K520,mappings!$A$2:$B$13,2,FALSE)</f>
        <v>4</v>
      </c>
      <c r="M520" t="s">
        <v>20</v>
      </c>
      <c r="N520" t="str">
        <f>VLOOKUP(E520,mappings!$L$1:$M$110,2,FALSE)</f>
        <v>No answer provided</v>
      </c>
      <c r="O520" t="str">
        <f>VLOOKUP(E520,mappings!L:O,3,FALSE)</f>
        <v>No answer provided</v>
      </c>
      <c r="P520" t="str">
        <f>VLOOKUP(E520,mappings!L:P,4,FALSE)</f>
        <v>No answer provided</v>
      </c>
    </row>
    <row r="521" spans="1:16" x14ac:dyDescent="0.2">
      <c r="A521">
        <v>520</v>
      </c>
      <c r="B521">
        <v>3877995949</v>
      </c>
      <c r="C521" t="s">
        <v>6</v>
      </c>
      <c r="D521" t="s">
        <v>21</v>
      </c>
      <c r="E521" t="s">
        <v>8</v>
      </c>
      <c r="F521" t="s">
        <v>28</v>
      </c>
      <c r="G521" s="2">
        <f>VLOOKUP(F521,mappings!$G$2:$H$6,2,FALSE)</f>
        <v>2</v>
      </c>
      <c r="H521" t="s">
        <v>163</v>
      </c>
      <c r="I521" s="2">
        <f>VLOOKUP(H521,mappings!$D$2:$E$6,2,FALSE)</f>
        <v>3</v>
      </c>
      <c r="J521" t="s">
        <v>36</v>
      </c>
      <c r="K521" t="s">
        <v>33</v>
      </c>
      <c r="L521" s="2">
        <f>VLOOKUP(K521,mappings!$A$2:$B$13,2,FALSE)</f>
        <v>5</v>
      </c>
      <c r="M521" t="s">
        <v>24</v>
      </c>
      <c r="N521" t="str">
        <f>VLOOKUP(E521,mappings!$L$1:$M$110,2,FALSE)</f>
        <v>No answer provided</v>
      </c>
      <c r="O521" t="str">
        <f>VLOOKUP(E521,mappings!L:O,3,FALSE)</f>
        <v>No answer provided</v>
      </c>
      <c r="P521" t="str">
        <f>VLOOKUP(E521,mappings!L:P,4,FALSE)</f>
        <v>No answer provided</v>
      </c>
    </row>
    <row r="522" spans="1:16" x14ac:dyDescent="0.2">
      <c r="A522">
        <v>521</v>
      </c>
      <c r="B522">
        <v>3877995873</v>
      </c>
      <c r="C522" t="s">
        <v>6</v>
      </c>
      <c r="D522" t="s">
        <v>21</v>
      </c>
      <c r="E522" t="s">
        <v>8</v>
      </c>
      <c r="F522" t="s">
        <v>9</v>
      </c>
      <c r="G522" s="2">
        <f>VLOOKUP(F522,mappings!$G$2:$H$6,2,FALSE)</f>
        <v>4</v>
      </c>
      <c r="H522" t="s">
        <v>163</v>
      </c>
      <c r="I522" s="2">
        <f>VLOOKUP(H522,mappings!$D$2:$E$6,2,FALSE)</f>
        <v>3</v>
      </c>
      <c r="J522" t="s">
        <v>10</v>
      </c>
      <c r="K522" t="s">
        <v>11</v>
      </c>
      <c r="L522" s="2">
        <f>VLOOKUP(K522,mappings!$A$2:$B$13,2,FALSE)</f>
        <v>4</v>
      </c>
      <c r="M522" t="s">
        <v>30</v>
      </c>
      <c r="N522" t="str">
        <f>VLOOKUP(E522,mappings!$L$1:$M$110,2,FALSE)</f>
        <v>No answer provided</v>
      </c>
      <c r="O522" t="str">
        <f>VLOOKUP(E522,mappings!L:O,3,FALSE)</f>
        <v>No answer provided</v>
      </c>
      <c r="P522" t="str">
        <f>VLOOKUP(E522,mappings!L:P,4,FALSE)</f>
        <v>No answer provided</v>
      </c>
    </row>
    <row r="523" spans="1:16" x14ac:dyDescent="0.2">
      <c r="A523">
        <v>522</v>
      </c>
      <c r="B523">
        <v>3877994295</v>
      </c>
      <c r="C523" t="s">
        <v>26</v>
      </c>
      <c r="D523" t="s">
        <v>21</v>
      </c>
      <c r="E523" t="s">
        <v>8</v>
      </c>
      <c r="F523" t="s">
        <v>16</v>
      </c>
      <c r="G523" s="2">
        <f>VLOOKUP(F523,mappings!$G$2:$H$6,2,FALSE)</f>
        <v>3</v>
      </c>
      <c r="H523" t="s">
        <v>162</v>
      </c>
      <c r="I523" s="2">
        <f>VLOOKUP(H523,mappings!$D$2:$E$6,2,FALSE)</f>
        <v>1</v>
      </c>
      <c r="J523" t="s">
        <v>36</v>
      </c>
      <c r="K523" t="s">
        <v>13</v>
      </c>
      <c r="L523" s="2">
        <f>VLOOKUP(K523,mappings!$A$2:$B$13,2,FALSE)</f>
        <v>11</v>
      </c>
      <c r="M523" t="s">
        <v>12</v>
      </c>
      <c r="N523" t="str">
        <f>VLOOKUP(E523,mappings!$L$1:$M$110,2,FALSE)</f>
        <v>No answer provided</v>
      </c>
      <c r="O523" t="str">
        <f>VLOOKUP(E523,mappings!L:O,3,FALSE)</f>
        <v>No answer provided</v>
      </c>
      <c r="P523" t="str">
        <f>VLOOKUP(E523,mappings!L:P,4,FALSE)</f>
        <v>No answer provided</v>
      </c>
    </row>
    <row r="524" spans="1:16" x14ac:dyDescent="0.2">
      <c r="A524">
        <v>523</v>
      </c>
      <c r="B524">
        <v>3877993115</v>
      </c>
      <c r="C524" t="s">
        <v>26</v>
      </c>
      <c r="D524" t="s">
        <v>31</v>
      </c>
      <c r="E524" t="s">
        <v>8</v>
      </c>
      <c r="F524" t="s">
        <v>22</v>
      </c>
      <c r="G524" s="2">
        <f>VLOOKUP(F524,mappings!$G$2:$H$6,2,FALSE)</f>
        <v>1</v>
      </c>
      <c r="H524" t="s">
        <v>162</v>
      </c>
      <c r="I524" s="2">
        <f>VLOOKUP(H524,mappings!$D$2:$E$6,2,FALSE)</f>
        <v>1</v>
      </c>
      <c r="J524" t="s">
        <v>36</v>
      </c>
      <c r="K524" t="s">
        <v>32</v>
      </c>
      <c r="L524" s="2">
        <f>VLOOKUP(K524,mappings!$A$2:$B$13,2,FALSE)</f>
        <v>2</v>
      </c>
      <c r="M524" t="s">
        <v>12</v>
      </c>
      <c r="N524" t="str">
        <f>VLOOKUP(E524,mappings!$L$1:$M$110,2,FALSE)</f>
        <v>No answer provided</v>
      </c>
      <c r="O524" t="str">
        <f>VLOOKUP(E524,mappings!L:O,3,FALSE)</f>
        <v>No answer provided</v>
      </c>
      <c r="P524" t="str">
        <f>VLOOKUP(E524,mappings!L:P,4,FALSE)</f>
        <v>No answer provided</v>
      </c>
    </row>
    <row r="525" spans="1:16" x14ac:dyDescent="0.2">
      <c r="A525">
        <v>524</v>
      </c>
      <c r="B525">
        <v>3877992847</v>
      </c>
      <c r="C525" t="s">
        <v>6</v>
      </c>
      <c r="D525" t="s">
        <v>7</v>
      </c>
      <c r="E525" t="s">
        <v>8</v>
      </c>
      <c r="F525" t="s">
        <v>16</v>
      </c>
      <c r="G525" s="2">
        <f>VLOOKUP(F525,mappings!$G$2:$H$6,2,FALSE)</f>
        <v>3</v>
      </c>
      <c r="H525" t="s">
        <v>163</v>
      </c>
      <c r="I525" s="2">
        <f>VLOOKUP(H525,mappings!$D$2:$E$6,2,FALSE)</f>
        <v>3</v>
      </c>
      <c r="J525" t="s">
        <v>10</v>
      </c>
      <c r="K525" t="s">
        <v>13</v>
      </c>
      <c r="L525" s="2">
        <f>VLOOKUP(K525,mappings!$A$2:$B$13,2,FALSE)</f>
        <v>11</v>
      </c>
      <c r="M525" t="s">
        <v>24</v>
      </c>
      <c r="N525" t="str">
        <f>VLOOKUP(E525,mappings!$L$1:$M$110,2,FALSE)</f>
        <v>No answer provided</v>
      </c>
      <c r="O525" t="str">
        <f>VLOOKUP(E525,mappings!L:O,3,FALSE)</f>
        <v>No answer provided</v>
      </c>
      <c r="P525" t="str">
        <f>VLOOKUP(E525,mappings!L:P,4,FALSE)</f>
        <v>No answer provided</v>
      </c>
    </row>
    <row r="526" spans="1:16" x14ac:dyDescent="0.2">
      <c r="A526">
        <v>525</v>
      </c>
      <c r="B526">
        <v>3877992331</v>
      </c>
      <c r="C526" t="s">
        <v>6</v>
      </c>
      <c r="D526" t="s">
        <v>21</v>
      </c>
      <c r="E526" t="s">
        <v>8</v>
      </c>
      <c r="F526" t="s">
        <v>22</v>
      </c>
      <c r="G526" s="2">
        <f>VLOOKUP(F526,mappings!$G$2:$H$6,2,FALSE)</f>
        <v>1</v>
      </c>
      <c r="H526" t="s">
        <v>43</v>
      </c>
      <c r="I526" s="2">
        <f>VLOOKUP(H526,mappings!$D$2:$E$6,2,FALSE)</f>
        <v>4</v>
      </c>
      <c r="J526" t="s">
        <v>36</v>
      </c>
      <c r="K526" t="s">
        <v>13</v>
      </c>
      <c r="L526" s="2">
        <f>VLOOKUP(K526,mappings!$A$2:$B$13,2,FALSE)</f>
        <v>11</v>
      </c>
      <c r="M526" t="s">
        <v>25</v>
      </c>
      <c r="N526" t="str">
        <f>VLOOKUP(E526,mappings!$L$1:$M$110,2,FALSE)</f>
        <v>No answer provided</v>
      </c>
      <c r="O526" t="str">
        <f>VLOOKUP(E526,mappings!L:O,3,FALSE)</f>
        <v>No answer provided</v>
      </c>
      <c r="P526" t="str">
        <f>VLOOKUP(E526,mappings!L:P,4,FALSE)</f>
        <v>No answer provided</v>
      </c>
    </row>
    <row r="527" spans="1:16" x14ac:dyDescent="0.2">
      <c r="A527">
        <v>526</v>
      </c>
      <c r="B527">
        <v>3877991281</v>
      </c>
      <c r="C527" t="s">
        <v>6</v>
      </c>
      <c r="D527" t="s">
        <v>7</v>
      </c>
      <c r="E527" t="s">
        <v>8</v>
      </c>
      <c r="F527" t="s">
        <v>9</v>
      </c>
      <c r="G527" s="2">
        <f>VLOOKUP(F527,mappings!$G$2:$H$6,2,FALSE)</f>
        <v>4</v>
      </c>
      <c r="H527" t="s">
        <v>163</v>
      </c>
      <c r="I527" s="2">
        <f>VLOOKUP(H527,mappings!$D$2:$E$6,2,FALSE)</f>
        <v>3</v>
      </c>
      <c r="J527" t="s">
        <v>36</v>
      </c>
      <c r="K527" t="s">
        <v>23</v>
      </c>
      <c r="L527" s="2">
        <f>VLOOKUP(K527,mappings!$A$2:$B$13,2,FALSE)</f>
        <v>3</v>
      </c>
      <c r="M527" t="s">
        <v>20</v>
      </c>
      <c r="N527" t="str">
        <f>VLOOKUP(E527,mappings!$L$1:$M$110,2,FALSE)</f>
        <v>No answer provided</v>
      </c>
      <c r="O527" t="str">
        <f>VLOOKUP(E527,mappings!L:O,3,FALSE)</f>
        <v>No answer provided</v>
      </c>
      <c r="P527" t="str">
        <f>VLOOKUP(E527,mappings!L:P,4,FALSE)</f>
        <v>No answer provided</v>
      </c>
    </row>
    <row r="528" spans="1:16" x14ac:dyDescent="0.2">
      <c r="A528">
        <v>527</v>
      </c>
      <c r="B528">
        <v>3877990551</v>
      </c>
      <c r="C528" t="s">
        <v>6</v>
      </c>
      <c r="D528" t="s">
        <v>31</v>
      </c>
      <c r="E528" t="s">
        <v>8</v>
      </c>
      <c r="F528" t="s">
        <v>9</v>
      </c>
      <c r="G528" s="2">
        <f>VLOOKUP(F528,mappings!$G$2:$H$6,2,FALSE)</f>
        <v>4</v>
      </c>
      <c r="H528" t="s">
        <v>43</v>
      </c>
      <c r="I528" s="2">
        <f>VLOOKUP(H528,mappings!$D$2:$E$6,2,FALSE)</f>
        <v>4</v>
      </c>
      <c r="J528" t="s">
        <v>36</v>
      </c>
      <c r="K528" t="s">
        <v>13</v>
      </c>
      <c r="L528" s="2">
        <f>VLOOKUP(K528,mappings!$A$2:$B$13,2,FALSE)</f>
        <v>11</v>
      </c>
      <c r="M528" t="s">
        <v>38</v>
      </c>
      <c r="N528" t="str">
        <f>VLOOKUP(E528,mappings!$L$1:$M$110,2,FALSE)</f>
        <v>No answer provided</v>
      </c>
      <c r="O528" t="str">
        <f>VLOOKUP(E528,mappings!L:O,3,FALSE)</f>
        <v>No answer provided</v>
      </c>
      <c r="P528" t="str">
        <f>VLOOKUP(E528,mappings!L:P,4,FALSE)</f>
        <v>No answer provided</v>
      </c>
    </row>
    <row r="529" spans="1:16" x14ac:dyDescent="0.2">
      <c r="A529">
        <v>528</v>
      </c>
      <c r="B529">
        <v>3877989849</v>
      </c>
      <c r="C529" t="s">
        <v>6</v>
      </c>
      <c r="D529" t="s">
        <v>21</v>
      </c>
      <c r="E529" t="s">
        <v>8</v>
      </c>
      <c r="F529" t="s">
        <v>9</v>
      </c>
      <c r="G529" s="2">
        <f>VLOOKUP(F529,mappings!$G$2:$H$6,2,FALSE)</f>
        <v>4</v>
      </c>
      <c r="H529" t="s">
        <v>43</v>
      </c>
      <c r="I529" s="2">
        <f>VLOOKUP(H529,mappings!$D$2:$E$6,2,FALSE)</f>
        <v>4</v>
      </c>
      <c r="J529" t="s">
        <v>10</v>
      </c>
      <c r="K529" t="s">
        <v>48</v>
      </c>
      <c r="L529" s="2">
        <f>VLOOKUP(K529,mappings!$A$2:$B$13,2,FALSE)</f>
        <v>7</v>
      </c>
      <c r="M529" t="s">
        <v>34</v>
      </c>
      <c r="N529" t="str">
        <f>VLOOKUP(E529,mappings!$L$1:$M$110,2,FALSE)</f>
        <v>No answer provided</v>
      </c>
      <c r="O529" t="str">
        <f>VLOOKUP(E529,mappings!L:O,3,FALSE)</f>
        <v>No answer provided</v>
      </c>
      <c r="P529" t="str">
        <f>VLOOKUP(E529,mappings!L:P,4,FALSE)</f>
        <v>No answer provided</v>
      </c>
    </row>
    <row r="530" spans="1:16" x14ac:dyDescent="0.2">
      <c r="A530">
        <v>529</v>
      </c>
      <c r="B530">
        <v>3877989016</v>
      </c>
      <c r="C530" t="s">
        <v>6</v>
      </c>
      <c r="D530" t="s">
        <v>1</v>
      </c>
      <c r="E530" t="s">
        <v>44</v>
      </c>
      <c r="F530" t="s">
        <v>22</v>
      </c>
      <c r="G530" s="2">
        <f>VLOOKUP(F530,mappings!$G$2:$H$6,2,FALSE)</f>
        <v>1</v>
      </c>
      <c r="H530" t="s">
        <v>43</v>
      </c>
      <c r="I530" s="2">
        <f>VLOOKUP(H530,mappings!$D$2:$E$6,2,FALSE)</f>
        <v>4</v>
      </c>
      <c r="J530" t="s">
        <v>10</v>
      </c>
      <c r="K530" t="s">
        <v>11</v>
      </c>
      <c r="L530" s="2">
        <f>VLOOKUP(K530,mappings!$A$2:$B$13,2,FALSE)</f>
        <v>4</v>
      </c>
      <c r="M530" t="s">
        <v>20</v>
      </c>
      <c r="N530" t="str">
        <f>VLOOKUP(E530,mappings!$L$1:$M$110,2,FALSE)</f>
        <v>Weatherbug</v>
      </c>
      <c r="O530" t="str">
        <f>VLOOKUP(E530,mappings!L:O,3,FALSE)</f>
        <v>Website</v>
      </c>
      <c r="P530" t="str">
        <f>VLOOKUP(E530,mappings!L:P,4,FALSE)</f>
        <v>Other or unkown</v>
      </c>
    </row>
    <row r="531" spans="1:16" x14ac:dyDescent="0.2">
      <c r="A531">
        <v>530</v>
      </c>
      <c r="B531">
        <v>3877986851</v>
      </c>
      <c r="C531" t="s">
        <v>6</v>
      </c>
      <c r="D531" t="s">
        <v>7</v>
      </c>
      <c r="E531" t="s">
        <v>8</v>
      </c>
      <c r="F531" t="s">
        <v>9</v>
      </c>
      <c r="G531" s="2">
        <f>VLOOKUP(F531,mappings!$G$2:$H$6,2,FALSE)</f>
        <v>4</v>
      </c>
      <c r="H531" t="s">
        <v>163</v>
      </c>
      <c r="I531" s="2">
        <f>VLOOKUP(H531,mappings!$D$2:$E$6,2,FALSE)</f>
        <v>3</v>
      </c>
      <c r="J531" t="s">
        <v>36</v>
      </c>
      <c r="K531" t="s">
        <v>48</v>
      </c>
      <c r="L531" s="2">
        <f>VLOOKUP(K531,mappings!$A$2:$B$13,2,FALSE)</f>
        <v>7</v>
      </c>
      <c r="M531" t="s">
        <v>30</v>
      </c>
      <c r="N531" t="str">
        <f>VLOOKUP(E531,mappings!$L$1:$M$110,2,FALSE)</f>
        <v>No answer provided</v>
      </c>
      <c r="O531" t="str">
        <f>VLOOKUP(E531,mappings!L:O,3,FALSE)</f>
        <v>No answer provided</v>
      </c>
      <c r="P531" t="str">
        <f>VLOOKUP(E531,mappings!L:P,4,FALSE)</f>
        <v>No answer provided</v>
      </c>
    </row>
    <row r="532" spans="1:16" x14ac:dyDescent="0.2">
      <c r="A532">
        <v>531</v>
      </c>
      <c r="B532">
        <v>3877984798</v>
      </c>
      <c r="C532" t="s">
        <v>26</v>
      </c>
      <c r="D532" t="s">
        <v>7</v>
      </c>
      <c r="E532" t="s">
        <v>8</v>
      </c>
      <c r="F532" t="s">
        <v>22</v>
      </c>
      <c r="G532" s="2">
        <f>VLOOKUP(F532,mappings!$G$2:$H$6,2,FALSE)</f>
        <v>1</v>
      </c>
      <c r="H532" t="s">
        <v>162</v>
      </c>
      <c r="I532" s="2">
        <f>VLOOKUP(H532,mappings!$D$2:$E$6,2,FALSE)</f>
        <v>1</v>
      </c>
      <c r="J532" t="s">
        <v>36</v>
      </c>
      <c r="K532" t="s">
        <v>32</v>
      </c>
      <c r="L532" s="2">
        <f>VLOOKUP(K532,mappings!$A$2:$B$13,2,FALSE)</f>
        <v>2</v>
      </c>
      <c r="M532" t="s">
        <v>12</v>
      </c>
      <c r="N532" t="str">
        <f>VLOOKUP(E532,mappings!$L$1:$M$110,2,FALSE)</f>
        <v>No answer provided</v>
      </c>
      <c r="O532" t="str">
        <f>VLOOKUP(E532,mappings!L:O,3,FALSE)</f>
        <v>No answer provided</v>
      </c>
      <c r="P532" t="str">
        <f>VLOOKUP(E532,mappings!L:P,4,FALSE)</f>
        <v>No answer provided</v>
      </c>
    </row>
    <row r="533" spans="1:16" x14ac:dyDescent="0.2">
      <c r="A533">
        <v>532</v>
      </c>
      <c r="B533">
        <v>3877983130</v>
      </c>
      <c r="C533" t="s">
        <v>6</v>
      </c>
      <c r="D533" t="s">
        <v>7</v>
      </c>
      <c r="E533" t="s">
        <v>8</v>
      </c>
      <c r="F533" t="s">
        <v>16</v>
      </c>
      <c r="G533" s="2">
        <f>VLOOKUP(F533,mappings!$G$2:$H$6,2,FALSE)</f>
        <v>3</v>
      </c>
      <c r="H533" t="s">
        <v>162</v>
      </c>
      <c r="I533" s="2">
        <f>VLOOKUP(H533,mappings!$D$2:$E$6,2,FALSE)</f>
        <v>1</v>
      </c>
      <c r="J533" t="s">
        <v>36</v>
      </c>
      <c r="K533" t="s">
        <v>23</v>
      </c>
      <c r="L533" s="2">
        <f>VLOOKUP(K533,mappings!$A$2:$B$13,2,FALSE)</f>
        <v>3</v>
      </c>
      <c r="M533" t="s">
        <v>20</v>
      </c>
      <c r="N533" t="str">
        <f>VLOOKUP(E533,mappings!$L$1:$M$110,2,FALSE)</f>
        <v>No answer provided</v>
      </c>
      <c r="O533" t="str">
        <f>VLOOKUP(E533,mappings!L:O,3,FALSE)</f>
        <v>No answer provided</v>
      </c>
      <c r="P533" t="str">
        <f>VLOOKUP(E533,mappings!L:P,4,FALSE)</f>
        <v>No answer provided</v>
      </c>
    </row>
    <row r="534" spans="1:16" x14ac:dyDescent="0.2">
      <c r="A534">
        <v>533</v>
      </c>
      <c r="B534">
        <v>3877983122</v>
      </c>
      <c r="C534" t="s">
        <v>6</v>
      </c>
      <c r="D534" t="s">
        <v>21</v>
      </c>
      <c r="E534" t="s">
        <v>8</v>
      </c>
      <c r="F534" t="s">
        <v>9</v>
      </c>
      <c r="G534" s="2">
        <f>VLOOKUP(F534,mappings!$G$2:$H$6,2,FALSE)</f>
        <v>4</v>
      </c>
      <c r="H534" t="s">
        <v>163</v>
      </c>
      <c r="I534" s="2">
        <f>VLOOKUP(H534,mappings!$D$2:$E$6,2,FALSE)</f>
        <v>3</v>
      </c>
      <c r="J534" t="s">
        <v>10</v>
      </c>
      <c r="K534" t="s">
        <v>47</v>
      </c>
      <c r="L534" s="2">
        <f>VLOOKUP(K534,mappings!$A$2:$B$13,2,FALSE)</f>
        <v>9</v>
      </c>
      <c r="M534" t="s">
        <v>20</v>
      </c>
      <c r="N534" t="str">
        <f>VLOOKUP(E534,mappings!$L$1:$M$110,2,FALSE)</f>
        <v>No answer provided</v>
      </c>
      <c r="O534" t="str">
        <f>VLOOKUP(E534,mappings!L:O,3,FALSE)</f>
        <v>No answer provided</v>
      </c>
      <c r="P534" t="str">
        <f>VLOOKUP(E534,mappings!L:P,4,FALSE)</f>
        <v>No answer provided</v>
      </c>
    </row>
    <row r="535" spans="1:16" x14ac:dyDescent="0.2">
      <c r="A535">
        <v>534</v>
      </c>
      <c r="B535">
        <v>3877982615</v>
      </c>
      <c r="C535" t="s">
        <v>6</v>
      </c>
      <c r="D535" t="s">
        <v>1</v>
      </c>
      <c r="E535" t="s">
        <v>37</v>
      </c>
      <c r="F535" t="s">
        <v>9</v>
      </c>
      <c r="G535" s="2">
        <f>VLOOKUP(F535,mappings!$G$2:$H$6,2,FALSE)</f>
        <v>4</v>
      </c>
      <c r="H535" t="s">
        <v>43</v>
      </c>
      <c r="I535" s="2">
        <f>VLOOKUP(H535,mappings!$D$2:$E$6,2,FALSE)</f>
        <v>4</v>
      </c>
      <c r="J535" t="s">
        <v>36</v>
      </c>
      <c r="K535" t="s">
        <v>23</v>
      </c>
      <c r="L535" s="2">
        <f>VLOOKUP(K535,mappings!$A$2:$B$13,2,FALSE)</f>
        <v>3</v>
      </c>
      <c r="M535" t="s">
        <v>12</v>
      </c>
      <c r="N535" t="str">
        <f>VLOOKUP(E535,mappings!$L$1:$M$110,2,FALSE)</f>
        <v>The Weather Channel</v>
      </c>
      <c r="O535" t="str">
        <f>VLOOKUP(E535,mappings!L:O,3,FALSE)</f>
        <v>Website</v>
      </c>
      <c r="P535" t="str">
        <f>VLOOKUP(E535,mappings!L:P,4,FALSE)</f>
        <v>Other or unkown</v>
      </c>
    </row>
    <row r="536" spans="1:16" x14ac:dyDescent="0.2">
      <c r="A536">
        <v>535</v>
      </c>
      <c r="B536">
        <v>3877982204</v>
      </c>
      <c r="C536" t="s">
        <v>26</v>
      </c>
      <c r="D536" t="s">
        <v>27</v>
      </c>
      <c r="E536" t="s">
        <v>8</v>
      </c>
      <c r="F536" t="s">
        <v>28</v>
      </c>
      <c r="G536" s="2">
        <f>VLOOKUP(F536,mappings!$G$2:$H$6,2,FALSE)</f>
        <v>2</v>
      </c>
      <c r="H536" t="s">
        <v>162</v>
      </c>
      <c r="I536" s="2">
        <f>VLOOKUP(H536,mappings!$D$2:$E$6,2,FALSE)</f>
        <v>1</v>
      </c>
      <c r="J536" t="s">
        <v>36</v>
      </c>
      <c r="K536" t="s">
        <v>23</v>
      </c>
      <c r="L536" s="2">
        <f>VLOOKUP(K536,mappings!$A$2:$B$13,2,FALSE)</f>
        <v>3</v>
      </c>
      <c r="M536" t="s">
        <v>15</v>
      </c>
      <c r="N536" t="str">
        <f>VLOOKUP(E536,mappings!$L$1:$M$110,2,FALSE)</f>
        <v>No answer provided</v>
      </c>
      <c r="O536" t="str">
        <f>VLOOKUP(E536,mappings!L:O,3,FALSE)</f>
        <v>No answer provided</v>
      </c>
      <c r="P536" t="str">
        <f>VLOOKUP(E536,mappings!L:P,4,FALSE)</f>
        <v>No answer provided</v>
      </c>
    </row>
    <row r="537" spans="1:16" x14ac:dyDescent="0.2">
      <c r="A537">
        <v>536</v>
      </c>
      <c r="B537">
        <v>3877981227</v>
      </c>
      <c r="C537" t="s">
        <v>6</v>
      </c>
      <c r="D537" t="s">
        <v>31</v>
      </c>
      <c r="E537" t="s">
        <v>8</v>
      </c>
      <c r="F537" t="s">
        <v>16</v>
      </c>
      <c r="G537" s="2">
        <f>VLOOKUP(F537,mappings!$G$2:$H$6,2,FALSE)</f>
        <v>3</v>
      </c>
      <c r="H537" t="s">
        <v>163</v>
      </c>
      <c r="I537" s="2">
        <f>VLOOKUP(H537,mappings!$D$2:$E$6,2,FALSE)</f>
        <v>3</v>
      </c>
      <c r="J537" t="s">
        <v>36</v>
      </c>
      <c r="K537" t="s">
        <v>48</v>
      </c>
      <c r="L537" s="2">
        <f>VLOOKUP(K537,mappings!$A$2:$B$13,2,FALSE)</f>
        <v>7</v>
      </c>
      <c r="M537" t="s">
        <v>24</v>
      </c>
      <c r="N537" t="str">
        <f>VLOOKUP(E537,mappings!$L$1:$M$110,2,FALSE)</f>
        <v>No answer provided</v>
      </c>
      <c r="O537" t="str">
        <f>VLOOKUP(E537,mappings!L:O,3,FALSE)</f>
        <v>No answer provided</v>
      </c>
      <c r="P537" t="str">
        <f>VLOOKUP(E537,mappings!L:P,4,FALSE)</f>
        <v>No answer provided</v>
      </c>
    </row>
    <row r="538" spans="1:16" x14ac:dyDescent="0.2">
      <c r="A538">
        <v>537</v>
      </c>
      <c r="B538">
        <v>3877981098</v>
      </c>
      <c r="C538" t="s">
        <v>6</v>
      </c>
      <c r="D538" t="s">
        <v>1</v>
      </c>
      <c r="E538" t="s">
        <v>117</v>
      </c>
      <c r="F538" t="s">
        <v>9</v>
      </c>
      <c r="G538" s="2">
        <f>VLOOKUP(F538,mappings!$G$2:$H$6,2,FALSE)</f>
        <v>4</v>
      </c>
      <c r="H538" t="s">
        <v>161</v>
      </c>
      <c r="I538" s="2">
        <f>VLOOKUP(H538,mappings!$D$2:$E$6,2,FALSE)</f>
        <v>2</v>
      </c>
      <c r="J538" t="s">
        <v>36</v>
      </c>
      <c r="K538" t="s">
        <v>33</v>
      </c>
      <c r="L538" s="2">
        <f>VLOOKUP(K538,mappings!$A$2:$B$13,2,FALSE)</f>
        <v>5</v>
      </c>
      <c r="M538" t="s">
        <v>15</v>
      </c>
      <c r="N538" t="str">
        <f>VLOOKUP(E538,mappings!$L$1:$M$110,2,FALSE)</f>
        <v>The Weather Channel</v>
      </c>
      <c r="O538" t="str">
        <f>VLOOKUP(E538,mappings!L:O,3,FALSE)</f>
        <v>Website</v>
      </c>
      <c r="P538" t="str">
        <f>VLOOKUP(E538,mappings!L:P,4,FALSE)</f>
        <v>Other or unkown</v>
      </c>
    </row>
    <row r="539" spans="1:16" x14ac:dyDescent="0.2">
      <c r="A539">
        <v>538</v>
      </c>
      <c r="B539">
        <v>3877980492</v>
      </c>
      <c r="C539" t="s">
        <v>6</v>
      </c>
      <c r="D539" t="s">
        <v>1</v>
      </c>
      <c r="E539" t="s">
        <v>117</v>
      </c>
      <c r="F539" t="s">
        <v>16</v>
      </c>
      <c r="G539" s="2">
        <f>VLOOKUP(F539,mappings!$G$2:$H$6,2,FALSE)</f>
        <v>3</v>
      </c>
      <c r="H539" t="s">
        <v>163</v>
      </c>
      <c r="I539" s="2">
        <f>VLOOKUP(H539,mappings!$D$2:$E$6,2,FALSE)</f>
        <v>3</v>
      </c>
      <c r="J539" t="s">
        <v>36</v>
      </c>
      <c r="K539" t="s">
        <v>13</v>
      </c>
      <c r="L539" s="2">
        <f>VLOOKUP(K539,mappings!$A$2:$B$13,2,FALSE)</f>
        <v>11</v>
      </c>
      <c r="M539" t="s">
        <v>24</v>
      </c>
      <c r="N539" t="str">
        <f>VLOOKUP(E539,mappings!$L$1:$M$110,2,FALSE)</f>
        <v>The Weather Channel</v>
      </c>
      <c r="O539" t="str">
        <f>VLOOKUP(E539,mappings!L:O,3,FALSE)</f>
        <v>Website</v>
      </c>
      <c r="P539" t="str">
        <f>VLOOKUP(E539,mappings!L:P,4,FALSE)</f>
        <v>Other or unkown</v>
      </c>
    </row>
    <row r="540" spans="1:16" x14ac:dyDescent="0.2">
      <c r="A540">
        <v>539</v>
      </c>
      <c r="B540">
        <v>3877980484</v>
      </c>
      <c r="C540" t="s">
        <v>26</v>
      </c>
      <c r="D540" t="s">
        <v>7</v>
      </c>
      <c r="E540" t="s">
        <v>8</v>
      </c>
      <c r="F540" t="s">
        <v>28</v>
      </c>
      <c r="G540" s="2">
        <f>VLOOKUP(F540,mappings!$G$2:$H$6,2,FALSE)</f>
        <v>2</v>
      </c>
      <c r="H540" t="s">
        <v>162</v>
      </c>
      <c r="I540" s="2">
        <f>VLOOKUP(H540,mappings!$D$2:$E$6,2,FALSE)</f>
        <v>1</v>
      </c>
      <c r="J540" t="s">
        <v>36</v>
      </c>
      <c r="K540" t="s">
        <v>29</v>
      </c>
      <c r="L540" s="2">
        <f>VLOOKUP(K540,mappings!$A$2:$B$13,2,FALSE)</f>
        <v>1</v>
      </c>
      <c r="M540" t="s">
        <v>24</v>
      </c>
      <c r="N540" t="str">
        <f>VLOOKUP(E540,mappings!$L$1:$M$110,2,FALSE)</f>
        <v>No answer provided</v>
      </c>
      <c r="O540" t="str">
        <f>VLOOKUP(E540,mappings!L:O,3,FALSE)</f>
        <v>No answer provided</v>
      </c>
      <c r="P540" t="str">
        <f>VLOOKUP(E540,mappings!L:P,4,FALSE)</f>
        <v>No answer provided</v>
      </c>
    </row>
    <row r="541" spans="1:16" x14ac:dyDescent="0.2">
      <c r="A541">
        <v>540</v>
      </c>
      <c r="B541">
        <v>3877980051</v>
      </c>
      <c r="C541" t="s">
        <v>6</v>
      </c>
      <c r="D541" t="s">
        <v>7</v>
      </c>
      <c r="E541" t="s">
        <v>8</v>
      </c>
      <c r="F541" t="s">
        <v>22</v>
      </c>
      <c r="G541" s="2">
        <f>VLOOKUP(F541,mappings!$G$2:$H$6,2,FALSE)</f>
        <v>1</v>
      </c>
      <c r="H541" t="s">
        <v>162</v>
      </c>
      <c r="I541" s="2">
        <f>VLOOKUP(H541,mappings!$D$2:$E$6,2,FALSE)</f>
        <v>1</v>
      </c>
      <c r="J541" t="s">
        <v>36</v>
      </c>
      <c r="K541" t="s">
        <v>23</v>
      </c>
      <c r="L541" s="2">
        <f>VLOOKUP(K541,mappings!$A$2:$B$13,2,FALSE)</f>
        <v>3</v>
      </c>
      <c r="M541" t="s">
        <v>20</v>
      </c>
      <c r="N541" t="str">
        <f>VLOOKUP(E541,mappings!$L$1:$M$110,2,FALSE)</f>
        <v>No answer provided</v>
      </c>
      <c r="O541" t="str">
        <f>VLOOKUP(E541,mappings!L:O,3,FALSE)</f>
        <v>No answer provided</v>
      </c>
      <c r="P541" t="str">
        <f>VLOOKUP(E541,mappings!L:P,4,FALSE)</f>
        <v>No answer provided</v>
      </c>
    </row>
    <row r="542" spans="1:16" x14ac:dyDescent="0.2">
      <c r="A542">
        <v>541</v>
      </c>
      <c r="B542">
        <v>3877977794</v>
      </c>
      <c r="C542" t="s">
        <v>6</v>
      </c>
      <c r="D542" t="s">
        <v>21</v>
      </c>
      <c r="E542" t="s">
        <v>8</v>
      </c>
      <c r="F542" t="s">
        <v>9</v>
      </c>
      <c r="G542" s="2">
        <f>VLOOKUP(F542,mappings!$G$2:$H$6,2,FALSE)</f>
        <v>4</v>
      </c>
      <c r="H542" t="s">
        <v>163</v>
      </c>
      <c r="I542" s="2">
        <f>VLOOKUP(H542,mappings!$D$2:$E$6,2,FALSE)</f>
        <v>3</v>
      </c>
      <c r="J542" t="s">
        <v>10</v>
      </c>
      <c r="K542" t="s">
        <v>14</v>
      </c>
      <c r="L542" s="2">
        <f>VLOOKUP(K542,mappings!$A$2:$B$13,2,FALSE)</f>
        <v>6</v>
      </c>
      <c r="M542" t="s">
        <v>15</v>
      </c>
      <c r="N542" t="str">
        <f>VLOOKUP(E542,mappings!$L$1:$M$110,2,FALSE)</f>
        <v>No answer provided</v>
      </c>
      <c r="O542" t="str">
        <f>VLOOKUP(E542,mappings!L:O,3,FALSE)</f>
        <v>No answer provided</v>
      </c>
      <c r="P542" t="str">
        <f>VLOOKUP(E542,mappings!L:P,4,FALSE)</f>
        <v>No answer provided</v>
      </c>
    </row>
    <row r="543" spans="1:16" x14ac:dyDescent="0.2">
      <c r="A543">
        <v>542</v>
      </c>
      <c r="B543">
        <v>3877976383</v>
      </c>
      <c r="C543" t="s">
        <v>6</v>
      </c>
      <c r="D543" t="s">
        <v>1</v>
      </c>
      <c r="E543" t="s">
        <v>118</v>
      </c>
      <c r="F543" t="s">
        <v>9</v>
      </c>
      <c r="G543" s="2">
        <f>VLOOKUP(F543,mappings!$G$2:$H$6,2,FALSE)</f>
        <v>4</v>
      </c>
      <c r="H543" t="s">
        <v>162</v>
      </c>
      <c r="I543" s="2">
        <f>VLOOKUP(H543,mappings!$D$2:$E$6,2,FALSE)</f>
        <v>1</v>
      </c>
      <c r="J543" t="s">
        <v>36</v>
      </c>
      <c r="K543" t="s">
        <v>13</v>
      </c>
      <c r="L543" s="2">
        <f>VLOOKUP(K543,mappings!$A$2:$B$13,2,FALSE)</f>
        <v>11</v>
      </c>
      <c r="M543" t="s">
        <v>42</v>
      </c>
      <c r="N543" t="str">
        <f>VLOOKUP(E543,mappings!$L$1:$M$110,2,FALSE)</f>
        <v>Yahoo</v>
      </c>
      <c r="O543" t="str">
        <f>VLOOKUP(E543,mappings!L:O,3,FALSE)</f>
        <v>App</v>
      </c>
      <c r="P543" t="str">
        <f>VLOOKUP(E543,mappings!L:P,4,FALSE)</f>
        <v>Apple</v>
      </c>
    </row>
    <row r="544" spans="1:16" s="6" customFormat="1" x14ac:dyDescent="0.2">
      <c r="A544" s="6">
        <v>543</v>
      </c>
      <c r="B544" s="6">
        <v>3877975104</v>
      </c>
      <c r="C544" s="6" t="s">
        <v>6</v>
      </c>
      <c r="D544" s="6" t="s">
        <v>21</v>
      </c>
      <c r="E544" s="6" t="s">
        <v>8</v>
      </c>
      <c r="F544" s="6" t="s">
        <v>16</v>
      </c>
      <c r="G544" s="7">
        <f>VLOOKUP(F544,mappings!$G$2:$H$6,2,FALSE)</f>
        <v>3</v>
      </c>
      <c r="H544" s="6" t="s">
        <v>8</v>
      </c>
      <c r="I544" s="7" t="str">
        <f>VLOOKUP(H544,mappings!$D$2:$E$6,2,FALSE)</f>
        <v>na</v>
      </c>
      <c r="J544" s="6" t="s">
        <v>8</v>
      </c>
      <c r="K544" s="6" t="s">
        <v>8</v>
      </c>
      <c r="L544" s="7" t="str">
        <f>VLOOKUP(K544,mappings!$A$2:$B$13,2,FALSE)</f>
        <v>na</v>
      </c>
      <c r="M544" s="6" t="s">
        <v>8</v>
      </c>
      <c r="N544" t="str">
        <f>VLOOKUP(E544,mappings!$L$1:$M$110,2,FALSE)</f>
        <v>No answer provided</v>
      </c>
      <c r="O544" t="str">
        <f>VLOOKUP(E544,mappings!L:O,3,FALSE)</f>
        <v>No answer provided</v>
      </c>
      <c r="P544" t="str">
        <f>VLOOKUP(E544,mappings!L:P,4,FALSE)</f>
        <v>No answer provided</v>
      </c>
    </row>
    <row r="545" spans="1:16" x14ac:dyDescent="0.2">
      <c r="A545">
        <v>544</v>
      </c>
      <c r="B545">
        <v>3877973396</v>
      </c>
      <c r="C545" t="s">
        <v>6</v>
      </c>
      <c r="D545" t="s">
        <v>41</v>
      </c>
      <c r="E545" t="s">
        <v>8</v>
      </c>
      <c r="F545" t="s">
        <v>22</v>
      </c>
      <c r="G545" s="2">
        <f>VLOOKUP(F545,mappings!$G$2:$H$6,2,FALSE)</f>
        <v>1</v>
      </c>
      <c r="H545" t="s">
        <v>43</v>
      </c>
      <c r="I545" s="2">
        <f>VLOOKUP(H545,mappings!$D$2:$E$6,2,FALSE)</f>
        <v>4</v>
      </c>
      <c r="J545" t="s">
        <v>10</v>
      </c>
      <c r="K545" t="s">
        <v>13</v>
      </c>
      <c r="L545" s="2">
        <f>VLOOKUP(K545,mappings!$A$2:$B$13,2,FALSE)</f>
        <v>11</v>
      </c>
      <c r="M545" t="s">
        <v>15</v>
      </c>
      <c r="N545" t="str">
        <f>VLOOKUP(E545,mappings!$L$1:$M$110,2,FALSE)</f>
        <v>No answer provided</v>
      </c>
      <c r="O545" t="str">
        <f>VLOOKUP(E545,mappings!L:O,3,FALSE)</f>
        <v>No answer provided</v>
      </c>
      <c r="P545" t="str">
        <f>VLOOKUP(E545,mappings!L:P,4,FALSE)</f>
        <v>No answer provided</v>
      </c>
    </row>
    <row r="546" spans="1:16" x14ac:dyDescent="0.2">
      <c r="A546">
        <v>545</v>
      </c>
      <c r="B546">
        <v>3877969129</v>
      </c>
      <c r="C546" t="s">
        <v>6</v>
      </c>
      <c r="D546" t="s">
        <v>1</v>
      </c>
      <c r="E546" t="s">
        <v>119</v>
      </c>
      <c r="F546" t="s">
        <v>9</v>
      </c>
      <c r="G546" s="2">
        <f>VLOOKUP(F546,mappings!$G$2:$H$6,2,FALSE)</f>
        <v>4</v>
      </c>
      <c r="H546" t="s">
        <v>163</v>
      </c>
      <c r="I546" s="2">
        <f>VLOOKUP(H546,mappings!$D$2:$E$6,2,FALSE)</f>
        <v>3</v>
      </c>
      <c r="J546" t="s">
        <v>36</v>
      </c>
      <c r="K546" t="s">
        <v>13</v>
      </c>
      <c r="L546" s="2">
        <f>VLOOKUP(K546,mappings!$A$2:$B$13,2,FALSE)</f>
        <v>11</v>
      </c>
      <c r="M546" t="s">
        <v>12</v>
      </c>
      <c r="N546" t="str">
        <f>VLOOKUP(E546,mappings!$L$1:$M$110,2,FALSE)</f>
        <v>The Weather Channel</v>
      </c>
      <c r="O546" t="str">
        <f>VLOOKUP(E546,mappings!L:O,3,FALSE)</f>
        <v>App</v>
      </c>
      <c r="P546" t="str">
        <f>VLOOKUP(E546,mappings!L:P,4,FALSE)</f>
        <v>Apple</v>
      </c>
    </row>
    <row r="547" spans="1:16" x14ac:dyDescent="0.2">
      <c r="A547">
        <v>546</v>
      </c>
      <c r="B547">
        <v>3877968802</v>
      </c>
      <c r="C547" t="s">
        <v>6</v>
      </c>
      <c r="D547" t="s">
        <v>40</v>
      </c>
      <c r="E547" t="s">
        <v>8</v>
      </c>
      <c r="F547" t="s">
        <v>16</v>
      </c>
      <c r="G547" s="2">
        <f>VLOOKUP(F547,mappings!$G$2:$H$6,2,FALSE)</f>
        <v>3</v>
      </c>
      <c r="H547" t="s">
        <v>43</v>
      </c>
      <c r="I547" s="2">
        <f>VLOOKUP(H547,mappings!$D$2:$E$6,2,FALSE)</f>
        <v>4</v>
      </c>
      <c r="J547" t="s">
        <v>36</v>
      </c>
      <c r="K547" t="s">
        <v>14</v>
      </c>
      <c r="L547" s="2">
        <f>VLOOKUP(K547,mappings!$A$2:$B$13,2,FALSE)</f>
        <v>6</v>
      </c>
      <c r="M547" t="s">
        <v>24</v>
      </c>
      <c r="N547" t="str">
        <f>VLOOKUP(E547,mappings!$L$1:$M$110,2,FALSE)</f>
        <v>No answer provided</v>
      </c>
      <c r="O547" t="str">
        <f>VLOOKUP(E547,mappings!L:O,3,FALSE)</f>
        <v>No answer provided</v>
      </c>
      <c r="P547" t="str">
        <f>VLOOKUP(E547,mappings!L:P,4,FALSE)</f>
        <v>No answer provided</v>
      </c>
    </row>
    <row r="548" spans="1:16" x14ac:dyDescent="0.2">
      <c r="A548">
        <v>547</v>
      </c>
      <c r="B548">
        <v>3877966982</v>
      </c>
      <c r="C548" t="s">
        <v>6</v>
      </c>
      <c r="D548" t="s">
        <v>7</v>
      </c>
      <c r="E548" t="s">
        <v>8</v>
      </c>
      <c r="F548" t="s">
        <v>16</v>
      </c>
      <c r="G548" s="2">
        <f>VLOOKUP(F548,mappings!$G$2:$H$6,2,FALSE)</f>
        <v>3</v>
      </c>
      <c r="H548" t="s">
        <v>162</v>
      </c>
      <c r="I548" s="2">
        <f>VLOOKUP(H548,mappings!$D$2:$E$6,2,FALSE)</f>
        <v>1</v>
      </c>
      <c r="J548" t="s">
        <v>36</v>
      </c>
      <c r="K548" t="s">
        <v>39</v>
      </c>
      <c r="L548" s="2">
        <f>VLOOKUP(K548,mappings!$A$2:$B$13,2,FALSE)</f>
        <v>10</v>
      </c>
      <c r="M548" t="s">
        <v>38</v>
      </c>
      <c r="N548" t="str">
        <f>VLOOKUP(E548,mappings!$L$1:$M$110,2,FALSE)</f>
        <v>No answer provided</v>
      </c>
      <c r="O548" t="str">
        <f>VLOOKUP(E548,mappings!L:O,3,FALSE)</f>
        <v>No answer provided</v>
      </c>
      <c r="P548" t="str">
        <f>VLOOKUP(E548,mappings!L:P,4,FALSE)</f>
        <v>No answer provided</v>
      </c>
    </row>
    <row r="549" spans="1:16" x14ac:dyDescent="0.2">
      <c r="A549">
        <v>548</v>
      </c>
      <c r="B549">
        <v>3877965710</v>
      </c>
      <c r="C549" t="s">
        <v>6</v>
      </c>
      <c r="D549" t="s">
        <v>1</v>
      </c>
      <c r="E549" t="s">
        <v>120</v>
      </c>
      <c r="F549" t="s">
        <v>9</v>
      </c>
      <c r="G549" s="2">
        <f>VLOOKUP(F549,mappings!$G$2:$H$6,2,FALSE)</f>
        <v>4</v>
      </c>
      <c r="H549" t="s">
        <v>163</v>
      </c>
      <c r="I549" s="2">
        <f>VLOOKUP(H549,mappings!$D$2:$E$6,2,FALSE)</f>
        <v>3</v>
      </c>
      <c r="J549" t="s">
        <v>36</v>
      </c>
      <c r="K549" t="s">
        <v>14</v>
      </c>
      <c r="L549" s="2">
        <f>VLOOKUP(K549,mappings!$A$2:$B$13,2,FALSE)</f>
        <v>6</v>
      </c>
      <c r="M549" t="s">
        <v>34</v>
      </c>
      <c r="N549" t="str">
        <f>VLOOKUP(E549,mappings!$L$1:$M$110,2,FALSE)</f>
        <v>AccuWeather</v>
      </c>
      <c r="O549" t="str">
        <f>VLOOKUP(E549,mappings!L:O,3,FALSE)</f>
        <v>Website</v>
      </c>
      <c r="P549" t="str">
        <f>VLOOKUP(E549,mappings!L:P,4,FALSE)</f>
        <v>Other or unkown</v>
      </c>
    </row>
    <row r="550" spans="1:16" x14ac:dyDescent="0.2">
      <c r="A550">
        <v>549</v>
      </c>
      <c r="B550">
        <v>3877965544</v>
      </c>
      <c r="C550" t="s">
        <v>6</v>
      </c>
      <c r="D550" t="s">
        <v>31</v>
      </c>
      <c r="E550" t="s">
        <v>8</v>
      </c>
      <c r="F550" t="s">
        <v>22</v>
      </c>
      <c r="G550" s="2">
        <f>VLOOKUP(F550,mappings!$G$2:$H$6,2,FALSE)</f>
        <v>1</v>
      </c>
      <c r="H550" t="s">
        <v>43</v>
      </c>
      <c r="I550" s="2">
        <f>VLOOKUP(H550,mappings!$D$2:$E$6,2,FALSE)</f>
        <v>4</v>
      </c>
      <c r="J550" t="s">
        <v>10</v>
      </c>
      <c r="K550" t="s">
        <v>33</v>
      </c>
      <c r="L550" s="2">
        <f>VLOOKUP(K550,mappings!$A$2:$B$13,2,FALSE)</f>
        <v>5</v>
      </c>
      <c r="M550" t="s">
        <v>34</v>
      </c>
      <c r="N550" t="str">
        <f>VLOOKUP(E550,mappings!$L$1:$M$110,2,FALSE)</f>
        <v>No answer provided</v>
      </c>
      <c r="O550" t="str">
        <f>VLOOKUP(E550,mappings!L:O,3,FALSE)</f>
        <v>No answer provided</v>
      </c>
      <c r="P550" t="str">
        <f>VLOOKUP(E550,mappings!L:P,4,FALSE)</f>
        <v>No answer provided</v>
      </c>
    </row>
    <row r="551" spans="1:16" x14ac:dyDescent="0.2">
      <c r="A551">
        <v>550</v>
      </c>
      <c r="B551">
        <v>3877961612</v>
      </c>
      <c r="C551" t="s">
        <v>6</v>
      </c>
      <c r="D551" t="s">
        <v>7</v>
      </c>
      <c r="E551" t="s">
        <v>8</v>
      </c>
      <c r="F551" t="s">
        <v>9</v>
      </c>
      <c r="G551" s="2">
        <f>VLOOKUP(F551,mappings!$G$2:$H$6,2,FALSE)</f>
        <v>4</v>
      </c>
      <c r="H551" t="s">
        <v>162</v>
      </c>
      <c r="I551" s="2">
        <f>VLOOKUP(H551,mappings!$D$2:$E$6,2,FALSE)</f>
        <v>1</v>
      </c>
      <c r="J551" t="s">
        <v>36</v>
      </c>
      <c r="K551" t="s">
        <v>32</v>
      </c>
      <c r="L551" s="2">
        <f>VLOOKUP(K551,mappings!$A$2:$B$13,2,FALSE)</f>
        <v>2</v>
      </c>
      <c r="M551" t="s">
        <v>12</v>
      </c>
      <c r="N551" t="str">
        <f>VLOOKUP(E551,mappings!$L$1:$M$110,2,FALSE)</f>
        <v>No answer provided</v>
      </c>
      <c r="O551" t="str">
        <f>VLOOKUP(E551,mappings!L:O,3,FALSE)</f>
        <v>No answer provided</v>
      </c>
      <c r="P551" t="str">
        <f>VLOOKUP(E551,mappings!L:P,4,FALSE)</f>
        <v>No answer provided</v>
      </c>
    </row>
    <row r="552" spans="1:16" x14ac:dyDescent="0.2">
      <c r="A552">
        <v>551</v>
      </c>
      <c r="B552">
        <v>3877960106</v>
      </c>
      <c r="C552" t="s">
        <v>26</v>
      </c>
      <c r="D552" t="s">
        <v>27</v>
      </c>
      <c r="E552" t="s">
        <v>8</v>
      </c>
      <c r="F552" t="s">
        <v>28</v>
      </c>
      <c r="G552" s="2">
        <f>VLOOKUP(F552,mappings!$G$2:$H$6,2,FALSE)</f>
        <v>2</v>
      </c>
      <c r="H552" t="s">
        <v>162</v>
      </c>
      <c r="I552" s="2">
        <f>VLOOKUP(H552,mappings!$D$2:$E$6,2,FALSE)</f>
        <v>1</v>
      </c>
      <c r="J552" t="s">
        <v>36</v>
      </c>
      <c r="K552" t="s">
        <v>23</v>
      </c>
      <c r="L552" s="2">
        <f>VLOOKUP(K552,mappings!$A$2:$B$13,2,FALSE)</f>
        <v>3</v>
      </c>
      <c r="M552" t="s">
        <v>24</v>
      </c>
      <c r="N552" t="str">
        <f>VLOOKUP(E552,mappings!$L$1:$M$110,2,FALSE)</f>
        <v>No answer provided</v>
      </c>
      <c r="O552" t="str">
        <f>VLOOKUP(E552,mappings!L:O,3,FALSE)</f>
        <v>No answer provided</v>
      </c>
      <c r="P552" t="str">
        <f>VLOOKUP(E552,mappings!L:P,4,FALSE)</f>
        <v>No answer provided</v>
      </c>
    </row>
    <row r="553" spans="1:16" x14ac:dyDescent="0.2">
      <c r="A553">
        <v>552</v>
      </c>
      <c r="B553">
        <v>3877958234</v>
      </c>
      <c r="C553" t="s">
        <v>26</v>
      </c>
      <c r="D553" t="s">
        <v>1</v>
      </c>
      <c r="E553" t="s">
        <v>121</v>
      </c>
      <c r="F553" t="s">
        <v>16</v>
      </c>
      <c r="G553" s="2">
        <f>VLOOKUP(F553,mappings!$G$2:$H$6,2,FALSE)</f>
        <v>3</v>
      </c>
      <c r="H553" t="s">
        <v>163</v>
      </c>
      <c r="I553" s="2">
        <f>VLOOKUP(H553,mappings!$D$2:$E$6,2,FALSE)</f>
        <v>3</v>
      </c>
      <c r="J553" t="s">
        <v>36</v>
      </c>
      <c r="K553" t="s">
        <v>14</v>
      </c>
      <c r="L553" s="2">
        <f>VLOOKUP(K553,mappings!$A$2:$B$13,2,FALSE)</f>
        <v>6</v>
      </c>
      <c r="M553" t="s">
        <v>34</v>
      </c>
      <c r="N553" t="str">
        <f>VLOOKUP(E553,mappings!$L$1:$M$110,2,FALSE)</f>
        <v>National Weather Service</v>
      </c>
      <c r="O553" t="str">
        <f>VLOOKUP(E553,mappings!L:O,3,FALSE)</f>
        <v>Website</v>
      </c>
      <c r="P553" t="str">
        <f>VLOOKUP(E553,mappings!L:P,4,FALSE)</f>
        <v>Other or unkown</v>
      </c>
    </row>
    <row r="554" spans="1:16" x14ac:dyDescent="0.2">
      <c r="A554">
        <v>553</v>
      </c>
      <c r="B554">
        <v>3877957277</v>
      </c>
      <c r="C554" t="s">
        <v>6</v>
      </c>
      <c r="D554" t="s">
        <v>27</v>
      </c>
      <c r="E554" t="s">
        <v>8</v>
      </c>
      <c r="F554" t="s">
        <v>9</v>
      </c>
      <c r="G554" s="2">
        <f>VLOOKUP(F554,mappings!$G$2:$H$6,2,FALSE)</f>
        <v>4</v>
      </c>
      <c r="H554" t="s">
        <v>163</v>
      </c>
      <c r="I554" s="2">
        <f>VLOOKUP(H554,mappings!$D$2:$E$6,2,FALSE)</f>
        <v>3</v>
      </c>
      <c r="J554" t="s">
        <v>36</v>
      </c>
      <c r="K554" t="s">
        <v>13</v>
      </c>
      <c r="L554" s="2">
        <f>VLOOKUP(K554,mappings!$A$2:$B$13,2,FALSE)</f>
        <v>11</v>
      </c>
      <c r="M554" t="s">
        <v>42</v>
      </c>
      <c r="N554" t="str">
        <f>VLOOKUP(E554,mappings!$L$1:$M$110,2,FALSE)</f>
        <v>No answer provided</v>
      </c>
      <c r="O554" t="str">
        <f>VLOOKUP(E554,mappings!L:O,3,FALSE)</f>
        <v>No answer provided</v>
      </c>
      <c r="P554" t="str">
        <f>VLOOKUP(E554,mappings!L:P,4,FALSE)</f>
        <v>No answer provided</v>
      </c>
    </row>
    <row r="555" spans="1:16" x14ac:dyDescent="0.2">
      <c r="A555">
        <v>554</v>
      </c>
      <c r="B555">
        <v>3877955881</v>
      </c>
      <c r="C555" t="s">
        <v>26</v>
      </c>
      <c r="D555" t="s">
        <v>31</v>
      </c>
      <c r="E555" t="s">
        <v>8</v>
      </c>
      <c r="F555" t="s">
        <v>22</v>
      </c>
      <c r="G555" s="2">
        <f>VLOOKUP(F555,mappings!$G$2:$H$6,2,FALSE)</f>
        <v>1</v>
      </c>
      <c r="H555" t="s">
        <v>163</v>
      </c>
      <c r="I555" s="2">
        <f>VLOOKUP(H555,mappings!$D$2:$E$6,2,FALSE)</f>
        <v>3</v>
      </c>
      <c r="J555" t="s">
        <v>36</v>
      </c>
      <c r="K555" t="s">
        <v>48</v>
      </c>
      <c r="L555" s="2">
        <f>VLOOKUP(K555,mappings!$A$2:$B$13,2,FALSE)</f>
        <v>7</v>
      </c>
      <c r="M555" t="s">
        <v>20</v>
      </c>
      <c r="N555" t="str">
        <f>VLOOKUP(E555,mappings!$L$1:$M$110,2,FALSE)</f>
        <v>No answer provided</v>
      </c>
      <c r="O555" t="str">
        <f>VLOOKUP(E555,mappings!L:O,3,FALSE)</f>
        <v>No answer provided</v>
      </c>
      <c r="P555" t="str">
        <f>VLOOKUP(E555,mappings!L:P,4,FALSE)</f>
        <v>No answer provided</v>
      </c>
    </row>
    <row r="556" spans="1:16" x14ac:dyDescent="0.2">
      <c r="A556">
        <v>555</v>
      </c>
      <c r="B556">
        <v>3877955839</v>
      </c>
      <c r="C556" t="s">
        <v>6</v>
      </c>
      <c r="D556" t="s">
        <v>31</v>
      </c>
      <c r="E556" t="s">
        <v>8</v>
      </c>
      <c r="F556" t="s">
        <v>9</v>
      </c>
      <c r="G556" s="2">
        <f>VLOOKUP(F556,mappings!$G$2:$H$6,2,FALSE)</f>
        <v>4</v>
      </c>
      <c r="H556" t="s">
        <v>162</v>
      </c>
      <c r="I556" s="2">
        <f>VLOOKUP(H556,mappings!$D$2:$E$6,2,FALSE)</f>
        <v>1</v>
      </c>
      <c r="J556" t="s">
        <v>36</v>
      </c>
      <c r="K556" t="s">
        <v>32</v>
      </c>
      <c r="L556" s="2">
        <f>VLOOKUP(K556,mappings!$A$2:$B$13,2,FALSE)</f>
        <v>2</v>
      </c>
      <c r="M556" t="s">
        <v>15</v>
      </c>
      <c r="N556" t="str">
        <f>VLOOKUP(E556,mappings!$L$1:$M$110,2,FALSE)</f>
        <v>No answer provided</v>
      </c>
      <c r="O556" t="str">
        <f>VLOOKUP(E556,mappings!L:O,3,FALSE)</f>
        <v>No answer provided</v>
      </c>
      <c r="P556" t="str">
        <f>VLOOKUP(E556,mappings!L:P,4,FALSE)</f>
        <v>No answer provided</v>
      </c>
    </row>
    <row r="557" spans="1:16" x14ac:dyDescent="0.2">
      <c r="A557">
        <v>556</v>
      </c>
      <c r="B557">
        <v>3877955798</v>
      </c>
      <c r="C557" t="s">
        <v>6</v>
      </c>
      <c r="D557" t="s">
        <v>7</v>
      </c>
      <c r="E557" t="s">
        <v>8</v>
      </c>
      <c r="F557" t="s">
        <v>9</v>
      </c>
      <c r="G557" s="2">
        <f>VLOOKUP(F557,mappings!$G$2:$H$6,2,FALSE)</f>
        <v>4</v>
      </c>
      <c r="H557" t="s">
        <v>43</v>
      </c>
      <c r="I557" s="2">
        <f>VLOOKUP(H557,mappings!$D$2:$E$6,2,FALSE)</f>
        <v>4</v>
      </c>
      <c r="J557" t="s">
        <v>10</v>
      </c>
      <c r="K557" t="s">
        <v>11</v>
      </c>
      <c r="L557" s="2">
        <f>VLOOKUP(K557,mappings!$A$2:$B$13,2,FALSE)</f>
        <v>4</v>
      </c>
      <c r="M557" t="s">
        <v>25</v>
      </c>
      <c r="N557" t="str">
        <f>VLOOKUP(E557,mappings!$L$1:$M$110,2,FALSE)</f>
        <v>No answer provided</v>
      </c>
      <c r="O557" t="str">
        <f>VLOOKUP(E557,mappings!L:O,3,FALSE)</f>
        <v>No answer provided</v>
      </c>
      <c r="P557" t="str">
        <f>VLOOKUP(E557,mappings!L:P,4,FALSE)</f>
        <v>No answer provided</v>
      </c>
    </row>
    <row r="558" spans="1:16" x14ac:dyDescent="0.2">
      <c r="A558">
        <v>557</v>
      </c>
      <c r="B558">
        <v>3877954334</v>
      </c>
      <c r="C558" t="s">
        <v>6</v>
      </c>
      <c r="D558" t="s">
        <v>7</v>
      </c>
      <c r="E558" t="s">
        <v>8</v>
      </c>
      <c r="F558" t="s">
        <v>22</v>
      </c>
      <c r="G558" s="2">
        <f>VLOOKUP(F558,mappings!$G$2:$H$6,2,FALSE)</f>
        <v>1</v>
      </c>
      <c r="H558" t="s">
        <v>163</v>
      </c>
      <c r="I558" s="2">
        <f>VLOOKUP(H558,mappings!$D$2:$E$6,2,FALSE)</f>
        <v>3</v>
      </c>
      <c r="J558" t="s">
        <v>36</v>
      </c>
      <c r="K558" t="s">
        <v>47</v>
      </c>
      <c r="L558" s="2">
        <f>VLOOKUP(K558,mappings!$A$2:$B$13,2,FALSE)</f>
        <v>9</v>
      </c>
      <c r="M558" t="s">
        <v>15</v>
      </c>
      <c r="N558" t="str">
        <f>VLOOKUP(E558,mappings!$L$1:$M$110,2,FALSE)</f>
        <v>No answer provided</v>
      </c>
      <c r="O558" t="str">
        <f>VLOOKUP(E558,mappings!L:O,3,FALSE)</f>
        <v>No answer provided</v>
      </c>
      <c r="P558" t="str">
        <f>VLOOKUP(E558,mappings!L:P,4,FALSE)</f>
        <v>No answer provided</v>
      </c>
    </row>
    <row r="559" spans="1:16" x14ac:dyDescent="0.2">
      <c r="A559">
        <v>558</v>
      </c>
      <c r="B559">
        <v>3877953647</v>
      </c>
      <c r="C559" t="s">
        <v>6</v>
      </c>
      <c r="D559" t="s">
        <v>27</v>
      </c>
      <c r="E559" t="s">
        <v>8</v>
      </c>
      <c r="F559" t="s">
        <v>9</v>
      </c>
      <c r="G559" s="2">
        <f>VLOOKUP(F559,mappings!$G$2:$H$6,2,FALSE)</f>
        <v>4</v>
      </c>
      <c r="H559" t="s">
        <v>43</v>
      </c>
      <c r="I559" s="2">
        <f>VLOOKUP(H559,mappings!$D$2:$E$6,2,FALSE)</f>
        <v>4</v>
      </c>
      <c r="J559" t="s">
        <v>36</v>
      </c>
      <c r="K559" t="s">
        <v>33</v>
      </c>
      <c r="L559" s="2">
        <f>VLOOKUP(K559,mappings!$A$2:$B$13,2,FALSE)</f>
        <v>5</v>
      </c>
      <c r="M559" t="s">
        <v>24</v>
      </c>
      <c r="N559" t="str">
        <f>VLOOKUP(E559,mappings!$L$1:$M$110,2,FALSE)</f>
        <v>No answer provided</v>
      </c>
      <c r="O559" t="str">
        <f>VLOOKUP(E559,mappings!L:O,3,FALSE)</f>
        <v>No answer provided</v>
      </c>
      <c r="P559" t="str">
        <f>VLOOKUP(E559,mappings!L:P,4,FALSE)</f>
        <v>No answer provided</v>
      </c>
    </row>
    <row r="560" spans="1:16" x14ac:dyDescent="0.2">
      <c r="A560">
        <v>559</v>
      </c>
      <c r="B560">
        <v>3877950102</v>
      </c>
      <c r="C560" t="s">
        <v>6</v>
      </c>
      <c r="D560" t="s">
        <v>7</v>
      </c>
      <c r="E560" t="s">
        <v>8</v>
      </c>
      <c r="F560" t="s">
        <v>9</v>
      </c>
      <c r="G560" s="2">
        <f>VLOOKUP(F560,mappings!$G$2:$H$6,2,FALSE)</f>
        <v>4</v>
      </c>
      <c r="H560" t="s">
        <v>43</v>
      </c>
      <c r="I560" s="2">
        <f>VLOOKUP(H560,mappings!$D$2:$E$6,2,FALSE)</f>
        <v>4</v>
      </c>
      <c r="J560" t="s">
        <v>36</v>
      </c>
      <c r="K560" t="s">
        <v>13</v>
      </c>
      <c r="L560" s="2">
        <f>VLOOKUP(K560,mappings!$A$2:$B$13,2,FALSE)</f>
        <v>11</v>
      </c>
      <c r="M560" t="s">
        <v>30</v>
      </c>
      <c r="N560" t="str">
        <f>VLOOKUP(E560,mappings!$L$1:$M$110,2,FALSE)</f>
        <v>No answer provided</v>
      </c>
      <c r="O560" t="str">
        <f>VLOOKUP(E560,mappings!L:O,3,FALSE)</f>
        <v>No answer provided</v>
      </c>
      <c r="P560" t="str">
        <f>VLOOKUP(E560,mappings!L:P,4,FALSE)</f>
        <v>No answer provided</v>
      </c>
    </row>
    <row r="561" spans="1:16" x14ac:dyDescent="0.2">
      <c r="A561">
        <v>560</v>
      </c>
      <c r="B561">
        <v>3877949696</v>
      </c>
      <c r="C561" t="s">
        <v>6</v>
      </c>
      <c r="D561" t="s">
        <v>7</v>
      </c>
      <c r="E561" t="s">
        <v>8</v>
      </c>
      <c r="F561" t="s">
        <v>22</v>
      </c>
      <c r="G561" s="2">
        <f>VLOOKUP(F561,mappings!$G$2:$H$6,2,FALSE)</f>
        <v>1</v>
      </c>
      <c r="H561" t="s">
        <v>161</v>
      </c>
      <c r="I561" s="2">
        <f>VLOOKUP(H561,mappings!$D$2:$E$6,2,FALSE)</f>
        <v>2</v>
      </c>
      <c r="J561" t="s">
        <v>36</v>
      </c>
      <c r="K561" t="s">
        <v>13</v>
      </c>
      <c r="L561" s="2">
        <f>VLOOKUP(K561,mappings!$A$2:$B$13,2,FALSE)</f>
        <v>11</v>
      </c>
      <c r="M561" t="s">
        <v>12</v>
      </c>
      <c r="N561" t="str">
        <f>VLOOKUP(E561,mappings!$L$1:$M$110,2,FALSE)</f>
        <v>No answer provided</v>
      </c>
      <c r="O561" t="str">
        <f>VLOOKUP(E561,mappings!L:O,3,FALSE)</f>
        <v>No answer provided</v>
      </c>
      <c r="P561" t="str">
        <f>VLOOKUP(E561,mappings!L:P,4,FALSE)</f>
        <v>No answer provided</v>
      </c>
    </row>
    <row r="562" spans="1:16" x14ac:dyDescent="0.2">
      <c r="A562">
        <v>561</v>
      </c>
      <c r="B562">
        <v>3877949284</v>
      </c>
      <c r="C562" t="s">
        <v>6</v>
      </c>
      <c r="D562" t="s">
        <v>21</v>
      </c>
      <c r="E562" t="s">
        <v>8</v>
      </c>
      <c r="F562" t="s">
        <v>9</v>
      </c>
      <c r="G562" s="2">
        <f>VLOOKUP(F562,mappings!$G$2:$H$6,2,FALSE)</f>
        <v>4</v>
      </c>
      <c r="H562" t="s">
        <v>43</v>
      </c>
      <c r="I562" s="2">
        <f>VLOOKUP(H562,mappings!$D$2:$E$6,2,FALSE)</f>
        <v>4</v>
      </c>
      <c r="J562" t="s">
        <v>10</v>
      </c>
      <c r="K562" t="s">
        <v>14</v>
      </c>
      <c r="L562" s="2">
        <f>VLOOKUP(K562,mappings!$A$2:$B$13,2,FALSE)</f>
        <v>6</v>
      </c>
      <c r="M562" t="s">
        <v>34</v>
      </c>
      <c r="N562" t="str">
        <f>VLOOKUP(E562,mappings!$L$1:$M$110,2,FALSE)</f>
        <v>No answer provided</v>
      </c>
      <c r="O562" t="str">
        <f>VLOOKUP(E562,mappings!L:O,3,FALSE)</f>
        <v>No answer provided</v>
      </c>
      <c r="P562" t="str">
        <f>VLOOKUP(E562,mappings!L:P,4,FALSE)</f>
        <v>No answer provided</v>
      </c>
    </row>
    <row r="563" spans="1:16" x14ac:dyDescent="0.2">
      <c r="A563">
        <v>562</v>
      </c>
      <c r="B563">
        <v>3877948332</v>
      </c>
      <c r="C563" t="s">
        <v>6</v>
      </c>
      <c r="D563" t="s">
        <v>31</v>
      </c>
      <c r="E563" t="s">
        <v>8</v>
      </c>
      <c r="F563" t="s">
        <v>9</v>
      </c>
      <c r="G563" s="2">
        <f>VLOOKUP(F563,mappings!$G$2:$H$6,2,FALSE)</f>
        <v>4</v>
      </c>
      <c r="H563" t="s">
        <v>163</v>
      </c>
      <c r="I563" s="2">
        <f>VLOOKUP(H563,mappings!$D$2:$E$6,2,FALSE)</f>
        <v>3</v>
      </c>
      <c r="J563" t="s">
        <v>36</v>
      </c>
      <c r="K563" t="s">
        <v>23</v>
      </c>
      <c r="L563" s="2">
        <f>VLOOKUP(K563,mappings!$A$2:$B$13,2,FALSE)</f>
        <v>3</v>
      </c>
      <c r="M563" t="s">
        <v>15</v>
      </c>
      <c r="N563" t="str">
        <f>VLOOKUP(E563,mappings!$L$1:$M$110,2,FALSE)</f>
        <v>No answer provided</v>
      </c>
      <c r="O563" t="str">
        <f>VLOOKUP(E563,mappings!L:O,3,FALSE)</f>
        <v>No answer provided</v>
      </c>
      <c r="P563" t="str">
        <f>VLOOKUP(E563,mappings!L:P,4,FALSE)</f>
        <v>No answer provided</v>
      </c>
    </row>
    <row r="564" spans="1:16" x14ac:dyDescent="0.2">
      <c r="A564">
        <v>563</v>
      </c>
      <c r="B564">
        <v>3877946979</v>
      </c>
      <c r="C564" t="s">
        <v>6</v>
      </c>
      <c r="D564" t="s">
        <v>1</v>
      </c>
      <c r="E564" t="s">
        <v>122</v>
      </c>
      <c r="F564" t="s">
        <v>22</v>
      </c>
      <c r="G564" s="2">
        <f>VLOOKUP(F564,mappings!$G$2:$H$6,2,FALSE)</f>
        <v>1</v>
      </c>
      <c r="H564" t="s">
        <v>161</v>
      </c>
      <c r="I564" s="2">
        <f>VLOOKUP(H564,mappings!$D$2:$E$6,2,FALSE)</f>
        <v>2</v>
      </c>
      <c r="J564" t="s">
        <v>36</v>
      </c>
      <c r="K564" t="s">
        <v>18</v>
      </c>
      <c r="L564" s="2">
        <f>VLOOKUP(K564,mappings!$A$2:$B$13,2,FALSE)</f>
        <v>8</v>
      </c>
      <c r="M564" t="s">
        <v>24</v>
      </c>
      <c r="N564" t="str">
        <f>VLOOKUP(E564,mappings!$L$1:$M$110,2,FALSE)</f>
        <v>The Weather Channel</v>
      </c>
      <c r="O564" t="str">
        <f>VLOOKUP(E564,mappings!L:O,3,FALSE)</f>
        <v>Website</v>
      </c>
      <c r="P564" t="str">
        <f>VLOOKUP(E564,mappings!L:P,4,FALSE)</f>
        <v>Other or unkown</v>
      </c>
    </row>
    <row r="565" spans="1:16" x14ac:dyDescent="0.2">
      <c r="A565">
        <v>564</v>
      </c>
      <c r="B565">
        <v>3877946354</v>
      </c>
      <c r="C565" t="s">
        <v>6</v>
      </c>
      <c r="D565" t="s">
        <v>31</v>
      </c>
      <c r="E565" t="s">
        <v>8</v>
      </c>
      <c r="F565" t="s">
        <v>22</v>
      </c>
      <c r="G565" s="2">
        <f>VLOOKUP(F565,mappings!$G$2:$H$6,2,FALSE)</f>
        <v>1</v>
      </c>
      <c r="H565" t="s">
        <v>43</v>
      </c>
      <c r="I565" s="2">
        <f>VLOOKUP(H565,mappings!$D$2:$E$6,2,FALSE)</f>
        <v>4</v>
      </c>
      <c r="J565" t="s">
        <v>10</v>
      </c>
      <c r="K565" t="s">
        <v>39</v>
      </c>
      <c r="L565" s="2">
        <f>VLOOKUP(K565,mappings!$A$2:$B$13,2,FALSE)</f>
        <v>10</v>
      </c>
      <c r="M565" t="s">
        <v>24</v>
      </c>
      <c r="N565" t="str">
        <f>VLOOKUP(E565,mappings!$L$1:$M$110,2,FALSE)</f>
        <v>No answer provided</v>
      </c>
      <c r="O565" t="str">
        <f>VLOOKUP(E565,mappings!L:O,3,FALSE)</f>
        <v>No answer provided</v>
      </c>
      <c r="P565" t="str">
        <f>VLOOKUP(E565,mappings!L:P,4,FALSE)</f>
        <v>No answer provided</v>
      </c>
    </row>
    <row r="566" spans="1:16" x14ac:dyDescent="0.2">
      <c r="A566">
        <v>565</v>
      </c>
      <c r="B566">
        <v>3877945582</v>
      </c>
      <c r="C566" t="s">
        <v>6</v>
      </c>
      <c r="D566" t="s">
        <v>27</v>
      </c>
      <c r="E566" t="s">
        <v>8</v>
      </c>
      <c r="F566" t="s">
        <v>9</v>
      </c>
      <c r="G566" s="2">
        <f>VLOOKUP(F566,mappings!$G$2:$H$6,2,FALSE)</f>
        <v>4</v>
      </c>
      <c r="H566" t="s">
        <v>163</v>
      </c>
      <c r="I566" s="2">
        <f>VLOOKUP(H566,mappings!$D$2:$E$6,2,FALSE)</f>
        <v>3</v>
      </c>
      <c r="J566" t="s">
        <v>36</v>
      </c>
      <c r="K566" t="s">
        <v>13</v>
      </c>
      <c r="L566" s="2">
        <f>VLOOKUP(K566,mappings!$A$2:$B$13,2,FALSE)</f>
        <v>11</v>
      </c>
      <c r="M566" t="s">
        <v>12</v>
      </c>
      <c r="N566" t="str">
        <f>VLOOKUP(E566,mappings!$L$1:$M$110,2,FALSE)</f>
        <v>No answer provided</v>
      </c>
      <c r="O566" t="str">
        <f>VLOOKUP(E566,mappings!L:O,3,FALSE)</f>
        <v>No answer provided</v>
      </c>
      <c r="P566" t="str">
        <f>VLOOKUP(E566,mappings!L:P,4,FALSE)</f>
        <v>No answer provided</v>
      </c>
    </row>
    <row r="567" spans="1:16" x14ac:dyDescent="0.2">
      <c r="A567">
        <v>566</v>
      </c>
      <c r="B567">
        <v>3877943483</v>
      </c>
      <c r="C567" t="s">
        <v>26</v>
      </c>
      <c r="D567" t="s">
        <v>31</v>
      </c>
      <c r="E567" t="s">
        <v>8</v>
      </c>
      <c r="F567" t="s">
        <v>22</v>
      </c>
      <c r="G567" s="2">
        <f>VLOOKUP(F567,mappings!$G$2:$H$6,2,FALSE)</f>
        <v>1</v>
      </c>
      <c r="H567" t="s">
        <v>163</v>
      </c>
      <c r="I567" s="2">
        <f>VLOOKUP(H567,mappings!$D$2:$E$6,2,FALSE)</f>
        <v>3</v>
      </c>
      <c r="J567" t="s">
        <v>36</v>
      </c>
      <c r="K567" t="s">
        <v>33</v>
      </c>
      <c r="L567" s="2">
        <f>VLOOKUP(K567,mappings!$A$2:$B$13,2,FALSE)</f>
        <v>5</v>
      </c>
      <c r="M567" t="s">
        <v>12</v>
      </c>
      <c r="N567" t="str">
        <f>VLOOKUP(E567,mappings!$L$1:$M$110,2,FALSE)</f>
        <v>No answer provided</v>
      </c>
      <c r="O567" t="str">
        <f>VLOOKUP(E567,mappings!L:O,3,FALSE)</f>
        <v>No answer provided</v>
      </c>
      <c r="P567" t="str">
        <f>VLOOKUP(E567,mappings!L:P,4,FALSE)</f>
        <v>No answer provided</v>
      </c>
    </row>
    <row r="568" spans="1:16" x14ac:dyDescent="0.2">
      <c r="A568">
        <v>567</v>
      </c>
      <c r="B568">
        <v>3877943300</v>
      </c>
      <c r="C568" t="s">
        <v>6</v>
      </c>
      <c r="D568" t="s">
        <v>27</v>
      </c>
      <c r="E568" t="s">
        <v>8</v>
      </c>
      <c r="F568" t="s">
        <v>9</v>
      </c>
      <c r="G568" s="2">
        <f>VLOOKUP(F568,mappings!$G$2:$H$6,2,FALSE)</f>
        <v>4</v>
      </c>
      <c r="H568" t="s">
        <v>162</v>
      </c>
      <c r="I568" s="2">
        <f>VLOOKUP(H568,mappings!$D$2:$E$6,2,FALSE)</f>
        <v>1</v>
      </c>
      <c r="J568" t="s">
        <v>36</v>
      </c>
      <c r="K568" t="s">
        <v>32</v>
      </c>
      <c r="L568" s="2">
        <f>VLOOKUP(K568,mappings!$A$2:$B$13,2,FALSE)</f>
        <v>2</v>
      </c>
      <c r="M568" t="s">
        <v>38</v>
      </c>
      <c r="N568" t="str">
        <f>VLOOKUP(E568,mappings!$L$1:$M$110,2,FALSE)</f>
        <v>No answer provided</v>
      </c>
      <c r="O568" t="str">
        <f>VLOOKUP(E568,mappings!L:O,3,FALSE)</f>
        <v>No answer provided</v>
      </c>
      <c r="P568" t="str">
        <f>VLOOKUP(E568,mappings!L:P,4,FALSE)</f>
        <v>No answer provided</v>
      </c>
    </row>
    <row r="569" spans="1:16" x14ac:dyDescent="0.2">
      <c r="A569">
        <v>568</v>
      </c>
      <c r="B569">
        <v>3877942496</v>
      </c>
      <c r="C569" t="s">
        <v>26</v>
      </c>
      <c r="D569" t="s">
        <v>31</v>
      </c>
      <c r="E569" t="s">
        <v>8</v>
      </c>
      <c r="F569" t="s">
        <v>16</v>
      </c>
      <c r="G569" s="2">
        <f>VLOOKUP(F569,mappings!$G$2:$H$6,2,FALSE)</f>
        <v>3</v>
      </c>
      <c r="H569" t="s">
        <v>163</v>
      </c>
      <c r="I569" s="2">
        <f>VLOOKUP(H569,mappings!$D$2:$E$6,2,FALSE)</f>
        <v>3</v>
      </c>
      <c r="J569" t="s">
        <v>36</v>
      </c>
      <c r="K569" t="s">
        <v>23</v>
      </c>
      <c r="L569" s="2">
        <f>VLOOKUP(K569,mappings!$A$2:$B$13,2,FALSE)</f>
        <v>3</v>
      </c>
      <c r="M569" t="s">
        <v>30</v>
      </c>
      <c r="N569" t="str">
        <f>VLOOKUP(E569,mappings!$L$1:$M$110,2,FALSE)</f>
        <v>No answer provided</v>
      </c>
      <c r="O569" t="str">
        <f>VLOOKUP(E569,mappings!L:O,3,FALSE)</f>
        <v>No answer provided</v>
      </c>
      <c r="P569" t="str">
        <f>VLOOKUP(E569,mappings!L:P,4,FALSE)</f>
        <v>No answer provided</v>
      </c>
    </row>
    <row r="570" spans="1:16" x14ac:dyDescent="0.2">
      <c r="A570">
        <v>569</v>
      </c>
      <c r="B570">
        <v>3877941352</v>
      </c>
      <c r="C570" t="s">
        <v>6</v>
      </c>
      <c r="D570" t="s">
        <v>21</v>
      </c>
      <c r="E570" t="s">
        <v>8</v>
      </c>
      <c r="F570" t="s">
        <v>9</v>
      </c>
      <c r="G570" s="2">
        <f>VLOOKUP(F570,mappings!$G$2:$H$6,2,FALSE)</f>
        <v>4</v>
      </c>
      <c r="H570" t="s">
        <v>163</v>
      </c>
      <c r="I570" s="2">
        <f>VLOOKUP(H570,mappings!$D$2:$E$6,2,FALSE)</f>
        <v>3</v>
      </c>
      <c r="J570" t="s">
        <v>10</v>
      </c>
      <c r="K570" t="s">
        <v>11</v>
      </c>
      <c r="L570" s="2">
        <f>VLOOKUP(K570,mappings!$A$2:$B$13,2,FALSE)</f>
        <v>4</v>
      </c>
      <c r="M570" t="s">
        <v>42</v>
      </c>
      <c r="N570" t="str">
        <f>VLOOKUP(E570,mappings!$L$1:$M$110,2,FALSE)</f>
        <v>No answer provided</v>
      </c>
      <c r="O570" t="str">
        <f>VLOOKUP(E570,mappings!L:O,3,FALSE)</f>
        <v>No answer provided</v>
      </c>
      <c r="P570" t="str">
        <f>VLOOKUP(E570,mappings!L:P,4,FALSE)</f>
        <v>No answer provided</v>
      </c>
    </row>
    <row r="571" spans="1:16" s="6" customFormat="1" x14ac:dyDescent="0.2">
      <c r="A571" s="6">
        <v>570</v>
      </c>
      <c r="B571" s="6">
        <v>3877941272</v>
      </c>
      <c r="C571" s="6" t="s">
        <v>26</v>
      </c>
      <c r="D571" s="6" t="s">
        <v>8</v>
      </c>
      <c r="E571" s="6" t="s">
        <v>8</v>
      </c>
      <c r="F571" s="6" t="s">
        <v>8</v>
      </c>
      <c r="G571" s="7" t="str">
        <f>VLOOKUP(F571,mappings!$G$2:$H$6,2,FALSE)</f>
        <v>na</v>
      </c>
      <c r="H571" s="6" t="s">
        <v>8</v>
      </c>
      <c r="I571" s="7" t="str">
        <f>VLOOKUP(H571,mappings!$D$2:$E$6,2,FALSE)</f>
        <v>na</v>
      </c>
      <c r="J571" s="6" t="s">
        <v>8</v>
      </c>
      <c r="K571" s="6" t="s">
        <v>8</v>
      </c>
      <c r="L571" s="7" t="str">
        <f>VLOOKUP(K571,mappings!$A$2:$B$13,2,FALSE)</f>
        <v>na</v>
      </c>
      <c r="M571" s="6" t="s">
        <v>8</v>
      </c>
      <c r="N571" t="str">
        <f>VLOOKUP(E571,mappings!$L$1:$M$110,2,FALSE)</f>
        <v>No answer provided</v>
      </c>
      <c r="O571" t="str">
        <f>VLOOKUP(E571,mappings!L:O,3,FALSE)</f>
        <v>No answer provided</v>
      </c>
      <c r="P571" t="str">
        <f>VLOOKUP(E571,mappings!L:P,4,FALSE)</f>
        <v>No answer provided</v>
      </c>
    </row>
    <row r="572" spans="1:16" x14ac:dyDescent="0.2">
      <c r="A572">
        <v>571</v>
      </c>
      <c r="B572">
        <v>3877941245</v>
      </c>
      <c r="C572" t="s">
        <v>6</v>
      </c>
      <c r="D572" t="s">
        <v>27</v>
      </c>
      <c r="E572" t="s">
        <v>8</v>
      </c>
      <c r="F572" t="s">
        <v>16</v>
      </c>
      <c r="G572" s="2">
        <f>VLOOKUP(F572,mappings!$G$2:$H$6,2,FALSE)</f>
        <v>3</v>
      </c>
      <c r="H572" t="s">
        <v>161</v>
      </c>
      <c r="I572" s="2">
        <f>VLOOKUP(H572,mappings!$D$2:$E$6,2,FALSE)</f>
        <v>2</v>
      </c>
      <c r="J572" t="s">
        <v>36</v>
      </c>
      <c r="K572" t="s">
        <v>11</v>
      </c>
      <c r="L572" s="2">
        <f>VLOOKUP(K572,mappings!$A$2:$B$13,2,FALSE)</f>
        <v>4</v>
      </c>
      <c r="M572" t="s">
        <v>15</v>
      </c>
      <c r="N572" t="str">
        <f>VLOOKUP(E572,mappings!$L$1:$M$110,2,FALSE)</f>
        <v>No answer provided</v>
      </c>
      <c r="O572" t="str">
        <f>VLOOKUP(E572,mappings!L:O,3,FALSE)</f>
        <v>No answer provided</v>
      </c>
      <c r="P572" t="str">
        <f>VLOOKUP(E572,mappings!L:P,4,FALSE)</f>
        <v>No answer provided</v>
      </c>
    </row>
    <row r="573" spans="1:16" x14ac:dyDescent="0.2">
      <c r="A573">
        <v>572</v>
      </c>
      <c r="B573">
        <v>3877939977</v>
      </c>
      <c r="C573" t="s">
        <v>6</v>
      </c>
      <c r="D573" t="s">
        <v>21</v>
      </c>
      <c r="E573" t="s">
        <v>8</v>
      </c>
      <c r="F573" t="s">
        <v>9</v>
      </c>
      <c r="G573" s="2">
        <f>VLOOKUP(F573,mappings!$G$2:$H$6,2,FALSE)</f>
        <v>4</v>
      </c>
      <c r="H573" t="s">
        <v>43</v>
      </c>
      <c r="I573" s="2">
        <f>VLOOKUP(H573,mappings!$D$2:$E$6,2,FALSE)</f>
        <v>4</v>
      </c>
      <c r="J573" t="s">
        <v>36</v>
      </c>
      <c r="K573" t="s">
        <v>11</v>
      </c>
      <c r="L573" s="2">
        <f>VLOOKUP(K573,mappings!$A$2:$B$13,2,FALSE)</f>
        <v>4</v>
      </c>
      <c r="M573" t="s">
        <v>20</v>
      </c>
      <c r="N573" t="str">
        <f>VLOOKUP(E573,mappings!$L$1:$M$110,2,FALSE)</f>
        <v>No answer provided</v>
      </c>
      <c r="O573" t="str">
        <f>VLOOKUP(E573,mappings!L:O,3,FALSE)</f>
        <v>No answer provided</v>
      </c>
      <c r="P573" t="str">
        <f>VLOOKUP(E573,mappings!L:P,4,FALSE)</f>
        <v>No answer provided</v>
      </c>
    </row>
    <row r="574" spans="1:16" x14ac:dyDescent="0.2">
      <c r="A574">
        <v>573</v>
      </c>
      <c r="B574">
        <v>3877939933</v>
      </c>
      <c r="C574" t="s">
        <v>6</v>
      </c>
      <c r="D574" t="s">
        <v>21</v>
      </c>
      <c r="E574" t="s">
        <v>8</v>
      </c>
      <c r="F574" t="s">
        <v>9</v>
      </c>
      <c r="G574" s="2">
        <f>VLOOKUP(F574,mappings!$G$2:$H$6,2,FALSE)</f>
        <v>4</v>
      </c>
      <c r="H574" t="s">
        <v>163</v>
      </c>
      <c r="I574" s="2">
        <f>VLOOKUP(H574,mappings!$D$2:$E$6,2,FALSE)</f>
        <v>3</v>
      </c>
      <c r="J574" t="s">
        <v>10</v>
      </c>
      <c r="K574" t="s">
        <v>48</v>
      </c>
      <c r="L574" s="2">
        <f>VLOOKUP(K574,mappings!$A$2:$B$13,2,FALSE)</f>
        <v>7</v>
      </c>
      <c r="M574" t="s">
        <v>30</v>
      </c>
      <c r="N574" t="str">
        <f>VLOOKUP(E574,mappings!$L$1:$M$110,2,FALSE)</f>
        <v>No answer provided</v>
      </c>
      <c r="O574" t="str">
        <f>VLOOKUP(E574,mappings!L:O,3,FALSE)</f>
        <v>No answer provided</v>
      </c>
      <c r="P574" t="str">
        <f>VLOOKUP(E574,mappings!L:P,4,FALSE)</f>
        <v>No answer provided</v>
      </c>
    </row>
    <row r="575" spans="1:16" x14ac:dyDescent="0.2">
      <c r="A575">
        <v>574</v>
      </c>
      <c r="B575">
        <v>3877939431</v>
      </c>
      <c r="C575" t="s">
        <v>6</v>
      </c>
      <c r="D575" t="s">
        <v>1</v>
      </c>
      <c r="E575" t="s">
        <v>123</v>
      </c>
      <c r="F575" t="s">
        <v>9</v>
      </c>
      <c r="G575" s="2">
        <f>VLOOKUP(F575,mappings!$G$2:$H$6,2,FALSE)</f>
        <v>4</v>
      </c>
      <c r="H575" t="s">
        <v>162</v>
      </c>
      <c r="I575" s="2">
        <f>VLOOKUP(H575,mappings!$D$2:$E$6,2,FALSE)</f>
        <v>1</v>
      </c>
      <c r="J575" t="s">
        <v>36</v>
      </c>
      <c r="K575" t="s">
        <v>23</v>
      </c>
      <c r="L575" s="2">
        <f>VLOOKUP(K575,mappings!$A$2:$B$13,2,FALSE)</f>
        <v>3</v>
      </c>
      <c r="M575" t="s">
        <v>24</v>
      </c>
      <c r="N575" t="str">
        <f>VLOOKUP(E575,mappings!$L$1:$M$110,2,FALSE)</f>
        <v>Other search engines</v>
      </c>
      <c r="O575" t="str">
        <f>VLOOKUP(E575,mappings!L:O,3,FALSE)</f>
        <v>App</v>
      </c>
      <c r="P575" t="str">
        <f>VLOOKUP(E575,mappings!L:P,4,FALSE)</f>
        <v>Android</v>
      </c>
    </row>
    <row r="576" spans="1:16" x14ac:dyDescent="0.2">
      <c r="A576">
        <v>575</v>
      </c>
      <c r="B576">
        <v>3877937093</v>
      </c>
      <c r="C576" t="s">
        <v>6</v>
      </c>
      <c r="D576" t="s">
        <v>27</v>
      </c>
      <c r="E576" t="s">
        <v>8</v>
      </c>
      <c r="F576" t="s">
        <v>9</v>
      </c>
      <c r="G576" s="2">
        <f>VLOOKUP(F576,mappings!$G$2:$H$6,2,FALSE)</f>
        <v>4</v>
      </c>
      <c r="H576" t="s">
        <v>162</v>
      </c>
      <c r="I576" s="2">
        <f>VLOOKUP(H576,mappings!$D$2:$E$6,2,FALSE)</f>
        <v>1</v>
      </c>
      <c r="J576" t="s">
        <v>36</v>
      </c>
      <c r="K576" t="s">
        <v>13</v>
      </c>
      <c r="L576" s="2">
        <f>VLOOKUP(K576,mappings!$A$2:$B$13,2,FALSE)</f>
        <v>11</v>
      </c>
      <c r="M576" t="s">
        <v>20</v>
      </c>
      <c r="N576" t="str">
        <f>VLOOKUP(E576,mappings!$L$1:$M$110,2,FALSE)</f>
        <v>No answer provided</v>
      </c>
      <c r="O576" t="str">
        <f>VLOOKUP(E576,mappings!L:O,3,FALSE)</f>
        <v>No answer provided</v>
      </c>
      <c r="P576" t="str">
        <f>VLOOKUP(E576,mappings!L:P,4,FALSE)</f>
        <v>No answer provided</v>
      </c>
    </row>
    <row r="577" spans="1:16" x14ac:dyDescent="0.2">
      <c r="A577">
        <v>576</v>
      </c>
      <c r="B577">
        <v>3877936279</v>
      </c>
      <c r="C577" t="s">
        <v>6</v>
      </c>
      <c r="D577" t="s">
        <v>1</v>
      </c>
      <c r="E577" t="s">
        <v>70</v>
      </c>
      <c r="F577" t="s">
        <v>9</v>
      </c>
      <c r="G577" s="2">
        <f>VLOOKUP(F577,mappings!$G$2:$H$6,2,FALSE)</f>
        <v>4</v>
      </c>
      <c r="H577" t="s">
        <v>43</v>
      </c>
      <c r="I577" s="2">
        <f>VLOOKUP(H577,mappings!$D$2:$E$6,2,FALSE)</f>
        <v>4</v>
      </c>
      <c r="J577" t="s">
        <v>36</v>
      </c>
      <c r="K577" t="s">
        <v>13</v>
      </c>
      <c r="L577" s="2">
        <f>VLOOKUP(K577,mappings!$A$2:$B$13,2,FALSE)</f>
        <v>11</v>
      </c>
      <c r="M577" t="s">
        <v>30</v>
      </c>
      <c r="N577" t="str">
        <f>VLOOKUP(E577,mappings!$L$1:$M$110,2,FALSE)</f>
        <v>AccuWeather</v>
      </c>
      <c r="O577" t="str">
        <f>VLOOKUP(E577,mappings!L:O,3,FALSE)</f>
        <v>Website</v>
      </c>
      <c r="P577" t="str">
        <f>VLOOKUP(E577,mappings!L:P,4,FALSE)</f>
        <v>Other or unkown</v>
      </c>
    </row>
    <row r="578" spans="1:16" s="6" customFormat="1" x14ac:dyDescent="0.2">
      <c r="A578" s="6">
        <v>577</v>
      </c>
      <c r="B578" s="6">
        <v>3877934942</v>
      </c>
      <c r="C578" s="6" t="s">
        <v>6</v>
      </c>
      <c r="D578" s="6" t="s">
        <v>8</v>
      </c>
      <c r="E578" s="6" t="s">
        <v>8</v>
      </c>
      <c r="F578" s="6" t="s">
        <v>8</v>
      </c>
      <c r="G578" s="7" t="str">
        <f>VLOOKUP(F578,mappings!$G$2:$H$6,2,FALSE)</f>
        <v>na</v>
      </c>
      <c r="H578" s="6" t="s">
        <v>8</v>
      </c>
      <c r="I578" s="7" t="str">
        <f>VLOOKUP(H578,mappings!$D$2:$E$6,2,FALSE)</f>
        <v>na</v>
      </c>
      <c r="J578" s="6" t="s">
        <v>8</v>
      </c>
      <c r="K578" s="6" t="s">
        <v>8</v>
      </c>
      <c r="L578" s="7" t="str">
        <f>VLOOKUP(K578,mappings!$A$2:$B$13,2,FALSE)</f>
        <v>na</v>
      </c>
      <c r="M578" s="6" t="s">
        <v>8</v>
      </c>
      <c r="N578" t="str">
        <f>VLOOKUP(E578,mappings!$L$1:$M$110,2,FALSE)</f>
        <v>No answer provided</v>
      </c>
      <c r="O578" t="str">
        <f>VLOOKUP(E578,mappings!L:O,3,FALSE)</f>
        <v>No answer provided</v>
      </c>
      <c r="P578" t="str">
        <f>VLOOKUP(E578,mappings!L:P,4,FALSE)</f>
        <v>No answer provided</v>
      </c>
    </row>
    <row r="579" spans="1:16" x14ac:dyDescent="0.2">
      <c r="A579">
        <v>578</v>
      </c>
      <c r="B579">
        <v>3877934726</v>
      </c>
      <c r="C579" t="s">
        <v>6</v>
      </c>
      <c r="D579" t="s">
        <v>41</v>
      </c>
      <c r="E579" t="s">
        <v>8</v>
      </c>
      <c r="F579" t="s">
        <v>16</v>
      </c>
      <c r="G579" s="2">
        <f>VLOOKUP(F579,mappings!$G$2:$H$6,2,FALSE)</f>
        <v>3</v>
      </c>
      <c r="H579" t="s">
        <v>163</v>
      </c>
      <c r="I579" s="2">
        <f>VLOOKUP(H579,mappings!$D$2:$E$6,2,FALSE)</f>
        <v>3</v>
      </c>
      <c r="J579" t="s">
        <v>36</v>
      </c>
      <c r="K579" t="s">
        <v>33</v>
      </c>
      <c r="L579" s="2">
        <f>VLOOKUP(K579,mappings!$A$2:$B$13,2,FALSE)</f>
        <v>5</v>
      </c>
      <c r="M579" t="s">
        <v>24</v>
      </c>
      <c r="N579" t="str">
        <f>VLOOKUP(E579,mappings!$L$1:$M$110,2,FALSE)</f>
        <v>No answer provided</v>
      </c>
      <c r="O579" t="str">
        <f>VLOOKUP(E579,mappings!L:O,3,FALSE)</f>
        <v>No answer provided</v>
      </c>
      <c r="P579" t="str">
        <f>VLOOKUP(E579,mappings!L:P,4,FALSE)</f>
        <v>No answer provided</v>
      </c>
    </row>
    <row r="580" spans="1:16" x14ac:dyDescent="0.2">
      <c r="A580">
        <v>579</v>
      </c>
      <c r="B580">
        <v>3877934192</v>
      </c>
      <c r="C580" t="s">
        <v>6</v>
      </c>
      <c r="D580" t="s">
        <v>7</v>
      </c>
      <c r="E580" t="s">
        <v>8</v>
      </c>
      <c r="F580" t="s">
        <v>9</v>
      </c>
      <c r="G580" s="2">
        <f>VLOOKUP(F580,mappings!$G$2:$H$6,2,FALSE)</f>
        <v>4</v>
      </c>
      <c r="H580" t="s">
        <v>163</v>
      </c>
      <c r="I580" s="2">
        <f>VLOOKUP(H580,mappings!$D$2:$E$6,2,FALSE)</f>
        <v>3</v>
      </c>
      <c r="J580" t="s">
        <v>36</v>
      </c>
      <c r="K580" t="s">
        <v>39</v>
      </c>
      <c r="L580" s="2">
        <f>VLOOKUP(K580,mappings!$A$2:$B$13,2,FALSE)</f>
        <v>10</v>
      </c>
      <c r="M580" t="s">
        <v>34</v>
      </c>
      <c r="N580" t="str">
        <f>VLOOKUP(E580,mappings!$L$1:$M$110,2,FALSE)</f>
        <v>No answer provided</v>
      </c>
      <c r="O580" t="str">
        <f>VLOOKUP(E580,mappings!L:O,3,FALSE)</f>
        <v>No answer provided</v>
      </c>
      <c r="P580" t="str">
        <f>VLOOKUP(E580,mappings!L:P,4,FALSE)</f>
        <v>No answer provided</v>
      </c>
    </row>
    <row r="581" spans="1:16" x14ac:dyDescent="0.2">
      <c r="A581">
        <v>580</v>
      </c>
      <c r="B581">
        <v>3877934039</v>
      </c>
      <c r="C581" t="s">
        <v>6</v>
      </c>
      <c r="D581" t="s">
        <v>21</v>
      </c>
      <c r="E581" t="s">
        <v>8</v>
      </c>
      <c r="F581" t="s">
        <v>9</v>
      </c>
      <c r="G581" s="2">
        <f>VLOOKUP(F581,mappings!$G$2:$H$6,2,FALSE)</f>
        <v>4</v>
      </c>
      <c r="H581" t="s">
        <v>163</v>
      </c>
      <c r="I581" s="2">
        <f>VLOOKUP(H581,mappings!$D$2:$E$6,2,FALSE)</f>
        <v>3</v>
      </c>
      <c r="J581" t="s">
        <v>36</v>
      </c>
      <c r="K581" t="s">
        <v>47</v>
      </c>
      <c r="L581" s="2">
        <f>VLOOKUP(K581,mappings!$A$2:$B$13,2,FALSE)</f>
        <v>9</v>
      </c>
      <c r="M581" t="s">
        <v>20</v>
      </c>
      <c r="N581" t="str">
        <f>VLOOKUP(E581,mappings!$L$1:$M$110,2,FALSE)</f>
        <v>No answer provided</v>
      </c>
      <c r="O581" t="str">
        <f>VLOOKUP(E581,mappings!L:O,3,FALSE)</f>
        <v>No answer provided</v>
      </c>
      <c r="P581" t="str">
        <f>VLOOKUP(E581,mappings!L:P,4,FALSE)</f>
        <v>No answer provided</v>
      </c>
    </row>
    <row r="582" spans="1:16" x14ac:dyDescent="0.2">
      <c r="A582">
        <v>581</v>
      </c>
      <c r="B582">
        <v>3877934025</v>
      </c>
      <c r="C582" t="s">
        <v>6</v>
      </c>
      <c r="D582" t="s">
        <v>1</v>
      </c>
      <c r="E582" t="s">
        <v>70</v>
      </c>
      <c r="F582" t="s">
        <v>16</v>
      </c>
      <c r="G582" s="2">
        <f>VLOOKUP(F582,mappings!$G$2:$H$6,2,FALSE)</f>
        <v>3</v>
      </c>
      <c r="H582" t="s">
        <v>163</v>
      </c>
      <c r="I582" s="2">
        <f>VLOOKUP(H582,mappings!$D$2:$E$6,2,FALSE)</f>
        <v>3</v>
      </c>
      <c r="J582" t="s">
        <v>36</v>
      </c>
      <c r="K582" t="s">
        <v>23</v>
      </c>
      <c r="L582" s="2">
        <f>VLOOKUP(K582,mappings!$A$2:$B$13,2,FALSE)</f>
        <v>3</v>
      </c>
      <c r="M582" t="s">
        <v>15</v>
      </c>
      <c r="N582" t="str">
        <f>VLOOKUP(E582,mappings!$L$1:$M$110,2,FALSE)</f>
        <v>AccuWeather</v>
      </c>
      <c r="O582" t="str">
        <f>VLOOKUP(E582,mappings!L:O,3,FALSE)</f>
        <v>Website</v>
      </c>
      <c r="P582" t="str">
        <f>VLOOKUP(E582,mappings!L:P,4,FALSE)</f>
        <v>Other or unkown</v>
      </c>
    </row>
    <row r="583" spans="1:16" x14ac:dyDescent="0.2">
      <c r="A583">
        <v>582</v>
      </c>
      <c r="B583">
        <v>3877933879</v>
      </c>
      <c r="C583" t="s">
        <v>6</v>
      </c>
      <c r="D583" t="s">
        <v>31</v>
      </c>
      <c r="E583" t="s">
        <v>8</v>
      </c>
      <c r="F583" t="s">
        <v>22</v>
      </c>
      <c r="G583" s="2">
        <f>VLOOKUP(F583,mappings!$G$2:$H$6,2,FALSE)</f>
        <v>1</v>
      </c>
      <c r="H583" t="s">
        <v>43</v>
      </c>
      <c r="I583" s="2">
        <f>VLOOKUP(H583,mappings!$D$2:$E$6,2,FALSE)</f>
        <v>4</v>
      </c>
      <c r="J583" t="s">
        <v>10</v>
      </c>
      <c r="K583" t="s">
        <v>13</v>
      </c>
      <c r="L583" s="2">
        <f>VLOOKUP(K583,mappings!$A$2:$B$13,2,FALSE)</f>
        <v>11</v>
      </c>
      <c r="M583" t="s">
        <v>42</v>
      </c>
      <c r="N583" t="str">
        <f>VLOOKUP(E583,mappings!$L$1:$M$110,2,FALSE)</f>
        <v>No answer provided</v>
      </c>
      <c r="O583" t="str">
        <f>VLOOKUP(E583,mappings!L:O,3,FALSE)</f>
        <v>No answer provided</v>
      </c>
      <c r="P583" t="str">
        <f>VLOOKUP(E583,mappings!L:P,4,FALSE)</f>
        <v>No answer provided</v>
      </c>
    </row>
    <row r="584" spans="1:16" x14ac:dyDescent="0.2">
      <c r="A584">
        <v>583</v>
      </c>
      <c r="B584">
        <v>3877933017</v>
      </c>
      <c r="C584" t="s">
        <v>6</v>
      </c>
      <c r="D584" t="s">
        <v>1</v>
      </c>
      <c r="E584" t="s">
        <v>124</v>
      </c>
      <c r="F584" t="s">
        <v>9</v>
      </c>
      <c r="G584" s="2">
        <f>VLOOKUP(F584,mappings!$G$2:$H$6,2,FALSE)</f>
        <v>4</v>
      </c>
      <c r="H584" t="s">
        <v>163</v>
      </c>
      <c r="I584" s="2">
        <f>VLOOKUP(H584,mappings!$D$2:$E$6,2,FALSE)</f>
        <v>3</v>
      </c>
      <c r="J584" t="s">
        <v>10</v>
      </c>
      <c r="K584" t="s">
        <v>33</v>
      </c>
      <c r="L584" s="2">
        <f>VLOOKUP(K584,mappings!$A$2:$B$13,2,FALSE)</f>
        <v>5</v>
      </c>
      <c r="M584" t="s">
        <v>30</v>
      </c>
      <c r="N584" t="str">
        <f>VLOOKUP(E584,mappings!$L$1:$M$110,2,FALSE)</f>
        <v>The Weather Channel</v>
      </c>
      <c r="O584" t="str">
        <f>VLOOKUP(E584,mappings!L:O,3,FALSE)</f>
        <v>App</v>
      </c>
      <c r="P584" t="str">
        <f>VLOOKUP(E584,mappings!L:P,4,FALSE)</f>
        <v>Other or unkown</v>
      </c>
    </row>
    <row r="585" spans="1:16" x14ac:dyDescent="0.2">
      <c r="A585">
        <v>584</v>
      </c>
      <c r="B585">
        <v>3877930386</v>
      </c>
      <c r="C585" t="s">
        <v>6</v>
      </c>
      <c r="D585" t="s">
        <v>27</v>
      </c>
      <c r="E585" t="s">
        <v>8</v>
      </c>
      <c r="F585" t="s">
        <v>9</v>
      </c>
      <c r="G585" s="2">
        <f>VLOOKUP(F585,mappings!$G$2:$H$6,2,FALSE)</f>
        <v>4</v>
      </c>
      <c r="H585" t="s">
        <v>162</v>
      </c>
      <c r="I585" s="2">
        <f>VLOOKUP(H585,mappings!$D$2:$E$6,2,FALSE)</f>
        <v>1</v>
      </c>
      <c r="J585" t="s">
        <v>36</v>
      </c>
      <c r="K585" t="s">
        <v>32</v>
      </c>
      <c r="L585" s="2">
        <f>VLOOKUP(K585,mappings!$A$2:$B$13,2,FALSE)</f>
        <v>2</v>
      </c>
      <c r="M585" t="s">
        <v>24</v>
      </c>
      <c r="N585" t="str">
        <f>VLOOKUP(E585,mappings!$L$1:$M$110,2,FALSE)</f>
        <v>No answer provided</v>
      </c>
      <c r="O585" t="str">
        <f>VLOOKUP(E585,mappings!L:O,3,FALSE)</f>
        <v>No answer provided</v>
      </c>
      <c r="P585" t="str">
        <f>VLOOKUP(E585,mappings!L:P,4,FALSE)</f>
        <v>No answer provided</v>
      </c>
    </row>
    <row r="586" spans="1:16" x14ac:dyDescent="0.2">
      <c r="A586">
        <v>585</v>
      </c>
      <c r="B586">
        <v>3877930133</v>
      </c>
      <c r="C586" t="s">
        <v>6</v>
      </c>
      <c r="D586" t="s">
        <v>31</v>
      </c>
      <c r="E586" t="s">
        <v>8</v>
      </c>
      <c r="F586" t="s">
        <v>9</v>
      </c>
      <c r="G586" s="2">
        <f>VLOOKUP(F586,mappings!$G$2:$H$6,2,FALSE)</f>
        <v>4</v>
      </c>
      <c r="H586" t="s">
        <v>43</v>
      </c>
      <c r="I586" s="2">
        <f>VLOOKUP(H586,mappings!$D$2:$E$6,2,FALSE)</f>
        <v>4</v>
      </c>
      <c r="J586" t="s">
        <v>36</v>
      </c>
      <c r="K586" t="s">
        <v>13</v>
      </c>
      <c r="L586" s="2">
        <f>VLOOKUP(K586,mappings!$A$2:$B$13,2,FALSE)</f>
        <v>11</v>
      </c>
      <c r="M586" t="s">
        <v>12</v>
      </c>
      <c r="N586" t="str">
        <f>VLOOKUP(E586,mappings!$L$1:$M$110,2,FALSE)</f>
        <v>No answer provided</v>
      </c>
      <c r="O586" t="str">
        <f>VLOOKUP(E586,mappings!L:O,3,FALSE)</f>
        <v>No answer provided</v>
      </c>
      <c r="P586" t="str">
        <f>VLOOKUP(E586,mappings!L:P,4,FALSE)</f>
        <v>No answer provided</v>
      </c>
    </row>
    <row r="587" spans="1:16" x14ac:dyDescent="0.2">
      <c r="A587">
        <v>586</v>
      </c>
      <c r="B587">
        <v>3877926515</v>
      </c>
      <c r="C587" t="s">
        <v>6</v>
      </c>
      <c r="D587" t="s">
        <v>31</v>
      </c>
      <c r="E587" t="s">
        <v>8</v>
      </c>
      <c r="F587" t="s">
        <v>16</v>
      </c>
      <c r="G587" s="2">
        <f>VLOOKUP(F587,mappings!$G$2:$H$6,2,FALSE)</f>
        <v>3</v>
      </c>
      <c r="H587" t="s">
        <v>162</v>
      </c>
      <c r="I587" s="2">
        <f>VLOOKUP(H587,mappings!$D$2:$E$6,2,FALSE)</f>
        <v>1</v>
      </c>
      <c r="J587" t="s">
        <v>36</v>
      </c>
      <c r="K587" t="s">
        <v>29</v>
      </c>
      <c r="L587" s="2">
        <f>VLOOKUP(K587,mappings!$A$2:$B$13,2,FALSE)</f>
        <v>1</v>
      </c>
      <c r="M587" t="s">
        <v>38</v>
      </c>
      <c r="N587" t="str">
        <f>VLOOKUP(E587,mappings!$L$1:$M$110,2,FALSE)</f>
        <v>No answer provided</v>
      </c>
      <c r="O587" t="str">
        <f>VLOOKUP(E587,mappings!L:O,3,FALSE)</f>
        <v>No answer provided</v>
      </c>
      <c r="P587" t="str">
        <f>VLOOKUP(E587,mappings!L:P,4,FALSE)</f>
        <v>No answer provided</v>
      </c>
    </row>
    <row r="588" spans="1:16" x14ac:dyDescent="0.2">
      <c r="A588">
        <v>587</v>
      </c>
      <c r="B588">
        <v>3877926252</v>
      </c>
      <c r="C588" t="s">
        <v>6</v>
      </c>
      <c r="D588" t="s">
        <v>41</v>
      </c>
      <c r="E588" t="s">
        <v>8</v>
      </c>
      <c r="F588" t="s">
        <v>22</v>
      </c>
      <c r="G588" s="2">
        <f>VLOOKUP(F588,mappings!$G$2:$H$6,2,FALSE)</f>
        <v>1</v>
      </c>
      <c r="H588" t="s">
        <v>43</v>
      </c>
      <c r="I588" s="2">
        <f>VLOOKUP(H588,mappings!$D$2:$E$6,2,FALSE)</f>
        <v>4</v>
      </c>
      <c r="J588" t="s">
        <v>10</v>
      </c>
      <c r="K588" t="s">
        <v>39</v>
      </c>
      <c r="L588" s="2">
        <f>VLOOKUP(K588,mappings!$A$2:$B$13,2,FALSE)</f>
        <v>10</v>
      </c>
      <c r="M588" t="s">
        <v>20</v>
      </c>
      <c r="N588" t="str">
        <f>VLOOKUP(E588,mappings!$L$1:$M$110,2,FALSE)</f>
        <v>No answer provided</v>
      </c>
      <c r="O588" t="str">
        <f>VLOOKUP(E588,mappings!L:O,3,FALSE)</f>
        <v>No answer provided</v>
      </c>
      <c r="P588" t="str">
        <f>VLOOKUP(E588,mappings!L:P,4,FALSE)</f>
        <v>No answer provided</v>
      </c>
    </row>
    <row r="589" spans="1:16" x14ac:dyDescent="0.2">
      <c r="A589">
        <v>588</v>
      </c>
      <c r="B589">
        <v>3877922131</v>
      </c>
      <c r="C589" t="s">
        <v>6</v>
      </c>
      <c r="D589" t="s">
        <v>21</v>
      </c>
      <c r="E589" t="s">
        <v>8</v>
      </c>
      <c r="F589" t="s">
        <v>16</v>
      </c>
      <c r="G589" s="2">
        <f>VLOOKUP(F589,mappings!$G$2:$H$6,2,FALSE)</f>
        <v>3</v>
      </c>
      <c r="H589" t="s">
        <v>163</v>
      </c>
      <c r="I589" s="2">
        <f>VLOOKUP(H589,mappings!$D$2:$E$6,2,FALSE)</f>
        <v>3</v>
      </c>
      <c r="J589" t="s">
        <v>36</v>
      </c>
      <c r="K589" t="s">
        <v>29</v>
      </c>
      <c r="L589" s="2">
        <f>VLOOKUP(K589,mappings!$A$2:$B$13,2,FALSE)</f>
        <v>1</v>
      </c>
      <c r="M589" t="s">
        <v>30</v>
      </c>
      <c r="N589" t="str">
        <f>VLOOKUP(E589,mappings!$L$1:$M$110,2,FALSE)</f>
        <v>No answer provided</v>
      </c>
      <c r="O589" t="str">
        <f>VLOOKUP(E589,mappings!L:O,3,FALSE)</f>
        <v>No answer provided</v>
      </c>
      <c r="P589" t="str">
        <f>VLOOKUP(E589,mappings!L:P,4,FALSE)</f>
        <v>No answer provided</v>
      </c>
    </row>
    <row r="590" spans="1:16" x14ac:dyDescent="0.2">
      <c r="A590">
        <v>589</v>
      </c>
      <c r="B590">
        <v>3877921800</v>
      </c>
      <c r="C590" t="s">
        <v>6</v>
      </c>
      <c r="D590" t="s">
        <v>27</v>
      </c>
      <c r="E590" t="s">
        <v>8</v>
      </c>
      <c r="F590" t="s">
        <v>16</v>
      </c>
      <c r="G590" s="2">
        <f>VLOOKUP(F590,mappings!$G$2:$H$6,2,FALSE)</f>
        <v>3</v>
      </c>
      <c r="H590" t="s">
        <v>43</v>
      </c>
      <c r="I590" s="2">
        <f>VLOOKUP(H590,mappings!$D$2:$E$6,2,FALSE)</f>
        <v>4</v>
      </c>
      <c r="J590" t="s">
        <v>10</v>
      </c>
      <c r="K590" t="s">
        <v>48</v>
      </c>
      <c r="L590" s="2">
        <f>VLOOKUP(K590,mappings!$A$2:$B$13,2,FALSE)</f>
        <v>7</v>
      </c>
      <c r="M590" t="s">
        <v>24</v>
      </c>
      <c r="N590" t="str">
        <f>VLOOKUP(E590,mappings!$L$1:$M$110,2,FALSE)</f>
        <v>No answer provided</v>
      </c>
      <c r="O590" t="str">
        <f>VLOOKUP(E590,mappings!L:O,3,FALSE)</f>
        <v>No answer provided</v>
      </c>
      <c r="P590" t="str">
        <f>VLOOKUP(E590,mappings!L:P,4,FALSE)</f>
        <v>No answer provided</v>
      </c>
    </row>
    <row r="591" spans="1:16" x14ac:dyDescent="0.2">
      <c r="A591">
        <v>590</v>
      </c>
      <c r="B591">
        <v>3877921461</v>
      </c>
      <c r="C591" t="s">
        <v>26</v>
      </c>
      <c r="D591" t="s">
        <v>31</v>
      </c>
      <c r="E591" t="s">
        <v>8</v>
      </c>
      <c r="F591" t="s">
        <v>9</v>
      </c>
      <c r="G591" s="2">
        <f>VLOOKUP(F591,mappings!$G$2:$H$6,2,FALSE)</f>
        <v>4</v>
      </c>
      <c r="H591" t="s">
        <v>163</v>
      </c>
      <c r="I591" s="2">
        <f>VLOOKUP(H591,mappings!$D$2:$E$6,2,FALSE)</f>
        <v>3</v>
      </c>
      <c r="J591" t="s">
        <v>36</v>
      </c>
      <c r="K591" t="s">
        <v>33</v>
      </c>
      <c r="L591" s="2">
        <f>VLOOKUP(K591,mappings!$A$2:$B$13,2,FALSE)</f>
        <v>5</v>
      </c>
      <c r="M591" t="s">
        <v>12</v>
      </c>
      <c r="N591" t="str">
        <f>VLOOKUP(E591,mappings!$L$1:$M$110,2,FALSE)</f>
        <v>No answer provided</v>
      </c>
      <c r="O591" t="str">
        <f>VLOOKUP(E591,mappings!L:O,3,FALSE)</f>
        <v>No answer provided</v>
      </c>
      <c r="P591" t="str">
        <f>VLOOKUP(E591,mappings!L:P,4,FALSE)</f>
        <v>No answer provided</v>
      </c>
    </row>
    <row r="592" spans="1:16" x14ac:dyDescent="0.2">
      <c r="A592">
        <v>591</v>
      </c>
      <c r="B592">
        <v>3877920147</v>
      </c>
      <c r="C592" t="s">
        <v>26</v>
      </c>
      <c r="D592" t="s">
        <v>27</v>
      </c>
      <c r="E592" t="s">
        <v>8</v>
      </c>
      <c r="F592" t="s">
        <v>22</v>
      </c>
      <c r="G592" s="2">
        <f>VLOOKUP(F592,mappings!$G$2:$H$6,2,FALSE)</f>
        <v>1</v>
      </c>
      <c r="H592" t="s">
        <v>161</v>
      </c>
      <c r="I592" s="2">
        <f>VLOOKUP(H592,mappings!$D$2:$E$6,2,FALSE)</f>
        <v>2</v>
      </c>
      <c r="J592" t="s">
        <v>36</v>
      </c>
      <c r="K592" t="s">
        <v>33</v>
      </c>
      <c r="L592" s="2">
        <f>VLOOKUP(K592,mappings!$A$2:$B$13,2,FALSE)</f>
        <v>5</v>
      </c>
      <c r="M592" t="s">
        <v>15</v>
      </c>
      <c r="N592" t="str">
        <f>VLOOKUP(E592,mappings!$L$1:$M$110,2,FALSE)</f>
        <v>No answer provided</v>
      </c>
      <c r="O592" t="str">
        <f>VLOOKUP(E592,mappings!L:O,3,FALSE)</f>
        <v>No answer provided</v>
      </c>
      <c r="P592" t="str">
        <f>VLOOKUP(E592,mappings!L:P,4,FALSE)</f>
        <v>No answer provided</v>
      </c>
    </row>
    <row r="593" spans="1:16" x14ac:dyDescent="0.2">
      <c r="A593">
        <v>592</v>
      </c>
      <c r="B593">
        <v>3877919152</v>
      </c>
      <c r="C593" t="s">
        <v>6</v>
      </c>
      <c r="D593" t="s">
        <v>31</v>
      </c>
      <c r="E593" t="s">
        <v>8</v>
      </c>
      <c r="F593" t="s">
        <v>16</v>
      </c>
      <c r="G593" s="2">
        <f>VLOOKUP(F593,mappings!$G$2:$H$6,2,FALSE)</f>
        <v>3</v>
      </c>
      <c r="H593" t="s">
        <v>43</v>
      </c>
      <c r="I593" s="2">
        <f>VLOOKUP(H593,mappings!$D$2:$E$6,2,FALSE)</f>
        <v>4</v>
      </c>
      <c r="J593" t="s">
        <v>36</v>
      </c>
      <c r="K593" t="s">
        <v>48</v>
      </c>
      <c r="L593" s="2">
        <f>VLOOKUP(K593,mappings!$A$2:$B$13,2,FALSE)</f>
        <v>7</v>
      </c>
      <c r="M593" t="s">
        <v>30</v>
      </c>
      <c r="N593" t="str">
        <f>VLOOKUP(E593,mappings!$L$1:$M$110,2,FALSE)</f>
        <v>No answer provided</v>
      </c>
      <c r="O593" t="str">
        <f>VLOOKUP(E593,mappings!L:O,3,FALSE)</f>
        <v>No answer provided</v>
      </c>
      <c r="P593" t="str">
        <f>VLOOKUP(E593,mappings!L:P,4,FALSE)</f>
        <v>No answer provided</v>
      </c>
    </row>
    <row r="594" spans="1:16" x14ac:dyDescent="0.2">
      <c r="A594">
        <v>593</v>
      </c>
      <c r="B594">
        <v>3877918818</v>
      </c>
      <c r="C594" t="s">
        <v>26</v>
      </c>
      <c r="D594" t="s">
        <v>7</v>
      </c>
      <c r="E594" t="s">
        <v>8</v>
      </c>
      <c r="F594" t="s">
        <v>16</v>
      </c>
      <c r="G594" s="2">
        <f>VLOOKUP(F594,mappings!$G$2:$H$6,2,FALSE)</f>
        <v>3</v>
      </c>
      <c r="H594" t="s">
        <v>162</v>
      </c>
      <c r="I594" s="2">
        <f>VLOOKUP(H594,mappings!$D$2:$E$6,2,FALSE)</f>
        <v>1</v>
      </c>
      <c r="J594" t="s">
        <v>36</v>
      </c>
      <c r="K594" t="s">
        <v>18</v>
      </c>
      <c r="L594" s="2">
        <f>VLOOKUP(K594,mappings!$A$2:$B$13,2,FALSE)</f>
        <v>8</v>
      </c>
      <c r="M594" t="s">
        <v>24</v>
      </c>
      <c r="N594" t="str">
        <f>VLOOKUP(E594,mappings!$L$1:$M$110,2,FALSE)</f>
        <v>No answer provided</v>
      </c>
      <c r="O594" t="str">
        <f>VLOOKUP(E594,mappings!L:O,3,FALSE)</f>
        <v>No answer provided</v>
      </c>
      <c r="P594" t="str">
        <f>VLOOKUP(E594,mappings!L:P,4,FALSE)</f>
        <v>No answer provided</v>
      </c>
    </row>
    <row r="595" spans="1:16" x14ac:dyDescent="0.2">
      <c r="A595">
        <v>594</v>
      </c>
      <c r="B595">
        <v>3877916763</v>
      </c>
      <c r="C595" t="s">
        <v>6</v>
      </c>
      <c r="D595" t="s">
        <v>1</v>
      </c>
      <c r="E595" t="s">
        <v>122</v>
      </c>
      <c r="F595" t="s">
        <v>9</v>
      </c>
      <c r="G595" s="2">
        <f>VLOOKUP(F595,mappings!$G$2:$H$6,2,FALSE)</f>
        <v>4</v>
      </c>
      <c r="H595" t="s">
        <v>43</v>
      </c>
      <c r="I595" s="2">
        <f>VLOOKUP(H595,mappings!$D$2:$E$6,2,FALSE)</f>
        <v>4</v>
      </c>
      <c r="J595" t="s">
        <v>10</v>
      </c>
      <c r="K595" t="s">
        <v>48</v>
      </c>
      <c r="L595" s="2">
        <f>VLOOKUP(K595,mappings!$A$2:$B$13,2,FALSE)</f>
        <v>7</v>
      </c>
      <c r="M595" t="s">
        <v>25</v>
      </c>
      <c r="N595" t="str">
        <f>VLOOKUP(E595,mappings!$L$1:$M$110,2,FALSE)</f>
        <v>The Weather Channel</v>
      </c>
      <c r="O595" t="str">
        <f>VLOOKUP(E595,mappings!L:O,3,FALSE)</f>
        <v>Website</v>
      </c>
      <c r="P595" t="str">
        <f>VLOOKUP(E595,mappings!L:P,4,FALSE)</f>
        <v>Other or unkown</v>
      </c>
    </row>
    <row r="596" spans="1:16" x14ac:dyDescent="0.2">
      <c r="A596">
        <v>595</v>
      </c>
      <c r="B596">
        <v>3877914049</v>
      </c>
      <c r="C596" t="s">
        <v>6</v>
      </c>
      <c r="D596" t="s">
        <v>27</v>
      </c>
      <c r="E596" t="s">
        <v>8</v>
      </c>
      <c r="F596" t="s">
        <v>9</v>
      </c>
      <c r="G596" s="2">
        <f>VLOOKUP(F596,mappings!$G$2:$H$6,2,FALSE)</f>
        <v>4</v>
      </c>
      <c r="H596" t="s">
        <v>163</v>
      </c>
      <c r="I596" s="2">
        <f>VLOOKUP(H596,mappings!$D$2:$E$6,2,FALSE)</f>
        <v>3</v>
      </c>
      <c r="J596" t="s">
        <v>36</v>
      </c>
      <c r="K596" t="s">
        <v>39</v>
      </c>
      <c r="L596" s="2">
        <f>VLOOKUP(K596,mappings!$A$2:$B$13,2,FALSE)</f>
        <v>10</v>
      </c>
      <c r="M596" t="s">
        <v>42</v>
      </c>
      <c r="N596" t="str">
        <f>VLOOKUP(E596,mappings!$L$1:$M$110,2,FALSE)</f>
        <v>No answer provided</v>
      </c>
      <c r="O596" t="str">
        <f>VLOOKUP(E596,mappings!L:O,3,FALSE)</f>
        <v>No answer provided</v>
      </c>
      <c r="P596" t="str">
        <f>VLOOKUP(E596,mappings!L:P,4,FALSE)</f>
        <v>No answer provided</v>
      </c>
    </row>
    <row r="597" spans="1:16" x14ac:dyDescent="0.2">
      <c r="A597">
        <v>596</v>
      </c>
      <c r="B597">
        <v>3877912517</v>
      </c>
      <c r="C597" t="s">
        <v>6</v>
      </c>
      <c r="D597" t="s">
        <v>51</v>
      </c>
      <c r="E597" t="s">
        <v>8</v>
      </c>
      <c r="F597" t="s">
        <v>9</v>
      </c>
      <c r="G597" s="2">
        <f>VLOOKUP(F597,mappings!$G$2:$H$6,2,FALSE)</f>
        <v>4</v>
      </c>
      <c r="H597" t="s">
        <v>43</v>
      </c>
      <c r="I597" s="2">
        <f>VLOOKUP(H597,mappings!$D$2:$E$6,2,FALSE)</f>
        <v>4</v>
      </c>
      <c r="J597" t="s">
        <v>10</v>
      </c>
      <c r="K597" t="s">
        <v>33</v>
      </c>
      <c r="L597" s="2">
        <f>VLOOKUP(K597,mappings!$A$2:$B$13,2,FALSE)</f>
        <v>5</v>
      </c>
      <c r="M597" t="s">
        <v>20</v>
      </c>
      <c r="N597" t="str">
        <f>VLOOKUP(E597,mappings!$L$1:$M$110,2,FALSE)</f>
        <v>No answer provided</v>
      </c>
      <c r="O597" t="str">
        <f>VLOOKUP(E597,mappings!L:O,3,FALSE)</f>
        <v>No answer provided</v>
      </c>
      <c r="P597" t="str">
        <f>VLOOKUP(E597,mappings!L:P,4,FALSE)</f>
        <v>No answer provided</v>
      </c>
    </row>
    <row r="598" spans="1:16" x14ac:dyDescent="0.2">
      <c r="A598">
        <v>597</v>
      </c>
      <c r="B598">
        <v>3877911586</v>
      </c>
      <c r="C598" t="s">
        <v>6</v>
      </c>
      <c r="D598" t="s">
        <v>31</v>
      </c>
      <c r="E598" t="s">
        <v>8</v>
      </c>
      <c r="F598" t="s">
        <v>16</v>
      </c>
      <c r="G598" s="2">
        <f>VLOOKUP(F598,mappings!$G$2:$H$6,2,FALSE)</f>
        <v>3</v>
      </c>
      <c r="H598" t="s">
        <v>43</v>
      </c>
      <c r="I598" s="2">
        <f>VLOOKUP(H598,mappings!$D$2:$E$6,2,FALSE)</f>
        <v>4</v>
      </c>
      <c r="J598" t="s">
        <v>36</v>
      </c>
      <c r="K598" t="s">
        <v>13</v>
      </c>
      <c r="L598" s="2">
        <f>VLOOKUP(K598,mappings!$A$2:$B$13,2,FALSE)</f>
        <v>11</v>
      </c>
      <c r="M598" t="s">
        <v>38</v>
      </c>
      <c r="N598" t="str">
        <f>VLOOKUP(E598,mappings!$L$1:$M$110,2,FALSE)</f>
        <v>No answer provided</v>
      </c>
      <c r="O598" t="str">
        <f>VLOOKUP(E598,mappings!L:O,3,FALSE)</f>
        <v>No answer provided</v>
      </c>
      <c r="P598" t="str">
        <f>VLOOKUP(E598,mappings!L:P,4,FALSE)</f>
        <v>No answer provided</v>
      </c>
    </row>
    <row r="599" spans="1:16" x14ac:dyDescent="0.2">
      <c r="A599">
        <v>598</v>
      </c>
      <c r="B599">
        <v>3877906211</v>
      </c>
      <c r="C599" t="s">
        <v>6</v>
      </c>
      <c r="D599" t="s">
        <v>1</v>
      </c>
      <c r="E599" t="s">
        <v>125</v>
      </c>
      <c r="F599" t="s">
        <v>16</v>
      </c>
      <c r="G599" s="2">
        <f>VLOOKUP(F599,mappings!$G$2:$H$6,2,FALSE)</f>
        <v>3</v>
      </c>
      <c r="H599" t="s">
        <v>161</v>
      </c>
      <c r="I599" s="2">
        <f>VLOOKUP(H599,mappings!$D$2:$E$6,2,FALSE)</f>
        <v>2</v>
      </c>
      <c r="J599" t="s">
        <v>36</v>
      </c>
      <c r="K599" t="s">
        <v>13</v>
      </c>
      <c r="L599" s="2">
        <f>VLOOKUP(K599,mappings!$A$2:$B$13,2,FALSE)</f>
        <v>11</v>
      </c>
      <c r="M599" t="s">
        <v>30</v>
      </c>
      <c r="N599" t="str">
        <f>VLOOKUP(E599,mappings!$L$1:$M$110,2,FALSE)</f>
        <v>Weatherbug</v>
      </c>
      <c r="O599" t="str">
        <f>VLOOKUP(E599,mappings!L:O,3,FALSE)</f>
        <v>Website</v>
      </c>
      <c r="P599" t="str">
        <f>VLOOKUP(E599,mappings!L:P,4,FALSE)</f>
        <v>Other or unkown</v>
      </c>
    </row>
    <row r="600" spans="1:16" x14ac:dyDescent="0.2">
      <c r="A600">
        <v>599</v>
      </c>
      <c r="B600">
        <v>3877905346</v>
      </c>
      <c r="C600" t="s">
        <v>26</v>
      </c>
      <c r="D600" t="s">
        <v>31</v>
      </c>
      <c r="E600" t="s">
        <v>8</v>
      </c>
      <c r="F600" t="s">
        <v>22</v>
      </c>
      <c r="G600" s="2">
        <f>VLOOKUP(F600,mappings!$G$2:$H$6,2,FALSE)</f>
        <v>1</v>
      </c>
      <c r="H600" t="s">
        <v>163</v>
      </c>
      <c r="I600" s="2">
        <f>VLOOKUP(H600,mappings!$D$2:$E$6,2,FALSE)</f>
        <v>3</v>
      </c>
      <c r="J600" t="s">
        <v>36</v>
      </c>
      <c r="K600" t="s">
        <v>18</v>
      </c>
      <c r="L600" s="2">
        <f>VLOOKUP(K600,mappings!$A$2:$B$13,2,FALSE)</f>
        <v>8</v>
      </c>
      <c r="M600" t="s">
        <v>34</v>
      </c>
      <c r="N600" t="str">
        <f>VLOOKUP(E600,mappings!$L$1:$M$110,2,FALSE)</f>
        <v>No answer provided</v>
      </c>
      <c r="O600" t="str">
        <f>VLOOKUP(E600,mappings!L:O,3,FALSE)</f>
        <v>No answer provided</v>
      </c>
      <c r="P600" t="str">
        <f>VLOOKUP(E600,mappings!L:P,4,FALSE)</f>
        <v>No answer provided</v>
      </c>
    </row>
    <row r="601" spans="1:16" x14ac:dyDescent="0.2">
      <c r="A601">
        <v>600</v>
      </c>
      <c r="B601">
        <v>3877904337</v>
      </c>
      <c r="C601" t="s">
        <v>6</v>
      </c>
      <c r="D601" t="s">
        <v>7</v>
      </c>
      <c r="E601" t="s">
        <v>8</v>
      </c>
      <c r="F601" t="s">
        <v>9</v>
      </c>
      <c r="G601" s="2">
        <f>VLOOKUP(F601,mappings!$G$2:$H$6,2,FALSE)</f>
        <v>4</v>
      </c>
      <c r="H601" t="s">
        <v>163</v>
      </c>
      <c r="I601" s="2">
        <f>VLOOKUP(H601,mappings!$D$2:$E$6,2,FALSE)</f>
        <v>3</v>
      </c>
      <c r="J601" t="s">
        <v>10</v>
      </c>
      <c r="K601" t="s">
        <v>33</v>
      </c>
      <c r="L601" s="2">
        <f>VLOOKUP(K601,mappings!$A$2:$B$13,2,FALSE)</f>
        <v>5</v>
      </c>
      <c r="M601" t="s">
        <v>20</v>
      </c>
      <c r="N601" t="str">
        <f>VLOOKUP(E601,mappings!$L$1:$M$110,2,FALSE)</f>
        <v>No answer provided</v>
      </c>
      <c r="O601" t="str">
        <f>VLOOKUP(E601,mappings!L:O,3,FALSE)</f>
        <v>No answer provided</v>
      </c>
      <c r="P601" t="str">
        <f>VLOOKUP(E601,mappings!L:P,4,FALSE)</f>
        <v>No answer provided</v>
      </c>
    </row>
    <row r="602" spans="1:16" x14ac:dyDescent="0.2">
      <c r="A602">
        <v>601</v>
      </c>
      <c r="B602">
        <v>3877903810</v>
      </c>
      <c r="C602" t="s">
        <v>26</v>
      </c>
      <c r="D602" t="s">
        <v>31</v>
      </c>
      <c r="E602" t="s">
        <v>8</v>
      </c>
      <c r="F602" t="s">
        <v>9</v>
      </c>
      <c r="G602" s="2">
        <f>VLOOKUP(F602,mappings!$G$2:$H$6,2,FALSE)</f>
        <v>4</v>
      </c>
      <c r="H602" t="s">
        <v>163</v>
      </c>
      <c r="I602" s="2">
        <f>VLOOKUP(H602,mappings!$D$2:$E$6,2,FALSE)</f>
        <v>3</v>
      </c>
      <c r="J602" t="s">
        <v>36</v>
      </c>
      <c r="K602" t="s">
        <v>13</v>
      </c>
      <c r="L602" s="2">
        <f>VLOOKUP(K602,mappings!$A$2:$B$13,2,FALSE)</f>
        <v>11</v>
      </c>
      <c r="M602" t="s">
        <v>30</v>
      </c>
      <c r="N602" t="str">
        <f>VLOOKUP(E602,mappings!$L$1:$M$110,2,FALSE)</f>
        <v>No answer provided</v>
      </c>
      <c r="O602" t="str">
        <f>VLOOKUP(E602,mappings!L:O,3,FALSE)</f>
        <v>No answer provided</v>
      </c>
      <c r="P602" t="str">
        <f>VLOOKUP(E602,mappings!L:P,4,FALSE)</f>
        <v>No answer provided</v>
      </c>
    </row>
    <row r="603" spans="1:16" x14ac:dyDescent="0.2">
      <c r="A603">
        <v>602</v>
      </c>
      <c r="B603">
        <v>3877903803</v>
      </c>
      <c r="C603" t="s">
        <v>6</v>
      </c>
      <c r="D603" t="s">
        <v>40</v>
      </c>
      <c r="E603" t="s">
        <v>8</v>
      </c>
      <c r="F603" t="s">
        <v>9</v>
      </c>
      <c r="G603" s="2">
        <f>VLOOKUP(F603,mappings!$G$2:$H$6,2,FALSE)</f>
        <v>4</v>
      </c>
      <c r="H603" t="s">
        <v>163</v>
      </c>
      <c r="I603" s="2">
        <f>VLOOKUP(H603,mappings!$D$2:$E$6,2,FALSE)</f>
        <v>3</v>
      </c>
      <c r="J603" t="s">
        <v>36</v>
      </c>
      <c r="K603" t="s">
        <v>13</v>
      </c>
      <c r="L603" s="2">
        <f>VLOOKUP(K603,mappings!$A$2:$B$13,2,FALSE)</f>
        <v>11</v>
      </c>
      <c r="M603" t="s">
        <v>24</v>
      </c>
      <c r="N603" t="str">
        <f>VLOOKUP(E603,mappings!$L$1:$M$110,2,FALSE)</f>
        <v>No answer provided</v>
      </c>
      <c r="O603" t="str">
        <f>VLOOKUP(E603,mappings!L:O,3,FALSE)</f>
        <v>No answer provided</v>
      </c>
      <c r="P603" t="str">
        <f>VLOOKUP(E603,mappings!L:P,4,FALSE)</f>
        <v>No answer provided</v>
      </c>
    </row>
    <row r="604" spans="1:16" x14ac:dyDescent="0.2">
      <c r="A604">
        <v>603</v>
      </c>
      <c r="B604">
        <v>3877903037</v>
      </c>
      <c r="C604" t="s">
        <v>6</v>
      </c>
      <c r="D604" t="s">
        <v>1</v>
      </c>
      <c r="E604" t="s">
        <v>66</v>
      </c>
      <c r="F604" t="s">
        <v>16</v>
      </c>
      <c r="G604" s="2">
        <f>VLOOKUP(F604,mappings!$G$2:$H$6,2,FALSE)</f>
        <v>3</v>
      </c>
      <c r="H604" t="s">
        <v>161</v>
      </c>
      <c r="I604" s="2">
        <f>VLOOKUP(H604,mappings!$D$2:$E$6,2,FALSE)</f>
        <v>2</v>
      </c>
      <c r="J604" t="s">
        <v>36</v>
      </c>
      <c r="K604" t="s">
        <v>13</v>
      </c>
      <c r="L604" s="2">
        <f>VLOOKUP(K604,mappings!$A$2:$B$13,2,FALSE)</f>
        <v>11</v>
      </c>
      <c r="M604" t="s">
        <v>12</v>
      </c>
      <c r="N604" t="str">
        <f>VLOOKUP(E604,mappings!$L$1:$M$110,2,FALSE)</f>
        <v>Weatherbug</v>
      </c>
      <c r="O604" t="str">
        <f>VLOOKUP(E604,mappings!L:O,3,FALSE)</f>
        <v>Website</v>
      </c>
      <c r="P604" t="str">
        <f>VLOOKUP(E604,mappings!L:P,4,FALSE)</f>
        <v>Other or unkown</v>
      </c>
    </row>
    <row r="605" spans="1:16" x14ac:dyDescent="0.2">
      <c r="A605">
        <v>604</v>
      </c>
      <c r="B605">
        <v>3877902471</v>
      </c>
      <c r="C605" t="s">
        <v>26</v>
      </c>
      <c r="D605" t="s">
        <v>21</v>
      </c>
      <c r="E605" t="s">
        <v>8</v>
      </c>
      <c r="F605" t="s">
        <v>22</v>
      </c>
      <c r="G605" s="2">
        <f>VLOOKUP(F605,mappings!$G$2:$H$6,2,FALSE)</f>
        <v>1</v>
      </c>
      <c r="H605" t="s">
        <v>162</v>
      </c>
      <c r="I605" s="2">
        <f>VLOOKUP(H605,mappings!$D$2:$E$6,2,FALSE)</f>
        <v>1</v>
      </c>
      <c r="J605" t="s">
        <v>36</v>
      </c>
      <c r="K605" t="s">
        <v>13</v>
      </c>
      <c r="L605" s="2">
        <f>VLOOKUP(K605,mappings!$A$2:$B$13,2,FALSE)</f>
        <v>11</v>
      </c>
      <c r="M605" t="s">
        <v>12</v>
      </c>
      <c r="N605" t="str">
        <f>VLOOKUP(E605,mappings!$L$1:$M$110,2,FALSE)</f>
        <v>No answer provided</v>
      </c>
      <c r="O605" t="str">
        <f>VLOOKUP(E605,mappings!L:O,3,FALSE)</f>
        <v>No answer provided</v>
      </c>
      <c r="P605" t="str">
        <f>VLOOKUP(E605,mappings!L:P,4,FALSE)</f>
        <v>No answer provided</v>
      </c>
    </row>
    <row r="606" spans="1:16" x14ac:dyDescent="0.2">
      <c r="A606">
        <v>605</v>
      </c>
      <c r="B606">
        <v>3877902073</v>
      </c>
      <c r="C606" t="s">
        <v>6</v>
      </c>
      <c r="D606" t="s">
        <v>1</v>
      </c>
      <c r="E606" t="s">
        <v>126</v>
      </c>
      <c r="F606" t="s">
        <v>22</v>
      </c>
      <c r="G606" s="2">
        <f>VLOOKUP(F606,mappings!$G$2:$H$6,2,FALSE)</f>
        <v>1</v>
      </c>
      <c r="H606" t="s">
        <v>163</v>
      </c>
      <c r="I606" s="2">
        <f>VLOOKUP(H606,mappings!$D$2:$E$6,2,FALSE)</f>
        <v>3</v>
      </c>
      <c r="J606" t="s">
        <v>10</v>
      </c>
      <c r="K606" t="s">
        <v>13</v>
      </c>
      <c r="L606" s="2">
        <f>VLOOKUP(K606,mappings!$A$2:$B$13,2,FALSE)</f>
        <v>11</v>
      </c>
      <c r="M606" t="s">
        <v>24</v>
      </c>
      <c r="N606" t="str">
        <f>VLOOKUP(E606,mappings!$L$1:$M$110,2,FALSE)</f>
        <v>Other or unknown</v>
      </c>
      <c r="O606" t="str">
        <f>VLOOKUP(E606,mappings!L:O,3,FALSE)</f>
        <v>App</v>
      </c>
      <c r="P606" t="str">
        <f>VLOOKUP(E606,mappings!L:P,4,FALSE)</f>
        <v>Other or unkown</v>
      </c>
    </row>
    <row r="607" spans="1:16" x14ac:dyDescent="0.2">
      <c r="A607">
        <v>606</v>
      </c>
      <c r="B607">
        <v>3877901837</v>
      </c>
      <c r="C607" t="s">
        <v>6</v>
      </c>
      <c r="D607" t="s">
        <v>27</v>
      </c>
      <c r="E607" t="s">
        <v>8</v>
      </c>
      <c r="F607" t="s">
        <v>22</v>
      </c>
      <c r="G607" s="2">
        <f>VLOOKUP(F607,mappings!$G$2:$H$6,2,FALSE)</f>
        <v>1</v>
      </c>
      <c r="H607" t="s">
        <v>43</v>
      </c>
      <c r="I607" s="2">
        <f>VLOOKUP(H607,mappings!$D$2:$E$6,2,FALSE)</f>
        <v>4</v>
      </c>
      <c r="J607" t="s">
        <v>36</v>
      </c>
      <c r="K607" t="s">
        <v>33</v>
      </c>
      <c r="L607" s="2">
        <f>VLOOKUP(K607,mappings!$A$2:$B$13,2,FALSE)</f>
        <v>5</v>
      </c>
      <c r="M607" t="s">
        <v>30</v>
      </c>
      <c r="N607" t="str">
        <f>VLOOKUP(E607,mappings!$L$1:$M$110,2,FALSE)</f>
        <v>No answer provided</v>
      </c>
      <c r="O607" t="str">
        <f>VLOOKUP(E607,mappings!L:O,3,FALSE)</f>
        <v>No answer provided</v>
      </c>
      <c r="P607" t="str">
        <f>VLOOKUP(E607,mappings!L:P,4,FALSE)</f>
        <v>No answer provided</v>
      </c>
    </row>
    <row r="608" spans="1:16" x14ac:dyDescent="0.2">
      <c r="A608">
        <v>607</v>
      </c>
      <c r="B608">
        <v>3877897238</v>
      </c>
      <c r="C608" t="s">
        <v>6</v>
      </c>
      <c r="D608" t="s">
        <v>1</v>
      </c>
      <c r="E608" t="s">
        <v>53</v>
      </c>
      <c r="F608" t="s">
        <v>9</v>
      </c>
      <c r="G608" s="2">
        <f>VLOOKUP(F608,mappings!$G$2:$H$6,2,FALSE)</f>
        <v>4</v>
      </c>
      <c r="H608" t="s">
        <v>163</v>
      </c>
      <c r="I608" s="2">
        <f>VLOOKUP(H608,mappings!$D$2:$E$6,2,FALSE)</f>
        <v>3</v>
      </c>
      <c r="J608" t="s">
        <v>36</v>
      </c>
      <c r="K608" t="s">
        <v>33</v>
      </c>
      <c r="L608" s="2">
        <f>VLOOKUP(K608,mappings!$A$2:$B$13,2,FALSE)</f>
        <v>5</v>
      </c>
      <c r="M608" t="s">
        <v>12</v>
      </c>
      <c r="N608" t="str">
        <f>VLOOKUP(E608,mappings!$L$1:$M$110,2,FALSE)</f>
        <v>The Weather Channel</v>
      </c>
      <c r="O608" t="str">
        <f>VLOOKUP(E608,mappings!L:O,3,FALSE)</f>
        <v>App</v>
      </c>
      <c r="P608" t="str">
        <f>VLOOKUP(E608,mappings!L:P,4,FALSE)</f>
        <v>Other or unkown</v>
      </c>
    </row>
    <row r="609" spans="1:16" x14ac:dyDescent="0.2">
      <c r="A609">
        <v>608</v>
      </c>
      <c r="B609">
        <v>3877896109</v>
      </c>
      <c r="C609" t="s">
        <v>6</v>
      </c>
      <c r="D609" t="s">
        <v>41</v>
      </c>
      <c r="E609" t="s">
        <v>8</v>
      </c>
      <c r="F609" t="s">
        <v>22</v>
      </c>
      <c r="G609" s="2">
        <f>VLOOKUP(F609,mappings!$G$2:$H$6,2,FALSE)</f>
        <v>1</v>
      </c>
      <c r="H609" t="s">
        <v>43</v>
      </c>
      <c r="I609" s="2">
        <f>VLOOKUP(H609,mappings!$D$2:$E$6,2,FALSE)</f>
        <v>4</v>
      </c>
      <c r="J609" t="s">
        <v>36</v>
      </c>
      <c r="K609" t="s">
        <v>39</v>
      </c>
      <c r="L609" s="2">
        <f>VLOOKUP(K609,mappings!$A$2:$B$13,2,FALSE)</f>
        <v>10</v>
      </c>
      <c r="M609" t="s">
        <v>24</v>
      </c>
      <c r="N609" t="str">
        <f>VLOOKUP(E609,mappings!$L$1:$M$110,2,FALSE)</f>
        <v>No answer provided</v>
      </c>
      <c r="O609" t="str">
        <f>VLOOKUP(E609,mappings!L:O,3,FALSE)</f>
        <v>No answer provided</v>
      </c>
      <c r="P609" t="str">
        <f>VLOOKUP(E609,mappings!L:P,4,FALSE)</f>
        <v>No answer provided</v>
      </c>
    </row>
    <row r="610" spans="1:16" x14ac:dyDescent="0.2">
      <c r="A610">
        <v>609</v>
      </c>
      <c r="B610">
        <v>3877893918</v>
      </c>
      <c r="C610" t="s">
        <v>6</v>
      </c>
      <c r="D610" t="s">
        <v>31</v>
      </c>
      <c r="E610" t="s">
        <v>8</v>
      </c>
      <c r="F610" t="s">
        <v>9</v>
      </c>
      <c r="G610" s="2">
        <f>VLOOKUP(F610,mappings!$G$2:$H$6,2,FALSE)</f>
        <v>4</v>
      </c>
      <c r="H610" t="s">
        <v>43</v>
      </c>
      <c r="I610" s="2">
        <f>VLOOKUP(H610,mappings!$D$2:$E$6,2,FALSE)</f>
        <v>4</v>
      </c>
      <c r="J610" t="s">
        <v>10</v>
      </c>
      <c r="K610" t="s">
        <v>33</v>
      </c>
      <c r="L610" s="2">
        <f>VLOOKUP(K610,mappings!$A$2:$B$13,2,FALSE)</f>
        <v>5</v>
      </c>
      <c r="M610" t="s">
        <v>42</v>
      </c>
      <c r="N610" t="str">
        <f>VLOOKUP(E610,mappings!$L$1:$M$110,2,FALSE)</f>
        <v>No answer provided</v>
      </c>
      <c r="O610" t="str">
        <f>VLOOKUP(E610,mappings!L:O,3,FALSE)</f>
        <v>No answer provided</v>
      </c>
      <c r="P610" t="str">
        <f>VLOOKUP(E610,mappings!L:P,4,FALSE)</f>
        <v>No answer provided</v>
      </c>
    </row>
    <row r="611" spans="1:16" x14ac:dyDescent="0.2">
      <c r="A611">
        <v>610</v>
      </c>
      <c r="B611">
        <v>3877893684</v>
      </c>
      <c r="C611" t="s">
        <v>6</v>
      </c>
      <c r="D611" t="s">
        <v>27</v>
      </c>
      <c r="E611" t="s">
        <v>8</v>
      </c>
      <c r="F611" t="s">
        <v>9</v>
      </c>
      <c r="G611" s="2">
        <f>VLOOKUP(F611,mappings!$G$2:$H$6,2,FALSE)</f>
        <v>4</v>
      </c>
      <c r="H611" t="s">
        <v>43</v>
      </c>
      <c r="I611" s="2">
        <f>VLOOKUP(H611,mappings!$D$2:$E$6,2,FALSE)</f>
        <v>4</v>
      </c>
      <c r="J611" t="s">
        <v>36</v>
      </c>
      <c r="K611" t="s">
        <v>23</v>
      </c>
      <c r="L611" s="2">
        <f>VLOOKUP(K611,mappings!$A$2:$B$13,2,FALSE)</f>
        <v>3</v>
      </c>
      <c r="M611" t="s">
        <v>24</v>
      </c>
      <c r="N611" t="str">
        <f>VLOOKUP(E611,mappings!$L$1:$M$110,2,FALSE)</f>
        <v>No answer provided</v>
      </c>
      <c r="O611" t="str">
        <f>VLOOKUP(E611,mappings!L:O,3,FALSE)</f>
        <v>No answer provided</v>
      </c>
      <c r="P611" t="str">
        <f>VLOOKUP(E611,mappings!L:P,4,FALSE)</f>
        <v>No answer provided</v>
      </c>
    </row>
    <row r="612" spans="1:16" x14ac:dyDescent="0.2">
      <c r="A612">
        <v>611</v>
      </c>
      <c r="B612">
        <v>3877893604</v>
      </c>
      <c r="C612" t="s">
        <v>6</v>
      </c>
      <c r="D612" t="s">
        <v>27</v>
      </c>
      <c r="E612" t="s">
        <v>8</v>
      </c>
      <c r="F612" t="s">
        <v>16</v>
      </c>
      <c r="G612" s="2">
        <f>VLOOKUP(F612,mappings!$G$2:$H$6,2,FALSE)</f>
        <v>3</v>
      </c>
      <c r="H612" t="s">
        <v>162</v>
      </c>
      <c r="I612" s="2">
        <f>VLOOKUP(H612,mappings!$D$2:$E$6,2,FALSE)</f>
        <v>1</v>
      </c>
      <c r="J612" t="s">
        <v>36</v>
      </c>
      <c r="K612" t="s">
        <v>13</v>
      </c>
      <c r="L612" s="2">
        <f>VLOOKUP(K612,mappings!$A$2:$B$13,2,FALSE)</f>
        <v>11</v>
      </c>
      <c r="M612" t="s">
        <v>20</v>
      </c>
      <c r="N612" t="str">
        <f>VLOOKUP(E612,mappings!$L$1:$M$110,2,FALSE)</f>
        <v>No answer provided</v>
      </c>
      <c r="O612" t="str">
        <f>VLOOKUP(E612,mappings!L:O,3,FALSE)</f>
        <v>No answer provided</v>
      </c>
      <c r="P612" t="str">
        <f>VLOOKUP(E612,mappings!L:P,4,FALSE)</f>
        <v>No answer provided</v>
      </c>
    </row>
    <row r="613" spans="1:16" x14ac:dyDescent="0.2">
      <c r="A613">
        <v>612</v>
      </c>
      <c r="B613">
        <v>3877890420</v>
      </c>
      <c r="C613" t="s">
        <v>6</v>
      </c>
      <c r="D613" t="s">
        <v>31</v>
      </c>
      <c r="E613" t="s">
        <v>8</v>
      </c>
      <c r="F613" t="s">
        <v>16</v>
      </c>
      <c r="G613" s="2">
        <f>VLOOKUP(F613,mappings!$G$2:$H$6,2,FALSE)</f>
        <v>3</v>
      </c>
      <c r="H613" t="s">
        <v>163</v>
      </c>
      <c r="I613" s="2">
        <f>VLOOKUP(H613,mappings!$D$2:$E$6,2,FALSE)</f>
        <v>3</v>
      </c>
      <c r="J613" t="s">
        <v>36</v>
      </c>
      <c r="K613" t="s">
        <v>14</v>
      </c>
      <c r="L613" s="2">
        <f>VLOOKUP(K613,mappings!$A$2:$B$13,2,FALSE)</f>
        <v>6</v>
      </c>
      <c r="M613" t="s">
        <v>24</v>
      </c>
      <c r="N613" t="str">
        <f>VLOOKUP(E613,mappings!$L$1:$M$110,2,FALSE)</f>
        <v>No answer provided</v>
      </c>
      <c r="O613" t="str">
        <f>VLOOKUP(E613,mappings!L:O,3,FALSE)</f>
        <v>No answer provided</v>
      </c>
      <c r="P613" t="str">
        <f>VLOOKUP(E613,mappings!L:P,4,FALSE)</f>
        <v>No answer provided</v>
      </c>
    </row>
    <row r="614" spans="1:16" x14ac:dyDescent="0.2">
      <c r="A614">
        <v>613</v>
      </c>
      <c r="B614">
        <v>3877890013</v>
      </c>
      <c r="C614" t="s">
        <v>26</v>
      </c>
      <c r="D614" t="s">
        <v>1</v>
      </c>
      <c r="E614" t="s">
        <v>127</v>
      </c>
      <c r="F614" t="s">
        <v>22</v>
      </c>
      <c r="G614" s="2">
        <f>VLOOKUP(F614,mappings!$G$2:$H$6,2,FALSE)</f>
        <v>1</v>
      </c>
      <c r="H614" t="s">
        <v>161</v>
      </c>
      <c r="I614" s="2">
        <f>VLOOKUP(H614,mappings!$D$2:$E$6,2,FALSE)</f>
        <v>2</v>
      </c>
      <c r="J614" t="s">
        <v>36</v>
      </c>
      <c r="K614" t="s">
        <v>48</v>
      </c>
      <c r="L614" s="2">
        <f>VLOOKUP(K614,mappings!$A$2:$B$13,2,FALSE)</f>
        <v>7</v>
      </c>
      <c r="M614" t="s">
        <v>24</v>
      </c>
      <c r="N614" t="str">
        <f>VLOOKUP(E614,mappings!$L$1:$M$110,2,FALSE)</f>
        <v>Other or unknown</v>
      </c>
      <c r="O614" t="str">
        <f>VLOOKUP(E614,mappings!L:O,3,FALSE)</f>
        <v>App</v>
      </c>
      <c r="P614" t="str">
        <f>VLOOKUP(E614,mappings!L:P,4,FALSE)</f>
        <v>Apple</v>
      </c>
    </row>
    <row r="615" spans="1:16" x14ac:dyDescent="0.2">
      <c r="A615">
        <v>614</v>
      </c>
      <c r="B615">
        <v>3877889922</v>
      </c>
      <c r="C615" t="s">
        <v>6</v>
      </c>
      <c r="D615" t="s">
        <v>1</v>
      </c>
      <c r="E615" t="s">
        <v>128</v>
      </c>
      <c r="F615" t="s">
        <v>22</v>
      </c>
      <c r="G615" s="2">
        <f>VLOOKUP(F615,mappings!$G$2:$H$6,2,FALSE)</f>
        <v>1</v>
      </c>
      <c r="H615" t="s">
        <v>43</v>
      </c>
      <c r="I615" s="2">
        <f>VLOOKUP(H615,mappings!$D$2:$E$6,2,FALSE)</f>
        <v>4</v>
      </c>
      <c r="J615" t="s">
        <v>10</v>
      </c>
      <c r="K615" t="s">
        <v>11</v>
      </c>
      <c r="L615" s="2">
        <f>VLOOKUP(K615,mappings!$A$2:$B$13,2,FALSE)</f>
        <v>4</v>
      </c>
      <c r="M615" t="s">
        <v>12</v>
      </c>
      <c r="N615" t="str">
        <f>VLOOKUP(E615,mappings!$L$1:$M$110,2,FALSE)</f>
        <v>Other or unknown</v>
      </c>
      <c r="O615" t="str">
        <f>VLOOKUP(E615,mappings!L:O,3,FALSE)</f>
        <v>App</v>
      </c>
      <c r="P615" t="str">
        <f>VLOOKUP(E615,mappings!L:P,4,FALSE)</f>
        <v>Other or unkown</v>
      </c>
    </row>
    <row r="616" spans="1:16" x14ac:dyDescent="0.2">
      <c r="A616">
        <v>615</v>
      </c>
      <c r="B616">
        <v>3877885176</v>
      </c>
      <c r="C616" t="s">
        <v>6</v>
      </c>
      <c r="D616" t="s">
        <v>7</v>
      </c>
      <c r="E616" t="s">
        <v>8</v>
      </c>
      <c r="F616" t="s">
        <v>9</v>
      </c>
      <c r="G616" s="2">
        <f>VLOOKUP(F616,mappings!$G$2:$H$6,2,FALSE)</f>
        <v>4</v>
      </c>
      <c r="H616" t="s">
        <v>162</v>
      </c>
      <c r="I616" s="2">
        <f>VLOOKUP(H616,mappings!$D$2:$E$6,2,FALSE)</f>
        <v>1</v>
      </c>
      <c r="J616" t="s">
        <v>36</v>
      </c>
      <c r="K616" t="s">
        <v>33</v>
      </c>
      <c r="L616" s="2">
        <f>VLOOKUP(K616,mappings!$A$2:$B$13,2,FALSE)</f>
        <v>5</v>
      </c>
      <c r="M616" t="s">
        <v>30</v>
      </c>
      <c r="N616" t="str">
        <f>VLOOKUP(E616,mappings!$L$1:$M$110,2,FALSE)</f>
        <v>No answer provided</v>
      </c>
      <c r="O616" t="str">
        <f>VLOOKUP(E616,mappings!L:O,3,FALSE)</f>
        <v>No answer provided</v>
      </c>
      <c r="P616" t="str">
        <f>VLOOKUP(E616,mappings!L:P,4,FALSE)</f>
        <v>No answer provided</v>
      </c>
    </row>
    <row r="617" spans="1:16" x14ac:dyDescent="0.2">
      <c r="A617">
        <v>616</v>
      </c>
      <c r="B617">
        <v>3877885125</v>
      </c>
      <c r="C617" t="s">
        <v>6</v>
      </c>
      <c r="D617" t="s">
        <v>7</v>
      </c>
      <c r="E617" t="s">
        <v>8</v>
      </c>
      <c r="F617" t="s">
        <v>16</v>
      </c>
      <c r="G617" s="2">
        <f>VLOOKUP(F617,mappings!$G$2:$H$6,2,FALSE)</f>
        <v>3</v>
      </c>
      <c r="H617" t="s">
        <v>161</v>
      </c>
      <c r="I617" s="2">
        <f>VLOOKUP(H617,mappings!$D$2:$E$6,2,FALSE)</f>
        <v>2</v>
      </c>
      <c r="J617" t="s">
        <v>36</v>
      </c>
      <c r="K617" t="s">
        <v>23</v>
      </c>
      <c r="L617" s="2">
        <f>VLOOKUP(K617,mappings!$A$2:$B$13,2,FALSE)</f>
        <v>3</v>
      </c>
      <c r="M617" t="s">
        <v>25</v>
      </c>
      <c r="N617" t="str">
        <f>VLOOKUP(E617,mappings!$L$1:$M$110,2,FALSE)</f>
        <v>No answer provided</v>
      </c>
      <c r="O617" t="str">
        <f>VLOOKUP(E617,mappings!L:O,3,FALSE)</f>
        <v>No answer provided</v>
      </c>
      <c r="P617" t="str">
        <f>VLOOKUP(E617,mappings!L:P,4,FALSE)</f>
        <v>No answer provided</v>
      </c>
    </row>
    <row r="618" spans="1:16" x14ac:dyDescent="0.2">
      <c r="A618">
        <v>617</v>
      </c>
      <c r="B618">
        <v>3877885019</v>
      </c>
      <c r="C618" t="s">
        <v>6</v>
      </c>
      <c r="D618" t="s">
        <v>31</v>
      </c>
      <c r="E618" t="s">
        <v>8</v>
      </c>
      <c r="F618" t="s">
        <v>16</v>
      </c>
      <c r="G618" s="2">
        <f>VLOOKUP(F618,mappings!$G$2:$H$6,2,FALSE)</f>
        <v>3</v>
      </c>
      <c r="H618" t="s">
        <v>43</v>
      </c>
      <c r="I618" s="2">
        <f>VLOOKUP(H618,mappings!$D$2:$E$6,2,FALSE)</f>
        <v>4</v>
      </c>
      <c r="J618" t="s">
        <v>36</v>
      </c>
      <c r="K618" t="s">
        <v>13</v>
      </c>
      <c r="L618" s="2">
        <f>VLOOKUP(K618,mappings!$A$2:$B$13,2,FALSE)</f>
        <v>11</v>
      </c>
      <c r="M618" t="s">
        <v>20</v>
      </c>
      <c r="N618" t="str">
        <f>VLOOKUP(E618,mappings!$L$1:$M$110,2,FALSE)</f>
        <v>No answer provided</v>
      </c>
      <c r="O618" t="str">
        <f>VLOOKUP(E618,mappings!L:O,3,FALSE)</f>
        <v>No answer provided</v>
      </c>
      <c r="P618" t="str">
        <f>VLOOKUP(E618,mappings!L:P,4,FALSE)</f>
        <v>No answer provided</v>
      </c>
    </row>
    <row r="619" spans="1:16" x14ac:dyDescent="0.2">
      <c r="A619">
        <v>618</v>
      </c>
      <c r="B619">
        <v>3877884613</v>
      </c>
      <c r="C619" t="s">
        <v>6</v>
      </c>
      <c r="D619" t="s">
        <v>21</v>
      </c>
      <c r="E619" t="s">
        <v>8</v>
      </c>
      <c r="F619" t="s">
        <v>9</v>
      </c>
      <c r="G619" s="2">
        <f>VLOOKUP(F619,mappings!$G$2:$H$6,2,FALSE)</f>
        <v>4</v>
      </c>
      <c r="H619" t="s">
        <v>163</v>
      </c>
      <c r="I619" s="2">
        <f>VLOOKUP(H619,mappings!$D$2:$E$6,2,FALSE)</f>
        <v>3</v>
      </c>
      <c r="J619" t="s">
        <v>36</v>
      </c>
      <c r="K619" t="s">
        <v>11</v>
      </c>
      <c r="L619" s="2">
        <f>VLOOKUP(K619,mappings!$A$2:$B$13,2,FALSE)</f>
        <v>4</v>
      </c>
      <c r="M619" t="s">
        <v>24</v>
      </c>
      <c r="N619" t="str">
        <f>VLOOKUP(E619,mappings!$L$1:$M$110,2,FALSE)</f>
        <v>No answer provided</v>
      </c>
      <c r="O619" t="str">
        <f>VLOOKUP(E619,mappings!L:O,3,FALSE)</f>
        <v>No answer provided</v>
      </c>
      <c r="P619" t="str">
        <f>VLOOKUP(E619,mappings!L:P,4,FALSE)</f>
        <v>No answer provided</v>
      </c>
    </row>
    <row r="620" spans="1:16" x14ac:dyDescent="0.2">
      <c r="A620">
        <v>619</v>
      </c>
      <c r="B620">
        <v>3877884192</v>
      </c>
      <c r="C620" t="s">
        <v>26</v>
      </c>
      <c r="D620" t="s">
        <v>31</v>
      </c>
      <c r="E620" t="s">
        <v>8</v>
      </c>
      <c r="F620" t="s">
        <v>22</v>
      </c>
      <c r="G620" s="2">
        <f>VLOOKUP(F620,mappings!$G$2:$H$6,2,FALSE)</f>
        <v>1</v>
      </c>
      <c r="H620" t="s">
        <v>43</v>
      </c>
      <c r="I620" s="2">
        <f>VLOOKUP(H620,mappings!$D$2:$E$6,2,FALSE)</f>
        <v>4</v>
      </c>
      <c r="J620" t="s">
        <v>36</v>
      </c>
      <c r="K620" t="s">
        <v>23</v>
      </c>
      <c r="L620" s="2">
        <f>VLOOKUP(K620,mappings!$A$2:$B$13,2,FALSE)</f>
        <v>3</v>
      </c>
      <c r="M620" t="s">
        <v>24</v>
      </c>
      <c r="N620" t="str">
        <f>VLOOKUP(E620,mappings!$L$1:$M$110,2,FALSE)</f>
        <v>No answer provided</v>
      </c>
      <c r="O620" t="str">
        <f>VLOOKUP(E620,mappings!L:O,3,FALSE)</f>
        <v>No answer provided</v>
      </c>
      <c r="P620" t="str">
        <f>VLOOKUP(E620,mappings!L:P,4,FALSE)</f>
        <v>No answer provided</v>
      </c>
    </row>
    <row r="621" spans="1:16" x14ac:dyDescent="0.2">
      <c r="A621">
        <v>620</v>
      </c>
      <c r="B621">
        <v>3877880332</v>
      </c>
      <c r="C621" t="s">
        <v>26</v>
      </c>
      <c r="D621" t="s">
        <v>31</v>
      </c>
      <c r="E621" t="s">
        <v>8</v>
      </c>
      <c r="F621" t="s">
        <v>22</v>
      </c>
      <c r="G621" s="2">
        <f>VLOOKUP(F621,mappings!$G$2:$H$6,2,FALSE)</f>
        <v>1</v>
      </c>
      <c r="H621" t="s">
        <v>161</v>
      </c>
      <c r="I621" s="2">
        <f>VLOOKUP(H621,mappings!$D$2:$E$6,2,FALSE)</f>
        <v>2</v>
      </c>
      <c r="J621" t="s">
        <v>36</v>
      </c>
      <c r="K621" t="s">
        <v>23</v>
      </c>
      <c r="L621" s="2">
        <f>VLOOKUP(K621,mappings!$A$2:$B$13,2,FALSE)</f>
        <v>3</v>
      </c>
      <c r="M621" t="s">
        <v>30</v>
      </c>
      <c r="N621" t="str">
        <f>VLOOKUP(E621,mappings!$L$1:$M$110,2,FALSE)</f>
        <v>No answer provided</v>
      </c>
      <c r="O621" t="str">
        <f>VLOOKUP(E621,mappings!L:O,3,FALSE)</f>
        <v>No answer provided</v>
      </c>
      <c r="P621" t="str">
        <f>VLOOKUP(E621,mappings!L:P,4,FALSE)</f>
        <v>No answer provided</v>
      </c>
    </row>
    <row r="622" spans="1:16" x14ac:dyDescent="0.2">
      <c r="A622">
        <v>621</v>
      </c>
      <c r="B622">
        <v>3877877032</v>
      </c>
      <c r="C622" t="s">
        <v>6</v>
      </c>
      <c r="D622" t="s">
        <v>1</v>
      </c>
      <c r="E622" t="s">
        <v>129</v>
      </c>
      <c r="F622" t="s">
        <v>9</v>
      </c>
      <c r="G622" s="2">
        <f>VLOOKUP(F622,mappings!$G$2:$H$6,2,FALSE)</f>
        <v>4</v>
      </c>
      <c r="H622" t="s">
        <v>162</v>
      </c>
      <c r="I622" s="2">
        <f>VLOOKUP(H622,mappings!$D$2:$E$6,2,FALSE)</f>
        <v>1</v>
      </c>
      <c r="J622" t="s">
        <v>36</v>
      </c>
      <c r="K622" t="s">
        <v>48</v>
      </c>
      <c r="L622" s="2">
        <f>VLOOKUP(K622,mappings!$A$2:$B$13,2,FALSE)</f>
        <v>7</v>
      </c>
      <c r="M622" t="s">
        <v>24</v>
      </c>
      <c r="N622" t="str">
        <f>VLOOKUP(E622,mappings!$L$1:$M$110,2,FALSE)</f>
        <v>Other or unknown</v>
      </c>
      <c r="O622" t="str">
        <f>VLOOKUP(E622,mappings!L:O,3,FALSE)</f>
        <v>App</v>
      </c>
      <c r="P622" t="str">
        <f>VLOOKUP(E622,mappings!L:P,4,FALSE)</f>
        <v>Other or unkown</v>
      </c>
    </row>
    <row r="623" spans="1:16" x14ac:dyDescent="0.2">
      <c r="A623">
        <v>622</v>
      </c>
      <c r="B623">
        <v>3877874628</v>
      </c>
      <c r="C623" t="s">
        <v>6</v>
      </c>
      <c r="D623" t="s">
        <v>1</v>
      </c>
      <c r="E623" t="s">
        <v>95</v>
      </c>
      <c r="F623" t="s">
        <v>22</v>
      </c>
      <c r="G623" s="2">
        <f>VLOOKUP(F623,mappings!$G$2:$H$6,2,FALSE)</f>
        <v>1</v>
      </c>
      <c r="H623" t="s">
        <v>43</v>
      </c>
      <c r="I623" s="2">
        <f>VLOOKUP(H623,mappings!$D$2:$E$6,2,FALSE)</f>
        <v>4</v>
      </c>
      <c r="J623" t="s">
        <v>36</v>
      </c>
      <c r="K623" t="s">
        <v>13</v>
      </c>
      <c r="L623" s="2">
        <f>VLOOKUP(K623,mappings!$A$2:$B$13,2,FALSE)</f>
        <v>11</v>
      </c>
      <c r="M623" t="s">
        <v>30</v>
      </c>
      <c r="N623" t="str">
        <f>VLOOKUP(E623,mappings!$L$1:$M$110,2,FALSE)</f>
        <v>AccuWeather</v>
      </c>
      <c r="O623" t="str">
        <f>VLOOKUP(E623,mappings!L:O,3,FALSE)</f>
        <v>Website</v>
      </c>
      <c r="P623" t="str">
        <f>VLOOKUP(E623,mappings!L:P,4,FALSE)</f>
        <v>Other or unkown</v>
      </c>
    </row>
    <row r="624" spans="1:16" x14ac:dyDescent="0.2">
      <c r="A624">
        <v>623</v>
      </c>
      <c r="B624">
        <v>3877873676</v>
      </c>
      <c r="C624" t="s">
        <v>6</v>
      </c>
      <c r="D624" t="s">
        <v>41</v>
      </c>
      <c r="E624" t="s">
        <v>8</v>
      </c>
      <c r="F624" t="s">
        <v>22</v>
      </c>
      <c r="G624" s="2">
        <f>VLOOKUP(F624,mappings!$G$2:$H$6,2,FALSE)</f>
        <v>1</v>
      </c>
      <c r="H624" t="s">
        <v>163</v>
      </c>
      <c r="I624" s="2">
        <f>VLOOKUP(H624,mappings!$D$2:$E$6,2,FALSE)</f>
        <v>3</v>
      </c>
      <c r="J624" t="s">
        <v>10</v>
      </c>
      <c r="K624" t="s">
        <v>23</v>
      </c>
      <c r="L624" s="2">
        <f>VLOOKUP(K624,mappings!$A$2:$B$13,2,FALSE)</f>
        <v>3</v>
      </c>
      <c r="M624" t="s">
        <v>42</v>
      </c>
      <c r="N624" t="str">
        <f>VLOOKUP(E624,mappings!$L$1:$M$110,2,FALSE)</f>
        <v>No answer provided</v>
      </c>
      <c r="O624" t="str">
        <f>VLOOKUP(E624,mappings!L:O,3,FALSE)</f>
        <v>No answer provided</v>
      </c>
      <c r="P624" t="str">
        <f>VLOOKUP(E624,mappings!L:P,4,FALSE)</f>
        <v>No answer provided</v>
      </c>
    </row>
    <row r="625" spans="1:16" x14ac:dyDescent="0.2">
      <c r="A625">
        <v>624</v>
      </c>
      <c r="B625">
        <v>3877871653</v>
      </c>
      <c r="C625" t="s">
        <v>6</v>
      </c>
      <c r="D625" t="s">
        <v>1</v>
      </c>
      <c r="E625" t="s">
        <v>130</v>
      </c>
      <c r="F625" t="s">
        <v>9</v>
      </c>
      <c r="G625" s="2">
        <f>VLOOKUP(F625,mappings!$G$2:$H$6,2,FALSE)</f>
        <v>4</v>
      </c>
      <c r="H625" t="s">
        <v>163</v>
      </c>
      <c r="I625" s="2">
        <f>VLOOKUP(H625,mappings!$D$2:$E$6,2,FALSE)</f>
        <v>3</v>
      </c>
      <c r="J625" t="s">
        <v>36</v>
      </c>
      <c r="K625" t="s">
        <v>18</v>
      </c>
      <c r="L625" s="2">
        <f>VLOOKUP(K625,mappings!$A$2:$B$13,2,FALSE)</f>
        <v>8</v>
      </c>
      <c r="M625" t="s">
        <v>30</v>
      </c>
      <c r="N625" t="str">
        <f>VLOOKUP(E625,mappings!$L$1:$M$110,2,FALSE)</f>
        <v>Yahoo</v>
      </c>
      <c r="O625" t="str">
        <f>VLOOKUP(E625,mappings!L:O,3,FALSE)</f>
        <v>App</v>
      </c>
      <c r="P625" t="str">
        <f>VLOOKUP(E625,mappings!L:P,4,FALSE)</f>
        <v>Apple</v>
      </c>
    </row>
    <row r="626" spans="1:16" x14ac:dyDescent="0.2">
      <c r="A626">
        <v>625</v>
      </c>
      <c r="B626">
        <v>3877871578</v>
      </c>
      <c r="C626" t="s">
        <v>6</v>
      </c>
      <c r="D626" t="s">
        <v>31</v>
      </c>
      <c r="E626" t="s">
        <v>8</v>
      </c>
      <c r="F626" t="s">
        <v>9</v>
      </c>
      <c r="G626" s="2">
        <f>VLOOKUP(F626,mappings!$G$2:$H$6,2,FALSE)</f>
        <v>4</v>
      </c>
      <c r="H626" t="s">
        <v>162</v>
      </c>
      <c r="I626" s="2">
        <f>VLOOKUP(H626,mappings!$D$2:$E$6,2,FALSE)</f>
        <v>1</v>
      </c>
      <c r="J626" t="s">
        <v>36</v>
      </c>
      <c r="K626" t="s">
        <v>29</v>
      </c>
      <c r="L626" s="2">
        <f>VLOOKUP(K626,mappings!$A$2:$B$13,2,FALSE)</f>
        <v>1</v>
      </c>
      <c r="M626" t="s">
        <v>30</v>
      </c>
      <c r="N626" t="str">
        <f>VLOOKUP(E626,mappings!$L$1:$M$110,2,FALSE)</f>
        <v>No answer provided</v>
      </c>
      <c r="O626" t="str">
        <f>VLOOKUP(E626,mappings!L:O,3,FALSE)</f>
        <v>No answer provided</v>
      </c>
      <c r="P626" t="str">
        <f>VLOOKUP(E626,mappings!L:P,4,FALSE)</f>
        <v>No answer provided</v>
      </c>
    </row>
    <row r="627" spans="1:16" x14ac:dyDescent="0.2">
      <c r="A627">
        <v>626</v>
      </c>
      <c r="B627">
        <v>3877871132</v>
      </c>
      <c r="C627" t="s">
        <v>6</v>
      </c>
      <c r="D627" t="s">
        <v>1</v>
      </c>
      <c r="E627" t="s">
        <v>131</v>
      </c>
      <c r="F627" t="s">
        <v>22</v>
      </c>
      <c r="G627" s="2">
        <f>VLOOKUP(F627,mappings!$G$2:$H$6,2,FALSE)</f>
        <v>1</v>
      </c>
      <c r="H627" t="s">
        <v>162</v>
      </c>
      <c r="I627" s="2">
        <f>VLOOKUP(H627,mappings!$D$2:$E$6,2,FALSE)</f>
        <v>1</v>
      </c>
      <c r="J627" t="s">
        <v>36</v>
      </c>
      <c r="K627" t="s">
        <v>29</v>
      </c>
      <c r="L627" s="2">
        <f>VLOOKUP(K627,mappings!$A$2:$B$13,2,FALSE)</f>
        <v>1</v>
      </c>
      <c r="M627" t="s">
        <v>20</v>
      </c>
      <c r="N627" t="str">
        <f>VLOOKUP(E627,mappings!$L$1:$M$110,2,FALSE)</f>
        <v>Other or unknown</v>
      </c>
      <c r="O627" t="str">
        <f>VLOOKUP(E627,mappings!L:O,3,FALSE)</f>
        <v>App</v>
      </c>
      <c r="P627" t="str">
        <f>VLOOKUP(E627,mappings!L:P,4,FALSE)</f>
        <v>Other or unkown</v>
      </c>
    </row>
    <row r="628" spans="1:16" x14ac:dyDescent="0.2">
      <c r="A628">
        <v>627</v>
      </c>
      <c r="B628">
        <v>3877870133</v>
      </c>
      <c r="C628" t="s">
        <v>6</v>
      </c>
      <c r="D628" t="s">
        <v>7</v>
      </c>
      <c r="E628" t="s">
        <v>8</v>
      </c>
      <c r="F628" t="s">
        <v>16</v>
      </c>
      <c r="G628" s="2">
        <f>VLOOKUP(F628,mappings!$G$2:$H$6,2,FALSE)</f>
        <v>3</v>
      </c>
      <c r="H628" t="s">
        <v>43</v>
      </c>
      <c r="I628" s="2">
        <f>VLOOKUP(H628,mappings!$D$2:$E$6,2,FALSE)</f>
        <v>4</v>
      </c>
      <c r="J628" t="s">
        <v>36</v>
      </c>
      <c r="K628" t="s">
        <v>11</v>
      </c>
      <c r="L628" s="2">
        <f>VLOOKUP(K628,mappings!$A$2:$B$13,2,FALSE)</f>
        <v>4</v>
      </c>
      <c r="M628" t="s">
        <v>20</v>
      </c>
      <c r="N628" t="str">
        <f>VLOOKUP(E628,mappings!$L$1:$M$110,2,FALSE)</f>
        <v>No answer provided</v>
      </c>
      <c r="O628" t="str">
        <f>VLOOKUP(E628,mappings!L:O,3,FALSE)</f>
        <v>No answer provided</v>
      </c>
      <c r="P628" t="str">
        <f>VLOOKUP(E628,mappings!L:P,4,FALSE)</f>
        <v>No answer provided</v>
      </c>
    </row>
    <row r="629" spans="1:16" x14ac:dyDescent="0.2">
      <c r="A629">
        <v>628</v>
      </c>
      <c r="B629">
        <v>3877870026</v>
      </c>
      <c r="C629" t="s">
        <v>6</v>
      </c>
      <c r="D629" t="s">
        <v>7</v>
      </c>
      <c r="E629" t="s">
        <v>8</v>
      </c>
      <c r="F629" t="s">
        <v>16</v>
      </c>
      <c r="G629" s="2">
        <f>VLOOKUP(F629,mappings!$G$2:$H$6,2,FALSE)</f>
        <v>3</v>
      </c>
      <c r="H629" t="s">
        <v>43</v>
      </c>
      <c r="I629" s="2">
        <f>VLOOKUP(H629,mappings!$D$2:$E$6,2,FALSE)</f>
        <v>4</v>
      </c>
      <c r="J629" t="s">
        <v>10</v>
      </c>
      <c r="K629" t="s">
        <v>14</v>
      </c>
      <c r="L629" s="2">
        <f>VLOOKUP(K629,mappings!$A$2:$B$13,2,FALSE)</f>
        <v>6</v>
      </c>
      <c r="M629" t="s">
        <v>15</v>
      </c>
      <c r="N629" t="str">
        <f>VLOOKUP(E629,mappings!$L$1:$M$110,2,FALSE)</f>
        <v>No answer provided</v>
      </c>
      <c r="O629" t="str">
        <f>VLOOKUP(E629,mappings!L:O,3,FALSE)</f>
        <v>No answer provided</v>
      </c>
      <c r="P629" t="str">
        <f>VLOOKUP(E629,mappings!L:P,4,FALSE)</f>
        <v>No answer provided</v>
      </c>
    </row>
    <row r="630" spans="1:16" x14ac:dyDescent="0.2">
      <c r="A630">
        <v>629</v>
      </c>
      <c r="B630">
        <v>3877869125</v>
      </c>
      <c r="C630" t="s">
        <v>6</v>
      </c>
      <c r="D630" t="s">
        <v>21</v>
      </c>
      <c r="E630" t="s">
        <v>8</v>
      </c>
      <c r="F630" t="s">
        <v>9</v>
      </c>
      <c r="G630" s="2">
        <f>VLOOKUP(F630,mappings!$G$2:$H$6,2,FALSE)</f>
        <v>4</v>
      </c>
      <c r="H630" t="s">
        <v>162</v>
      </c>
      <c r="I630" s="2">
        <f>VLOOKUP(H630,mappings!$D$2:$E$6,2,FALSE)</f>
        <v>1</v>
      </c>
      <c r="J630" t="s">
        <v>36</v>
      </c>
      <c r="K630" t="s">
        <v>23</v>
      </c>
      <c r="L630" s="2">
        <f>VLOOKUP(K630,mappings!$A$2:$B$13,2,FALSE)</f>
        <v>3</v>
      </c>
      <c r="M630" t="s">
        <v>12</v>
      </c>
      <c r="N630" t="str">
        <f>VLOOKUP(E630,mappings!$L$1:$M$110,2,FALSE)</f>
        <v>No answer provided</v>
      </c>
      <c r="O630" t="str">
        <f>VLOOKUP(E630,mappings!L:O,3,FALSE)</f>
        <v>No answer provided</v>
      </c>
      <c r="P630" t="str">
        <f>VLOOKUP(E630,mappings!L:P,4,FALSE)</f>
        <v>No answer provided</v>
      </c>
    </row>
    <row r="631" spans="1:16" x14ac:dyDescent="0.2">
      <c r="A631">
        <v>630</v>
      </c>
      <c r="B631">
        <v>3877867553</v>
      </c>
      <c r="C631" t="s">
        <v>6</v>
      </c>
      <c r="D631" t="s">
        <v>1</v>
      </c>
      <c r="E631" t="s">
        <v>69</v>
      </c>
      <c r="F631" t="s">
        <v>16</v>
      </c>
      <c r="G631" s="2">
        <f>VLOOKUP(F631,mappings!$G$2:$H$6,2,FALSE)</f>
        <v>3</v>
      </c>
      <c r="H631" t="s">
        <v>43</v>
      </c>
      <c r="I631" s="2">
        <f>VLOOKUP(H631,mappings!$D$2:$E$6,2,FALSE)</f>
        <v>4</v>
      </c>
      <c r="J631" t="s">
        <v>36</v>
      </c>
      <c r="K631" t="s">
        <v>23</v>
      </c>
      <c r="L631" s="2">
        <f>VLOOKUP(K631,mappings!$A$2:$B$13,2,FALSE)</f>
        <v>3</v>
      </c>
      <c r="M631" t="s">
        <v>34</v>
      </c>
      <c r="N631" t="str">
        <f>VLOOKUP(E631,mappings!$L$1:$M$110,2,FALSE)</f>
        <v>Weatherbug</v>
      </c>
      <c r="O631" t="str">
        <f>VLOOKUP(E631,mappings!L:O,3,FALSE)</f>
        <v>Website</v>
      </c>
      <c r="P631" t="str">
        <f>VLOOKUP(E631,mappings!L:P,4,FALSE)</f>
        <v>Other or unkown</v>
      </c>
    </row>
    <row r="632" spans="1:16" x14ac:dyDescent="0.2">
      <c r="A632">
        <v>631</v>
      </c>
      <c r="B632">
        <v>3877865436</v>
      </c>
      <c r="C632" t="s">
        <v>6</v>
      </c>
      <c r="D632" t="s">
        <v>31</v>
      </c>
      <c r="E632" t="s">
        <v>8</v>
      </c>
      <c r="F632" t="s">
        <v>9</v>
      </c>
      <c r="G632" s="2">
        <f>VLOOKUP(F632,mappings!$G$2:$H$6,2,FALSE)</f>
        <v>4</v>
      </c>
      <c r="H632" t="s">
        <v>163</v>
      </c>
      <c r="I632" s="2">
        <f>VLOOKUP(H632,mappings!$D$2:$E$6,2,FALSE)</f>
        <v>3</v>
      </c>
      <c r="J632" t="s">
        <v>36</v>
      </c>
      <c r="K632" t="s">
        <v>48</v>
      </c>
      <c r="L632" s="2">
        <f>VLOOKUP(K632,mappings!$A$2:$B$13,2,FALSE)</f>
        <v>7</v>
      </c>
      <c r="M632" t="s">
        <v>24</v>
      </c>
      <c r="N632" t="str">
        <f>VLOOKUP(E632,mappings!$L$1:$M$110,2,FALSE)</f>
        <v>No answer provided</v>
      </c>
      <c r="O632" t="str">
        <f>VLOOKUP(E632,mappings!L:O,3,FALSE)</f>
        <v>No answer provided</v>
      </c>
      <c r="P632" t="str">
        <f>VLOOKUP(E632,mappings!L:P,4,FALSE)</f>
        <v>No answer provided</v>
      </c>
    </row>
    <row r="633" spans="1:16" x14ac:dyDescent="0.2">
      <c r="A633">
        <v>632</v>
      </c>
      <c r="B633">
        <v>3877864574</v>
      </c>
      <c r="C633" t="s">
        <v>26</v>
      </c>
      <c r="D633" t="s">
        <v>40</v>
      </c>
      <c r="E633" t="s">
        <v>8</v>
      </c>
      <c r="F633" t="s">
        <v>16</v>
      </c>
      <c r="G633" s="2">
        <f>VLOOKUP(F633,mappings!$G$2:$H$6,2,FALSE)</f>
        <v>3</v>
      </c>
      <c r="H633" t="s">
        <v>163</v>
      </c>
      <c r="I633" s="2">
        <f>VLOOKUP(H633,mappings!$D$2:$E$6,2,FALSE)</f>
        <v>3</v>
      </c>
      <c r="J633" t="s">
        <v>36</v>
      </c>
      <c r="K633" t="s">
        <v>48</v>
      </c>
      <c r="L633" s="2">
        <f>VLOOKUP(K633,mappings!$A$2:$B$13,2,FALSE)</f>
        <v>7</v>
      </c>
      <c r="M633" t="s">
        <v>24</v>
      </c>
      <c r="N633" t="str">
        <f>VLOOKUP(E633,mappings!$L$1:$M$110,2,FALSE)</f>
        <v>No answer provided</v>
      </c>
      <c r="O633" t="str">
        <f>VLOOKUP(E633,mappings!L:O,3,FALSE)</f>
        <v>No answer provided</v>
      </c>
      <c r="P633" t="str">
        <f>VLOOKUP(E633,mappings!L:P,4,FALSE)</f>
        <v>No answer provided</v>
      </c>
    </row>
    <row r="634" spans="1:16" x14ac:dyDescent="0.2">
      <c r="A634">
        <v>633</v>
      </c>
      <c r="B634">
        <v>3877862817</v>
      </c>
      <c r="C634" t="s">
        <v>6</v>
      </c>
      <c r="D634" t="s">
        <v>27</v>
      </c>
      <c r="E634" t="s">
        <v>8</v>
      </c>
      <c r="F634" t="s">
        <v>22</v>
      </c>
      <c r="G634" s="2">
        <f>VLOOKUP(F634,mappings!$G$2:$H$6,2,FALSE)</f>
        <v>1</v>
      </c>
      <c r="H634" t="s">
        <v>163</v>
      </c>
      <c r="I634" s="2">
        <f>VLOOKUP(H634,mappings!$D$2:$E$6,2,FALSE)</f>
        <v>3</v>
      </c>
      <c r="J634" t="s">
        <v>36</v>
      </c>
      <c r="K634" t="s">
        <v>13</v>
      </c>
      <c r="L634" s="2">
        <f>VLOOKUP(K634,mappings!$A$2:$B$13,2,FALSE)</f>
        <v>11</v>
      </c>
      <c r="M634" t="s">
        <v>34</v>
      </c>
      <c r="N634" t="str">
        <f>VLOOKUP(E634,mappings!$L$1:$M$110,2,FALSE)</f>
        <v>No answer provided</v>
      </c>
      <c r="O634" t="str">
        <f>VLOOKUP(E634,mappings!L:O,3,FALSE)</f>
        <v>No answer provided</v>
      </c>
      <c r="P634" t="str">
        <f>VLOOKUP(E634,mappings!L:P,4,FALSE)</f>
        <v>No answer provided</v>
      </c>
    </row>
    <row r="635" spans="1:16" x14ac:dyDescent="0.2">
      <c r="A635">
        <v>634</v>
      </c>
      <c r="B635">
        <v>3877862354</v>
      </c>
      <c r="C635" t="s">
        <v>6</v>
      </c>
      <c r="D635" t="s">
        <v>1</v>
      </c>
      <c r="E635" t="s">
        <v>132</v>
      </c>
      <c r="F635" t="s">
        <v>9</v>
      </c>
      <c r="G635" s="2">
        <f>VLOOKUP(F635,mappings!$G$2:$H$6,2,FALSE)</f>
        <v>4</v>
      </c>
      <c r="H635" t="s">
        <v>163</v>
      </c>
      <c r="I635" s="2">
        <f>VLOOKUP(H635,mappings!$D$2:$E$6,2,FALSE)</f>
        <v>3</v>
      </c>
      <c r="J635" t="s">
        <v>36</v>
      </c>
      <c r="K635" t="s">
        <v>11</v>
      </c>
      <c r="L635" s="2">
        <f>VLOOKUP(K635,mappings!$A$2:$B$13,2,FALSE)</f>
        <v>4</v>
      </c>
      <c r="M635" t="s">
        <v>12</v>
      </c>
      <c r="N635" t="str">
        <f>VLOOKUP(E635,mappings!$L$1:$M$110,2,FALSE)</f>
        <v>Weatherbug</v>
      </c>
      <c r="O635" t="str">
        <f>VLOOKUP(E635,mappings!L:O,3,FALSE)</f>
        <v>Website</v>
      </c>
      <c r="P635" t="str">
        <f>VLOOKUP(E635,mappings!L:P,4,FALSE)</f>
        <v>Other or unkown</v>
      </c>
    </row>
    <row r="636" spans="1:16" x14ac:dyDescent="0.2">
      <c r="A636">
        <v>635</v>
      </c>
      <c r="B636">
        <v>3877861603</v>
      </c>
      <c r="C636" t="s">
        <v>6</v>
      </c>
      <c r="D636" t="s">
        <v>7</v>
      </c>
      <c r="E636" t="s">
        <v>8</v>
      </c>
      <c r="F636" t="s">
        <v>16</v>
      </c>
      <c r="G636" s="2">
        <f>VLOOKUP(F636,mappings!$G$2:$H$6,2,FALSE)</f>
        <v>3</v>
      </c>
      <c r="H636" t="s">
        <v>162</v>
      </c>
      <c r="I636" s="2">
        <f>VLOOKUP(H636,mappings!$D$2:$E$6,2,FALSE)</f>
        <v>1</v>
      </c>
      <c r="J636" t="s">
        <v>36</v>
      </c>
      <c r="K636" t="s">
        <v>11</v>
      </c>
      <c r="L636" s="2">
        <f>VLOOKUP(K636,mappings!$A$2:$B$13,2,FALSE)</f>
        <v>4</v>
      </c>
      <c r="M636" t="s">
        <v>12</v>
      </c>
      <c r="N636" t="str">
        <f>VLOOKUP(E636,mappings!$L$1:$M$110,2,FALSE)</f>
        <v>No answer provided</v>
      </c>
      <c r="O636" t="str">
        <f>VLOOKUP(E636,mappings!L:O,3,FALSE)</f>
        <v>No answer provided</v>
      </c>
      <c r="P636" t="str">
        <f>VLOOKUP(E636,mappings!L:P,4,FALSE)</f>
        <v>No answer provided</v>
      </c>
    </row>
    <row r="637" spans="1:16" x14ac:dyDescent="0.2">
      <c r="A637">
        <v>636</v>
      </c>
      <c r="B637">
        <v>3877860767</v>
      </c>
      <c r="C637" t="s">
        <v>6</v>
      </c>
      <c r="D637" t="s">
        <v>31</v>
      </c>
      <c r="E637" t="s">
        <v>8</v>
      </c>
      <c r="F637" t="s">
        <v>16</v>
      </c>
      <c r="G637" s="2">
        <f>VLOOKUP(F637,mappings!$G$2:$H$6,2,FALSE)</f>
        <v>3</v>
      </c>
      <c r="H637" t="s">
        <v>163</v>
      </c>
      <c r="I637" s="2">
        <f>VLOOKUP(H637,mappings!$D$2:$E$6,2,FALSE)</f>
        <v>3</v>
      </c>
      <c r="J637" t="s">
        <v>10</v>
      </c>
      <c r="K637" t="s">
        <v>32</v>
      </c>
      <c r="L637" s="2">
        <f>VLOOKUP(K637,mappings!$A$2:$B$13,2,FALSE)</f>
        <v>2</v>
      </c>
      <c r="M637" t="s">
        <v>20</v>
      </c>
      <c r="N637" t="str">
        <f>VLOOKUP(E637,mappings!$L$1:$M$110,2,FALSE)</f>
        <v>No answer provided</v>
      </c>
      <c r="O637" t="str">
        <f>VLOOKUP(E637,mappings!L:O,3,FALSE)</f>
        <v>No answer provided</v>
      </c>
      <c r="P637" t="str">
        <f>VLOOKUP(E637,mappings!L:P,4,FALSE)</f>
        <v>No answer provided</v>
      </c>
    </row>
    <row r="638" spans="1:16" x14ac:dyDescent="0.2">
      <c r="A638">
        <v>637</v>
      </c>
      <c r="B638">
        <v>3877860097</v>
      </c>
      <c r="C638" t="s">
        <v>26</v>
      </c>
      <c r="D638" t="s">
        <v>31</v>
      </c>
      <c r="E638" t="s">
        <v>8</v>
      </c>
      <c r="F638" t="s">
        <v>16</v>
      </c>
      <c r="G638" s="2">
        <f>VLOOKUP(F638,mappings!$G$2:$H$6,2,FALSE)</f>
        <v>3</v>
      </c>
      <c r="H638" t="s">
        <v>43</v>
      </c>
      <c r="I638" s="2">
        <f>VLOOKUP(H638,mappings!$D$2:$E$6,2,FALSE)</f>
        <v>4</v>
      </c>
      <c r="J638" t="s">
        <v>36</v>
      </c>
      <c r="K638" t="s">
        <v>23</v>
      </c>
      <c r="L638" s="2">
        <f>VLOOKUP(K638,mappings!$A$2:$B$13,2,FALSE)</f>
        <v>3</v>
      </c>
      <c r="M638" t="s">
        <v>24</v>
      </c>
      <c r="N638" t="str">
        <f>VLOOKUP(E638,mappings!$L$1:$M$110,2,FALSE)</f>
        <v>No answer provided</v>
      </c>
      <c r="O638" t="str">
        <f>VLOOKUP(E638,mappings!L:O,3,FALSE)</f>
        <v>No answer provided</v>
      </c>
      <c r="P638" t="str">
        <f>VLOOKUP(E638,mappings!L:P,4,FALSE)</f>
        <v>No answer provided</v>
      </c>
    </row>
    <row r="639" spans="1:16" x14ac:dyDescent="0.2">
      <c r="A639">
        <v>638</v>
      </c>
      <c r="B639">
        <v>3877860035</v>
      </c>
      <c r="C639" t="s">
        <v>26</v>
      </c>
      <c r="D639" t="s">
        <v>7</v>
      </c>
      <c r="E639" t="s">
        <v>8</v>
      </c>
      <c r="F639" t="s">
        <v>28</v>
      </c>
      <c r="G639" s="2">
        <f>VLOOKUP(F639,mappings!$G$2:$H$6,2,FALSE)</f>
        <v>2</v>
      </c>
      <c r="H639" t="s">
        <v>161</v>
      </c>
      <c r="I639" s="2">
        <f>VLOOKUP(H639,mappings!$D$2:$E$6,2,FALSE)</f>
        <v>2</v>
      </c>
      <c r="J639" t="s">
        <v>36</v>
      </c>
      <c r="K639" t="s">
        <v>48</v>
      </c>
      <c r="L639" s="2">
        <f>VLOOKUP(K639,mappings!$A$2:$B$13,2,FALSE)</f>
        <v>7</v>
      </c>
      <c r="M639" t="s">
        <v>34</v>
      </c>
      <c r="N639" t="str">
        <f>VLOOKUP(E639,mappings!$L$1:$M$110,2,FALSE)</f>
        <v>No answer provided</v>
      </c>
      <c r="O639" t="str">
        <f>VLOOKUP(E639,mappings!L:O,3,FALSE)</f>
        <v>No answer provided</v>
      </c>
      <c r="P639" t="str">
        <f>VLOOKUP(E639,mappings!L:P,4,FALSE)</f>
        <v>No answer provided</v>
      </c>
    </row>
    <row r="640" spans="1:16" x14ac:dyDescent="0.2">
      <c r="A640">
        <v>639</v>
      </c>
      <c r="B640">
        <v>3877859415</v>
      </c>
      <c r="C640" t="s">
        <v>6</v>
      </c>
      <c r="D640" t="s">
        <v>31</v>
      </c>
      <c r="E640" t="s">
        <v>8</v>
      </c>
      <c r="F640" t="s">
        <v>16</v>
      </c>
      <c r="G640" s="2">
        <f>VLOOKUP(F640,mappings!$G$2:$H$6,2,FALSE)</f>
        <v>3</v>
      </c>
      <c r="H640" t="s">
        <v>163</v>
      </c>
      <c r="I640" s="2">
        <f>VLOOKUP(H640,mappings!$D$2:$E$6,2,FALSE)</f>
        <v>3</v>
      </c>
      <c r="J640" t="s">
        <v>36</v>
      </c>
      <c r="K640" t="s">
        <v>32</v>
      </c>
      <c r="L640" s="2">
        <f>VLOOKUP(K640,mappings!$A$2:$B$13,2,FALSE)</f>
        <v>2</v>
      </c>
      <c r="M640" t="s">
        <v>25</v>
      </c>
      <c r="N640" t="str">
        <f>VLOOKUP(E640,mappings!$L$1:$M$110,2,FALSE)</f>
        <v>No answer provided</v>
      </c>
      <c r="O640" t="str">
        <f>VLOOKUP(E640,mappings!L:O,3,FALSE)</f>
        <v>No answer provided</v>
      </c>
      <c r="P640" t="str">
        <f>VLOOKUP(E640,mappings!L:P,4,FALSE)</f>
        <v>No answer provided</v>
      </c>
    </row>
    <row r="641" spans="1:16" x14ac:dyDescent="0.2">
      <c r="A641">
        <v>640</v>
      </c>
      <c r="B641">
        <v>3877857384</v>
      </c>
      <c r="C641" t="s">
        <v>6</v>
      </c>
      <c r="D641" t="s">
        <v>7</v>
      </c>
      <c r="E641" t="s">
        <v>8</v>
      </c>
      <c r="F641" t="s">
        <v>9</v>
      </c>
      <c r="G641" s="2">
        <f>VLOOKUP(F641,mappings!$G$2:$H$6,2,FALSE)</f>
        <v>4</v>
      </c>
      <c r="H641" t="s">
        <v>163</v>
      </c>
      <c r="I641" s="2">
        <f>VLOOKUP(H641,mappings!$D$2:$E$6,2,FALSE)</f>
        <v>3</v>
      </c>
      <c r="J641" t="s">
        <v>36</v>
      </c>
      <c r="K641" t="s">
        <v>11</v>
      </c>
      <c r="L641" s="2">
        <f>VLOOKUP(K641,mappings!$A$2:$B$13,2,FALSE)</f>
        <v>4</v>
      </c>
      <c r="M641" t="s">
        <v>12</v>
      </c>
      <c r="N641" t="str">
        <f>VLOOKUP(E641,mappings!$L$1:$M$110,2,FALSE)</f>
        <v>No answer provided</v>
      </c>
      <c r="O641" t="str">
        <f>VLOOKUP(E641,mappings!L:O,3,FALSE)</f>
        <v>No answer provided</v>
      </c>
      <c r="P641" t="str">
        <f>VLOOKUP(E641,mappings!L:P,4,FALSE)</f>
        <v>No answer provided</v>
      </c>
    </row>
    <row r="642" spans="1:16" x14ac:dyDescent="0.2">
      <c r="A642">
        <v>641</v>
      </c>
      <c r="B642">
        <v>3877857065</v>
      </c>
      <c r="C642" t="s">
        <v>26</v>
      </c>
      <c r="D642" t="s">
        <v>27</v>
      </c>
      <c r="E642" t="s">
        <v>8</v>
      </c>
      <c r="F642" t="s">
        <v>28</v>
      </c>
      <c r="G642" s="2">
        <f>VLOOKUP(F642,mappings!$G$2:$H$6,2,FALSE)</f>
        <v>2</v>
      </c>
      <c r="H642" t="s">
        <v>161</v>
      </c>
      <c r="I642" s="2">
        <f>VLOOKUP(H642,mappings!$D$2:$E$6,2,FALSE)</f>
        <v>2</v>
      </c>
      <c r="J642" t="s">
        <v>36</v>
      </c>
      <c r="K642" t="s">
        <v>33</v>
      </c>
      <c r="L642" s="2">
        <f>VLOOKUP(K642,mappings!$A$2:$B$13,2,FALSE)</f>
        <v>5</v>
      </c>
      <c r="M642" t="s">
        <v>8</v>
      </c>
      <c r="N642" t="str">
        <f>VLOOKUP(E642,mappings!$L$1:$M$110,2,FALSE)</f>
        <v>No answer provided</v>
      </c>
      <c r="O642" t="str">
        <f>VLOOKUP(E642,mappings!L:O,3,FALSE)</f>
        <v>No answer provided</v>
      </c>
      <c r="P642" t="str">
        <f>VLOOKUP(E642,mappings!L:P,4,FALSE)</f>
        <v>No answer provided</v>
      </c>
    </row>
    <row r="643" spans="1:16" x14ac:dyDescent="0.2">
      <c r="A643">
        <v>642</v>
      </c>
      <c r="B643">
        <v>3877856635</v>
      </c>
      <c r="C643" t="s">
        <v>6</v>
      </c>
      <c r="D643" t="s">
        <v>31</v>
      </c>
      <c r="E643" t="s">
        <v>8</v>
      </c>
      <c r="F643" t="s">
        <v>9</v>
      </c>
      <c r="G643" s="2">
        <f>VLOOKUP(F643,mappings!$G$2:$H$6,2,FALSE)</f>
        <v>4</v>
      </c>
      <c r="H643" t="s">
        <v>161</v>
      </c>
      <c r="I643" s="2">
        <f>VLOOKUP(H643,mappings!$D$2:$E$6,2,FALSE)</f>
        <v>2</v>
      </c>
      <c r="J643" t="s">
        <v>36</v>
      </c>
      <c r="K643" t="s">
        <v>11</v>
      </c>
      <c r="L643" s="2">
        <f>VLOOKUP(K643,mappings!$A$2:$B$13,2,FALSE)</f>
        <v>4</v>
      </c>
      <c r="M643" t="s">
        <v>20</v>
      </c>
      <c r="N643" t="str">
        <f>VLOOKUP(E643,mappings!$L$1:$M$110,2,FALSE)</f>
        <v>No answer provided</v>
      </c>
      <c r="O643" t="str">
        <f>VLOOKUP(E643,mappings!L:O,3,FALSE)</f>
        <v>No answer provided</v>
      </c>
      <c r="P643" t="str">
        <f>VLOOKUP(E643,mappings!L:P,4,FALSE)</f>
        <v>No answer provided</v>
      </c>
    </row>
    <row r="644" spans="1:16" x14ac:dyDescent="0.2">
      <c r="A644">
        <v>643</v>
      </c>
      <c r="B644">
        <v>3877856424</v>
      </c>
      <c r="C644" t="s">
        <v>6</v>
      </c>
      <c r="D644" t="s">
        <v>1</v>
      </c>
      <c r="E644" t="s">
        <v>133</v>
      </c>
      <c r="F644" t="s">
        <v>16</v>
      </c>
      <c r="G644" s="2">
        <f>VLOOKUP(F644,mappings!$G$2:$H$6,2,FALSE)</f>
        <v>3</v>
      </c>
      <c r="H644" t="s">
        <v>162</v>
      </c>
      <c r="I644" s="2">
        <f>VLOOKUP(H644,mappings!$D$2:$E$6,2,FALSE)</f>
        <v>1</v>
      </c>
      <c r="J644" t="s">
        <v>36</v>
      </c>
      <c r="K644" t="s">
        <v>13</v>
      </c>
      <c r="L644" s="2">
        <f>VLOOKUP(K644,mappings!$A$2:$B$13,2,FALSE)</f>
        <v>11</v>
      </c>
      <c r="M644" t="s">
        <v>15</v>
      </c>
      <c r="N644" t="str">
        <f>VLOOKUP(E644,mappings!$L$1:$M$110,2,FALSE)</f>
        <v>The Weather Channel</v>
      </c>
      <c r="O644" t="str">
        <f>VLOOKUP(E644,mappings!L:O,3,FALSE)</f>
        <v>App</v>
      </c>
      <c r="P644" t="str">
        <f>VLOOKUP(E644,mappings!L:P,4,FALSE)</f>
        <v>Other or unkown</v>
      </c>
    </row>
    <row r="645" spans="1:16" x14ac:dyDescent="0.2">
      <c r="A645">
        <v>644</v>
      </c>
      <c r="B645">
        <v>3877856090</v>
      </c>
      <c r="C645" t="s">
        <v>6</v>
      </c>
      <c r="D645" t="s">
        <v>7</v>
      </c>
      <c r="E645" t="s">
        <v>8</v>
      </c>
      <c r="F645" t="s">
        <v>16</v>
      </c>
      <c r="G645" s="2">
        <f>VLOOKUP(F645,mappings!$G$2:$H$6,2,FALSE)</f>
        <v>3</v>
      </c>
      <c r="H645" t="s">
        <v>161</v>
      </c>
      <c r="I645" s="2">
        <f>VLOOKUP(H645,mappings!$D$2:$E$6,2,FALSE)</f>
        <v>2</v>
      </c>
      <c r="J645" t="s">
        <v>10</v>
      </c>
      <c r="K645" t="s">
        <v>23</v>
      </c>
      <c r="L645" s="2">
        <f>VLOOKUP(K645,mappings!$A$2:$B$13,2,FALSE)</f>
        <v>3</v>
      </c>
      <c r="M645" t="s">
        <v>30</v>
      </c>
      <c r="N645" t="str">
        <f>VLOOKUP(E645,mappings!$L$1:$M$110,2,FALSE)</f>
        <v>No answer provided</v>
      </c>
      <c r="O645" t="str">
        <f>VLOOKUP(E645,mappings!L:O,3,FALSE)</f>
        <v>No answer provided</v>
      </c>
      <c r="P645" t="str">
        <f>VLOOKUP(E645,mappings!L:P,4,FALSE)</f>
        <v>No answer provided</v>
      </c>
    </row>
    <row r="646" spans="1:16" x14ac:dyDescent="0.2">
      <c r="A646">
        <v>645</v>
      </c>
      <c r="B646">
        <v>3877855838</v>
      </c>
      <c r="C646" t="s">
        <v>26</v>
      </c>
      <c r="D646" t="s">
        <v>21</v>
      </c>
      <c r="E646" t="s">
        <v>8</v>
      </c>
      <c r="F646" t="s">
        <v>9</v>
      </c>
      <c r="G646" s="2">
        <f>VLOOKUP(F646,mappings!$G$2:$H$6,2,FALSE)</f>
        <v>4</v>
      </c>
      <c r="H646" t="s">
        <v>161</v>
      </c>
      <c r="I646" s="2">
        <f>VLOOKUP(H646,mappings!$D$2:$E$6,2,FALSE)</f>
        <v>2</v>
      </c>
      <c r="J646" t="s">
        <v>36</v>
      </c>
      <c r="K646" t="s">
        <v>14</v>
      </c>
      <c r="L646" s="2">
        <f>VLOOKUP(K646,mappings!$A$2:$B$13,2,FALSE)</f>
        <v>6</v>
      </c>
      <c r="M646" t="s">
        <v>24</v>
      </c>
      <c r="N646" t="str">
        <f>VLOOKUP(E646,mappings!$L$1:$M$110,2,FALSE)</f>
        <v>No answer provided</v>
      </c>
      <c r="O646" t="str">
        <f>VLOOKUP(E646,mappings!L:O,3,FALSE)</f>
        <v>No answer provided</v>
      </c>
      <c r="P646" t="str">
        <f>VLOOKUP(E646,mappings!L:P,4,FALSE)</f>
        <v>No answer provided</v>
      </c>
    </row>
    <row r="647" spans="1:16" x14ac:dyDescent="0.2">
      <c r="A647">
        <v>646</v>
      </c>
      <c r="B647">
        <v>3877854283</v>
      </c>
      <c r="C647" t="s">
        <v>6</v>
      </c>
      <c r="D647" t="s">
        <v>7</v>
      </c>
      <c r="E647" t="s">
        <v>8</v>
      </c>
      <c r="F647" t="s">
        <v>9</v>
      </c>
      <c r="G647" s="2">
        <f>VLOOKUP(F647,mappings!$G$2:$H$6,2,FALSE)</f>
        <v>4</v>
      </c>
      <c r="H647" t="s">
        <v>163</v>
      </c>
      <c r="I647" s="2">
        <f>VLOOKUP(H647,mappings!$D$2:$E$6,2,FALSE)</f>
        <v>3</v>
      </c>
      <c r="J647" t="s">
        <v>36</v>
      </c>
      <c r="K647" t="s">
        <v>33</v>
      </c>
      <c r="L647" s="2">
        <f>VLOOKUP(K647,mappings!$A$2:$B$13,2,FALSE)</f>
        <v>5</v>
      </c>
      <c r="M647" t="s">
        <v>12</v>
      </c>
      <c r="N647" t="str">
        <f>VLOOKUP(E647,mappings!$L$1:$M$110,2,FALSE)</f>
        <v>No answer provided</v>
      </c>
      <c r="O647" t="str">
        <f>VLOOKUP(E647,mappings!L:O,3,FALSE)</f>
        <v>No answer provided</v>
      </c>
      <c r="P647" t="str">
        <f>VLOOKUP(E647,mappings!L:P,4,FALSE)</f>
        <v>No answer provided</v>
      </c>
    </row>
    <row r="648" spans="1:16" x14ac:dyDescent="0.2">
      <c r="A648">
        <v>647</v>
      </c>
      <c r="B648">
        <v>3877854113</v>
      </c>
      <c r="C648" t="s">
        <v>6</v>
      </c>
      <c r="D648" t="s">
        <v>21</v>
      </c>
      <c r="E648" t="s">
        <v>8</v>
      </c>
      <c r="F648" t="s">
        <v>9</v>
      </c>
      <c r="G648" s="2">
        <f>VLOOKUP(F648,mappings!$G$2:$H$6,2,FALSE)</f>
        <v>4</v>
      </c>
      <c r="H648" t="s">
        <v>163</v>
      </c>
      <c r="I648" s="2">
        <f>VLOOKUP(H648,mappings!$D$2:$E$6,2,FALSE)</f>
        <v>3</v>
      </c>
      <c r="J648" t="s">
        <v>10</v>
      </c>
      <c r="K648" t="s">
        <v>11</v>
      </c>
      <c r="L648" s="2">
        <f>VLOOKUP(K648,mappings!$A$2:$B$13,2,FALSE)</f>
        <v>4</v>
      </c>
      <c r="M648" t="s">
        <v>25</v>
      </c>
      <c r="N648" t="str">
        <f>VLOOKUP(E648,mappings!$L$1:$M$110,2,FALSE)</f>
        <v>No answer provided</v>
      </c>
      <c r="O648" t="str">
        <f>VLOOKUP(E648,mappings!L:O,3,FALSE)</f>
        <v>No answer provided</v>
      </c>
      <c r="P648" t="str">
        <f>VLOOKUP(E648,mappings!L:P,4,FALSE)</f>
        <v>No answer provided</v>
      </c>
    </row>
    <row r="649" spans="1:16" x14ac:dyDescent="0.2">
      <c r="A649">
        <v>648</v>
      </c>
      <c r="B649">
        <v>3877853409</v>
      </c>
      <c r="C649" t="s">
        <v>6</v>
      </c>
      <c r="D649" t="s">
        <v>1</v>
      </c>
      <c r="E649" t="s">
        <v>61</v>
      </c>
      <c r="F649" t="s">
        <v>9</v>
      </c>
      <c r="G649" s="2">
        <f>VLOOKUP(F649,mappings!$G$2:$H$6,2,FALSE)</f>
        <v>4</v>
      </c>
      <c r="H649" t="s">
        <v>163</v>
      </c>
      <c r="I649" s="2">
        <f>VLOOKUP(H649,mappings!$D$2:$E$6,2,FALSE)</f>
        <v>3</v>
      </c>
      <c r="J649" t="s">
        <v>10</v>
      </c>
      <c r="K649" t="s">
        <v>14</v>
      </c>
      <c r="L649" s="2">
        <f>VLOOKUP(K649,mappings!$A$2:$B$13,2,FALSE)</f>
        <v>6</v>
      </c>
      <c r="M649" t="s">
        <v>30</v>
      </c>
      <c r="N649" t="str">
        <f>VLOOKUP(E649,mappings!$L$1:$M$110,2,FALSE)</f>
        <v>Weatherbug</v>
      </c>
      <c r="O649" t="str">
        <f>VLOOKUP(E649,mappings!L:O,3,FALSE)</f>
        <v>Website</v>
      </c>
      <c r="P649" t="str">
        <f>VLOOKUP(E649,mappings!L:P,4,FALSE)</f>
        <v>Other or unkown</v>
      </c>
    </row>
    <row r="650" spans="1:16" x14ac:dyDescent="0.2">
      <c r="A650">
        <v>649</v>
      </c>
      <c r="B650">
        <v>3877851546</v>
      </c>
      <c r="C650" t="s">
        <v>6</v>
      </c>
      <c r="D650" t="s">
        <v>21</v>
      </c>
      <c r="E650" t="s">
        <v>8</v>
      </c>
      <c r="F650" t="s">
        <v>9</v>
      </c>
      <c r="G650" s="2">
        <f>VLOOKUP(F650,mappings!$G$2:$H$6,2,FALSE)</f>
        <v>4</v>
      </c>
      <c r="H650" t="s">
        <v>163</v>
      </c>
      <c r="I650" s="2">
        <f>VLOOKUP(H650,mappings!$D$2:$E$6,2,FALSE)</f>
        <v>3</v>
      </c>
      <c r="J650" t="s">
        <v>36</v>
      </c>
      <c r="K650" t="s">
        <v>23</v>
      </c>
      <c r="L650" s="2">
        <f>VLOOKUP(K650,mappings!$A$2:$B$13,2,FALSE)</f>
        <v>3</v>
      </c>
      <c r="M650" t="s">
        <v>42</v>
      </c>
      <c r="N650" t="str">
        <f>VLOOKUP(E650,mappings!$L$1:$M$110,2,FALSE)</f>
        <v>No answer provided</v>
      </c>
      <c r="O650" t="str">
        <f>VLOOKUP(E650,mappings!L:O,3,FALSE)</f>
        <v>No answer provided</v>
      </c>
      <c r="P650" t="str">
        <f>VLOOKUP(E650,mappings!L:P,4,FALSE)</f>
        <v>No answer provided</v>
      </c>
    </row>
    <row r="651" spans="1:16" x14ac:dyDescent="0.2">
      <c r="A651">
        <v>650</v>
      </c>
      <c r="B651">
        <v>3877851313</v>
      </c>
      <c r="C651" t="s">
        <v>6</v>
      </c>
      <c r="D651" t="s">
        <v>21</v>
      </c>
      <c r="E651" t="s">
        <v>8</v>
      </c>
      <c r="F651" t="s">
        <v>16</v>
      </c>
      <c r="G651" s="2">
        <f>VLOOKUP(F651,mappings!$G$2:$H$6,2,FALSE)</f>
        <v>3</v>
      </c>
      <c r="H651" t="s">
        <v>43</v>
      </c>
      <c r="I651" s="2">
        <f>VLOOKUP(H651,mappings!$D$2:$E$6,2,FALSE)</f>
        <v>4</v>
      </c>
      <c r="J651" t="s">
        <v>36</v>
      </c>
      <c r="K651" t="s">
        <v>13</v>
      </c>
      <c r="L651" s="2">
        <f>VLOOKUP(K651,mappings!$A$2:$B$13,2,FALSE)</f>
        <v>11</v>
      </c>
      <c r="M651" t="s">
        <v>34</v>
      </c>
      <c r="N651" t="str">
        <f>VLOOKUP(E651,mappings!$L$1:$M$110,2,FALSE)</f>
        <v>No answer provided</v>
      </c>
      <c r="O651" t="str">
        <f>VLOOKUP(E651,mappings!L:O,3,FALSE)</f>
        <v>No answer provided</v>
      </c>
      <c r="P651" t="str">
        <f>VLOOKUP(E651,mappings!L:P,4,FALSE)</f>
        <v>No answer provided</v>
      </c>
    </row>
    <row r="652" spans="1:16" x14ac:dyDescent="0.2">
      <c r="A652">
        <v>651</v>
      </c>
      <c r="B652">
        <v>3877850546</v>
      </c>
      <c r="C652" t="s">
        <v>6</v>
      </c>
      <c r="D652" t="s">
        <v>7</v>
      </c>
      <c r="E652" t="s">
        <v>8</v>
      </c>
      <c r="F652" t="s">
        <v>22</v>
      </c>
      <c r="G652" s="2">
        <f>VLOOKUP(F652,mappings!$G$2:$H$6,2,FALSE)</f>
        <v>1</v>
      </c>
      <c r="H652" t="s">
        <v>162</v>
      </c>
      <c r="I652" s="2">
        <f>VLOOKUP(H652,mappings!$D$2:$E$6,2,FALSE)</f>
        <v>1</v>
      </c>
      <c r="J652" t="s">
        <v>36</v>
      </c>
      <c r="K652" t="s">
        <v>29</v>
      </c>
      <c r="L652" s="2">
        <f>VLOOKUP(K652,mappings!$A$2:$B$13,2,FALSE)</f>
        <v>1</v>
      </c>
      <c r="M652" t="s">
        <v>15</v>
      </c>
      <c r="N652" t="str">
        <f>VLOOKUP(E652,mappings!$L$1:$M$110,2,FALSE)</f>
        <v>No answer provided</v>
      </c>
      <c r="O652" t="str">
        <f>VLOOKUP(E652,mappings!L:O,3,FALSE)</f>
        <v>No answer provided</v>
      </c>
      <c r="P652" t="str">
        <f>VLOOKUP(E652,mappings!L:P,4,FALSE)</f>
        <v>No answer provided</v>
      </c>
    </row>
    <row r="653" spans="1:16" x14ac:dyDescent="0.2">
      <c r="A653">
        <v>652</v>
      </c>
      <c r="B653">
        <v>3877849360</v>
      </c>
      <c r="C653" t="s">
        <v>6</v>
      </c>
      <c r="D653" t="s">
        <v>7</v>
      </c>
      <c r="E653" t="s">
        <v>8</v>
      </c>
      <c r="F653" t="s">
        <v>9</v>
      </c>
      <c r="G653" s="2">
        <f>VLOOKUP(F653,mappings!$G$2:$H$6,2,FALSE)</f>
        <v>4</v>
      </c>
      <c r="H653" t="s">
        <v>162</v>
      </c>
      <c r="I653" s="2">
        <f>VLOOKUP(H653,mappings!$D$2:$E$6,2,FALSE)</f>
        <v>1</v>
      </c>
      <c r="J653" t="s">
        <v>36</v>
      </c>
      <c r="K653" t="s">
        <v>13</v>
      </c>
      <c r="L653" s="2">
        <f>VLOOKUP(K653,mappings!$A$2:$B$13,2,FALSE)</f>
        <v>11</v>
      </c>
      <c r="M653" t="s">
        <v>38</v>
      </c>
      <c r="N653" t="str">
        <f>VLOOKUP(E653,mappings!$L$1:$M$110,2,FALSE)</f>
        <v>No answer provided</v>
      </c>
      <c r="O653" t="str">
        <f>VLOOKUP(E653,mappings!L:O,3,FALSE)</f>
        <v>No answer provided</v>
      </c>
      <c r="P653" t="str">
        <f>VLOOKUP(E653,mappings!L:P,4,FALSE)</f>
        <v>No answer provided</v>
      </c>
    </row>
    <row r="654" spans="1:16" x14ac:dyDescent="0.2">
      <c r="A654">
        <v>653</v>
      </c>
      <c r="B654">
        <v>3877849287</v>
      </c>
      <c r="C654" t="s">
        <v>6</v>
      </c>
      <c r="D654" t="s">
        <v>31</v>
      </c>
      <c r="E654" t="s">
        <v>8</v>
      </c>
      <c r="F654" t="s">
        <v>22</v>
      </c>
      <c r="G654" s="2">
        <f>VLOOKUP(F654,mappings!$G$2:$H$6,2,FALSE)</f>
        <v>1</v>
      </c>
      <c r="H654" t="s">
        <v>163</v>
      </c>
      <c r="I654" s="2">
        <f>VLOOKUP(H654,mappings!$D$2:$E$6,2,FALSE)</f>
        <v>3</v>
      </c>
      <c r="J654" t="s">
        <v>10</v>
      </c>
      <c r="K654" t="s">
        <v>13</v>
      </c>
      <c r="L654" s="2">
        <f>VLOOKUP(K654,mappings!$A$2:$B$13,2,FALSE)</f>
        <v>11</v>
      </c>
      <c r="M654" t="s">
        <v>24</v>
      </c>
      <c r="N654" t="str">
        <f>VLOOKUP(E654,mappings!$L$1:$M$110,2,FALSE)</f>
        <v>No answer provided</v>
      </c>
      <c r="O654" t="str">
        <f>VLOOKUP(E654,mappings!L:O,3,FALSE)</f>
        <v>No answer provided</v>
      </c>
      <c r="P654" t="str">
        <f>VLOOKUP(E654,mappings!L:P,4,FALSE)</f>
        <v>No answer provided</v>
      </c>
    </row>
    <row r="655" spans="1:16" x14ac:dyDescent="0.2">
      <c r="A655">
        <v>654</v>
      </c>
      <c r="B655">
        <v>3877844428</v>
      </c>
      <c r="C655" t="s">
        <v>6</v>
      </c>
      <c r="D655" t="s">
        <v>31</v>
      </c>
      <c r="E655" t="s">
        <v>8</v>
      </c>
      <c r="F655" t="s">
        <v>9</v>
      </c>
      <c r="G655" s="2">
        <f>VLOOKUP(F655,mappings!$G$2:$H$6,2,FALSE)</f>
        <v>4</v>
      </c>
      <c r="H655" t="s">
        <v>43</v>
      </c>
      <c r="I655" s="2">
        <f>VLOOKUP(H655,mappings!$D$2:$E$6,2,FALSE)</f>
        <v>4</v>
      </c>
      <c r="J655" t="s">
        <v>36</v>
      </c>
      <c r="K655" t="s">
        <v>23</v>
      </c>
      <c r="L655" s="2">
        <f>VLOOKUP(K655,mappings!$A$2:$B$13,2,FALSE)</f>
        <v>3</v>
      </c>
      <c r="M655" t="s">
        <v>30</v>
      </c>
      <c r="N655" t="str">
        <f>VLOOKUP(E655,mappings!$L$1:$M$110,2,FALSE)</f>
        <v>No answer provided</v>
      </c>
      <c r="O655" t="str">
        <f>VLOOKUP(E655,mappings!L:O,3,FALSE)</f>
        <v>No answer provided</v>
      </c>
      <c r="P655" t="str">
        <f>VLOOKUP(E655,mappings!L:P,4,FALSE)</f>
        <v>No answer provided</v>
      </c>
    </row>
    <row r="656" spans="1:16" x14ac:dyDescent="0.2">
      <c r="A656">
        <v>655</v>
      </c>
      <c r="B656">
        <v>3877840278</v>
      </c>
      <c r="C656" t="s">
        <v>6</v>
      </c>
      <c r="D656" t="s">
        <v>1</v>
      </c>
      <c r="E656" t="s">
        <v>134</v>
      </c>
      <c r="F656" t="s">
        <v>9</v>
      </c>
      <c r="G656" s="2">
        <f>VLOOKUP(F656,mappings!$G$2:$H$6,2,FALSE)</f>
        <v>4</v>
      </c>
      <c r="H656" t="s">
        <v>43</v>
      </c>
      <c r="I656" s="2">
        <f>VLOOKUP(H656,mappings!$D$2:$E$6,2,FALSE)</f>
        <v>4</v>
      </c>
      <c r="J656" t="s">
        <v>36</v>
      </c>
      <c r="K656" t="s">
        <v>23</v>
      </c>
      <c r="L656" s="2">
        <f>VLOOKUP(K656,mappings!$A$2:$B$13,2,FALSE)</f>
        <v>3</v>
      </c>
      <c r="M656" t="s">
        <v>24</v>
      </c>
      <c r="N656" t="str">
        <f>VLOOKUP(E656,mappings!$L$1:$M$110,2,FALSE)</f>
        <v>Other search engines</v>
      </c>
      <c r="O656" t="str">
        <f>VLOOKUP(E656,mappings!L:O,3,FALSE)</f>
        <v>Web Search</v>
      </c>
      <c r="P656" t="str">
        <f>VLOOKUP(E656,mappings!L:P,4,FALSE)</f>
        <v>Other or unkown</v>
      </c>
    </row>
    <row r="657" spans="1:16" x14ac:dyDescent="0.2">
      <c r="A657">
        <v>656</v>
      </c>
      <c r="B657">
        <v>3877839221</v>
      </c>
      <c r="C657" t="s">
        <v>6</v>
      </c>
      <c r="D657" t="s">
        <v>21</v>
      </c>
      <c r="E657" t="s">
        <v>8</v>
      </c>
      <c r="F657" t="s">
        <v>9</v>
      </c>
      <c r="G657" s="2">
        <f>VLOOKUP(F657,mappings!$G$2:$H$6,2,FALSE)</f>
        <v>4</v>
      </c>
      <c r="H657" t="s">
        <v>43</v>
      </c>
      <c r="I657" s="2">
        <f>VLOOKUP(H657,mappings!$D$2:$E$6,2,FALSE)</f>
        <v>4</v>
      </c>
      <c r="J657" t="s">
        <v>10</v>
      </c>
      <c r="K657" t="s">
        <v>11</v>
      </c>
      <c r="L657" s="2">
        <f>VLOOKUP(K657,mappings!$A$2:$B$13,2,FALSE)</f>
        <v>4</v>
      </c>
      <c r="M657" t="s">
        <v>12</v>
      </c>
      <c r="N657" t="str">
        <f>VLOOKUP(E657,mappings!$L$1:$M$110,2,FALSE)</f>
        <v>No answer provided</v>
      </c>
      <c r="O657" t="str">
        <f>VLOOKUP(E657,mappings!L:O,3,FALSE)</f>
        <v>No answer provided</v>
      </c>
      <c r="P657" t="str">
        <f>VLOOKUP(E657,mappings!L:P,4,FALSE)</f>
        <v>No answer provided</v>
      </c>
    </row>
    <row r="658" spans="1:16" x14ac:dyDescent="0.2">
      <c r="A658">
        <v>657</v>
      </c>
      <c r="B658">
        <v>3877838876</v>
      </c>
      <c r="C658" t="s">
        <v>6</v>
      </c>
      <c r="D658" t="s">
        <v>1</v>
      </c>
      <c r="E658" t="s">
        <v>135</v>
      </c>
      <c r="F658" t="s">
        <v>16</v>
      </c>
      <c r="G658" s="2">
        <f>VLOOKUP(F658,mappings!$G$2:$H$6,2,FALSE)</f>
        <v>3</v>
      </c>
      <c r="H658" t="s">
        <v>161</v>
      </c>
      <c r="I658" s="2">
        <f>VLOOKUP(H658,mappings!$D$2:$E$6,2,FALSE)</f>
        <v>2</v>
      </c>
      <c r="J658" t="s">
        <v>36</v>
      </c>
      <c r="K658" t="s">
        <v>47</v>
      </c>
      <c r="L658" s="2">
        <f>VLOOKUP(K658,mappings!$A$2:$B$13,2,FALSE)</f>
        <v>9</v>
      </c>
      <c r="M658" t="s">
        <v>30</v>
      </c>
      <c r="N658" t="str">
        <f>VLOOKUP(E658,mappings!$L$1:$M$110,2,FALSE)</f>
        <v>The Weather Channel</v>
      </c>
      <c r="O658" t="str">
        <f>VLOOKUP(E658,mappings!L:O,3,FALSE)</f>
        <v>App</v>
      </c>
      <c r="P658" t="str">
        <f>VLOOKUP(E658,mappings!L:P,4,FALSE)</f>
        <v>Other or unkown</v>
      </c>
    </row>
    <row r="659" spans="1:16" x14ac:dyDescent="0.2">
      <c r="A659">
        <v>658</v>
      </c>
      <c r="B659">
        <v>3877838258</v>
      </c>
      <c r="C659" t="s">
        <v>6</v>
      </c>
      <c r="D659" t="s">
        <v>21</v>
      </c>
      <c r="E659" t="s">
        <v>8</v>
      </c>
      <c r="F659" t="s">
        <v>16</v>
      </c>
      <c r="G659" s="2">
        <f>VLOOKUP(F659,mappings!$G$2:$H$6,2,FALSE)</f>
        <v>3</v>
      </c>
      <c r="H659" t="s">
        <v>162</v>
      </c>
      <c r="I659" s="2">
        <f>VLOOKUP(H659,mappings!$D$2:$E$6,2,FALSE)</f>
        <v>1</v>
      </c>
      <c r="J659" t="s">
        <v>36</v>
      </c>
      <c r="K659" t="s">
        <v>23</v>
      </c>
      <c r="L659" s="2">
        <f>VLOOKUP(K659,mappings!$A$2:$B$13,2,FALSE)</f>
        <v>3</v>
      </c>
      <c r="M659" t="s">
        <v>30</v>
      </c>
      <c r="N659" t="str">
        <f>VLOOKUP(E659,mappings!$L$1:$M$110,2,FALSE)</f>
        <v>No answer provided</v>
      </c>
      <c r="O659" t="str">
        <f>VLOOKUP(E659,mappings!L:O,3,FALSE)</f>
        <v>No answer provided</v>
      </c>
      <c r="P659" t="str">
        <f>VLOOKUP(E659,mappings!L:P,4,FALSE)</f>
        <v>No answer provided</v>
      </c>
    </row>
    <row r="660" spans="1:16" x14ac:dyDescent="0.2">
      <c r="A660">
        <v>659</v>
      </c>
      <c r="B660">
        <v>3877835456</v>
      </c>
      <c r="C660" t="s">
        <v>6</v>
      </c>
      <c r="D660" t="s">
        <v>31</v>
      </c>
      <c r="E660" t="s">
        <v>8</v>
      </c>
      <c r="F660" t="s">
        <v>16</v>
      </c>
      <c r="G660" s="2">
        <f>VLOOKUP(F660,mappings!$G$2:$H$6,2,FALSE)</f>
        <v>3</v>
      </c>
      <c r="H660" t="s">
        <v>43</v>
      </c>
      <c r="I660" s="2">
        <f>VLOOKUP(H660,mappings!$D$2:$E$6,2,FALSE)</f>
        <v>4</v>
      </c>
      <c r="J660" t="s">
        <v>36</v>
      </c>
      <c r="K660" t="s">
        <v>48</v>
      </c>
      <c r="L660" s="2">
        <f>VLOOKUP(K660,mappings!$A$2:$B$13,2,FALSE)</f>
        <v>7</v>
      </c>
      <c r="M660" t="s">
        <v>20</v>
      </c>
      <c r="N660" t="str">
        <f>VLOOKUP(E660,mappings!$L$1:$M$110,2,FALSE)</f>
        <v>No answer provided</v>
      </c>
      <c r="O660" t="str">
        <f>VLOOKUP(E660,mappings!L:O,3,FALSE)</f>
        <v>No answer provided</v>
      </c>
      <c r="P660" t="str">
        <f>VLOOKUP(E660,mappings!L:P,4,FALSE)</f>
        <v>No answer provided</v>
      </c>
    </row>
    <row r="661" spans="1:16" x14ac:dyDescent="0.2">
      <c r="A661">
        <v>660</v>
      </c>
      <c r="B661">
        <v>3877834333</v>
      </c>
      <c r="C661" t="s">
        <v>6</v>
      </c>
      <c r="D661" t="s">
        <v>7</v>
      </c>
      <c r="E661" t="s">
        <v>8</v>
      </c>
      <c r="F661" t="s">
        <v>22</v>
      </c>
      <c r="G661" s="2">
        <f>VLOOKUP(F661,mappings!$G$2:$H$6,2,FALSE)</f>
        <v>1</v>
      </c>
      <c r="H661" t="s">
        <v>43</v>
      </c>
      <c r="I661" s="2">
        <f>VLOOKUP(H661,mappings!$D$2:$E$6,2,FALSE)</f>
        <v>4</v>
      </c>
      <c r="J661" t="s">
        <v>36</v>
      </c>
      <c r="K661" t="s">
        <v>11</v>
      </c>
      <c r="L661" s="2">
        <f>VLOOKUP(K661,mappings!$A$2:$B$13,2,FALSE)</f>
        <v>4</v>
      </c>
      <c r="M661" t="s">
        <v>30</v>
      </c>
      <c r="N661" t="str">
        <f>VLOOKUP(E661,mappings!$L$1:$M$110,2,FALSE)</f>
        <v>No answer provided</v>
      </c>
      <c r="O661" t="str">
        <f>VLOOKUP(E661,mappings!L:O,3,FALSE)</f>
        <v>No answer provided</v>
      </c>
      <c r="P661" t="str">
        <f>VLOOKUP(E661,mappings!L:P,4,FALSE)</f>
        <v>No answer provided</v>
      </c>
    </row>
    <row r="662" spans="1:16" x14ac:dyDescent="0.2">
      <c r="A662">
        <v>661</v>
      </c>
      <c r="B662">
        <v>3877833661</v>
      </c>
      <c r="C662" t="s">
        <v>6</v>
      </c>
      <c r="D662" t="s">
        <v>40</v>
      </c>
      <c r="E662" t="s">
        <v>8</v>
      </c>
      <c r="F662" t="s">
        <v>9</v>
      </c>
      <c r="G662" s="2">
        <f>VLOOKUP(F662,mappings!$G$2:$H$6,2,FALSE)</f>
        <v>4</v>
      </c>
      <c r="H662" t="s">
        <v>43</v>
      </c>
      <c r="I662" s="2">
        <f>VLOOKUP(H662,mappings!$D$2:$E$6,2,FALSE)</f>
        <v>4</v>
      </c>
      <c r="J662" t="s">
        <v>36</v>
      </c>
      <c r="K662" t="s">
        <v>13</v>
      </c>
      <c r="L662" s="2">
        <f>VLOOKUP(K662,mappings!$A$2:$B$13,2,FALSE)</f>
        <v>11</v>
      </c>
      <c r="M662" t="s">
        <v>12</v>
      </c>
      <c r="N662" t="str">
        <f>VLOOKUP(E662,mappings!$L$1:$M$110,2,FALSE)</f>
        <v>No answer provided</v>
      </c>
      <c r="O662" t="str">
        <f>VLOOKUP(E662,mappings!L:O,3,FALSE)</f>
        <v>No answer provided</v>
      </c>
      <c r="P662" t="str">
        <f>VLOOKUP(E662,mappings!L:P,4,FALSE)</f>
        <v>No answer provided</v>
      </c>
    </row>
    <row r="663" spans="1:16" x14ac:dyDescent="0.2">
      <c r="A663">
        <v>662</v>
      </c>
      <c r="B663">
        <v>3877833303</v>
      </c>
      <c r="C663" t="s">
        <v>6</v>
      </c>
      <c r="D663" t="s">
        <v>31</v>
      </c>
      <c r="E663" t="s">
        <v>8</v>
      </c>
      <c r="F663" t="s">
        <v>9</v>
      </c>
      <c r="G663" s="2">
        <f>VLOOKUP(F663,mappings!$G$2:$H$6,2,FALSE)</f>
        <v>4</v>
      </c>
      <c r="H663" t="s">
        <v>43</v>
      </c>
      <c r="I663" s="2">
        <f>VLOOKUP(H663,mappings!$D$2:$E$6,2,FALSE)</f>
        <v>4</v>
      </c>
      <c r="J663" t="s">
        <v>36</v>
      </c>
      <c r="K663" t="s">
        <v>13</v>
      </c>
      <c r="L663" s="2">
        <f>VLOOKUP(K663,mappings!$A$2:$B$13,2,FALSE)</f>
        <v>11</v>
      </c>
      <c r="M663" t="s">
        <v>15</v>
      </c>
      <c r="N663" t="str">
        <f>VLOOKUP(E663,mappings!$L$1:$M$110,2,FALSE)</f>
        <v>No answer provided</v>
      </c>
      <c r="O663" t="str">
        <f>VLOOKUP(E663,mappings!L:O,3,FALSE)</f>
        <v>No answer provided</v>
      </c>
      <c r="P663" t="str">
        <f>VLOOKUP(E663,mappings!L:P,4,FALSE)</f>
        <v>No answer provided</v>
      </c>
    </row>
    <row r="664" spans="1:16" x14ac:dyDescent="0.2">
      <c r="A664">
        <v>663</v>
      </c>
      <c r="B664">
        <v>3877831288</v>
      </c>
      <c r="C664" t="s">
        <v>26</v>
      </c>
      <c r="D664" t="s">
        <v>27</v>
      </c>
      <c r="E664" t="s">
        <v>8</v>
      </c>
      <c r="F664" t="s">
        <v>16</v>
      </c>
      <c r="G664" s="2">
        <f>VLOOKUP(F664,mappings!$G$2:$H$6,2,FALSE)</f>
        <v>3</v>
      </c>
      <c r="H664" t="s">
        <v>161</v>
      </c>
      <c r="I664" s="2">
        <f>VLOOKUP(H664,mappings!$D$2:$E$6,2,FALSE)</f>
        <v>2</v>
      </c>
      <c r="J664" t="s">
        <v>36</v>
      </c>
      <c r="K664" t="s">
        <v>13</v>
      </c>
      <c r="L664" s="2">
        <f>VLOOKUP(K664,mappings!$A$2:$B$13,2,FALSE)</f>
        <v>11</v>
      </c>
      <c r="M664" t="s">
        <v>12</v>
      </c>
      <c r="N664" t="str">
        <f>VLOOKUP(E664,mappings!$L$1:$M$110,2,FALSE)</f>
        <v>No answer provided</v>
      </c>
      <c r="O664" t="str">
        <f>VLOOKUP(E664,mappings!L:O,3,FALSE)</f>
        <v>No answer provided</v>
      </c>
      <c r="P664" t="str">
        <f>VLOOKUP(E664,mappings!L:P,4,FALSE)</f>
        <v>No answer provided</v>
      </c>
    </row>
    <row r="665" spans="1:16" x14ac:dyDescent="0.2">
      <c r="A665">
        <v>664</v>
      </c>
      <c r="B665">
        <v>3877829146</v>
      </c>
      <c r="C665" t="s">
        <v>6</v>
      </c>
      <c r="D665" t="s">
        <v>7</v>
      </c>
      <c r="E665" t="s">
        <v>8</v>
      </c>
      <c r="F665" t="s">
        <v>9</v>
      </c>
      <c r="G665" s="2">
        <f>VLOOKUP(F665,mappings!$G$2:$H$6,2,FALSE)</f>
        <v>4</v>
      </c>
      <c r="H665" t="s">
        <v>161</v>
      </c>
      <c r="I665" s="2">
        <f>VLOOKUP(H665,mappings!$D$2:$E$6,2,FALSE)</f>
        <v>2</v>
      </c>
      <c r="J665" t="s">
        <v>36</v>
      </c>
      <c r="K665" t="s">
        <v>18</v>
      </c>
      <c r="L665" s="2">
        <f>VLOOKUP(K665,mappings!$A$2:$B$13,2,FALSE)</f>
        <v>8</v>
      </c>
      <c r="M665" t="s">
        <v>30</v>
      </c>
      <c r="N665" t="str">
        <f>VLOOKUP(E665,mappings!$L$1:$M$110,2,FALSE)</f>
        <v>No answer provided</v>
      </c>
      <c r="O665" t="str">
        <f>VLOOKUP(E665,mappings!L:O,3,FALSE)</f>
        <v>No answer provided</v>
      </c>
      <c r="P665" t="str">
        <f>VLOOKUP(E665,mappings!L:P,4,FALSE)</f>
        <v>No answer provided</v>
      </c>
    </row>
    <row r="666" spans="1:16" x14ac:dyDescent="0.2">
      <c r="A666">
        <v>665</v>
      </c>
      <c r="B666">
        <v>3877828834</v>
      </c>
      <c r="C666" t="s">
        <v>6</v>
      </c>
      <c r="D666" t="s">
        <v>21</v>
      </c>
      <c r="E666" t="s">
        <v>8</v>
      </c>
      <c r="F666" t="s">
        <v>22</v>
      </c>
      <c r="G666" s="2">
        <f>VLOOKUP(F666,mappings!$G$2:$H$6,2,FALSE)</f>
        <v>1</v>
      </c>
      <c r="H666" t="s">
        <v>161</v>
      </c>
      <c r="I666" s="2">
        <f>VLOOKUP(H666,mappings!$D$2:$E$6,2,FALSE)</f>
        <v>2</v>
      </c>
      <c r="J666" t="s">
        <v>36</v>
      </c>
      <c r="K666" t="s">
        <v>13</v>
      </c>
      <c r="L666" s="2">
        <f>VLOOKUP(K666,mappings!$A$2:$B$13,2,FALSE)</f>
        <v>11</v>
      </c>
      <c r="M666" t="s">
        <v>20</v>
      </c>
      <c r="N666" t="str">
        <f>VLOOKUP(E666,mappings!$L$1:$M$110,2,FALSE)</f>
        <v>No answer provided</v>
      </c>
      <c r="O666" t="str">
        <f>VLOOKUP(E666,mappings!L:O,3,FALSE)</f>
        <v>No answer provided</v>
      </c>
      <c r="P666" t="str">
        <f>VLOOKUP(E666,mappings!L:P,4,FALSE)</f>
        <v>No answer provided</v>
      </c>
    </row>
    <row r="667" spans="1:16" x14ac:dyDescent="0.2">
      <c r="A667">
        <v>666</v>
      </c>
      <c r="B667">
        <v>3877828401</v>
      </c>
      <c r="C667" t="s">
        <v>6</v>
      </c>
      <c r="D667" t="s">
        <v>7</v>
      </c>
      <c r="E667" t="s">
        <v>8</v>
      </c>
      <c r="F667" t="s">
        <v>9</v>
      </c>
      <c r="G667" s="2">
        <f>VLOOKUP(F667,mappings!$G$2:$H$6,2,FALSE)</f>
        <v>4</v>
      </c>
      <c r="H667" t="s">
        <v>162</v>
      </c>
      <c r="I667" s="2">
        <f>VLOOKUP(H667,mappings!$D$2:$E$6,2,FALSE)</f>
        <v>1</v>
      </c>
      <c r="J667" t="s">
        <v>36</v>
      </c>
      <c r="K667" t="s">
        <v>13</v>
      </c>
      <c r="L667" s="2">
        <f>VLOOKUP(K667,mappings!$A$2:$B$13,2,FALSE)</f>
        <v>11</v>
      </c>
      <c r="M667" t="s">
        <v>15</v>
      </c>
      <c r="N667" t="str">
        <f>VLOOKUP(E667,mappings!$L$1:$M$110,2,FALSE)</f>
        <v>No answer provided</v>
      </c>
      <c r="O667" t="str">
        <f>VLOOKUP(E667,mappings!L:O,3,FALSE)</f>
        <v>No answer provided</v>
      </c>
      <c r="P667" t="str">
        <f>VLOOKUP(E667,mappings!L:P,4,FALSE)</f>
        <v>No answer provided</v>
      </c>
    </row>
    <row r="668" spans="1:16" x14ac:dyDescent="0.2">
      <c r="A668">
        <v>667</v>
      </c>
      <c r="B668">
        <v>3877828113</v>
      </c>
      <c r="C668" t="s">
        <v>6</v>
      </c>
      <c r="D668" t="s">
        <v>40</v>
      </c>
      <c r="E668" t="s">
        <v>8</v>
      </c>
      <c r="F668" t="s">
        <v>16</v>
      </c>
      <c r="G668" s="2">
        <f>VLOOKUP(F668,mappings!$G$2:$H$6,2,FALSE)</f>
        <v>3</v>
      </c>
      <c r="H668" t="s">
        <v>43</v>
      </c>
      <c r="I668" s="2">
        <f>VLOOKUP(H668,mappings!$D$2:$E$6,2,FALSE)</f>
        <v>4</v>
      </c>
      <c r="J668" t="s">
        <v>10</v>
      </c>
      <c r="K668" t="s">
        <v>39</v>
      </c>
      <c r="L668" s="2">
        <f>VLOOKUP(K668,mappings!$A$2:$B$13,2,FALSE)</f>
        <v>10</v>
      </c>
      <c r="M668" t="s">
        <v>30</v>
      </c>
      <c r="N668" t="str">
        <f>VLOOKUP(E668,mappings!$L$1:$M$110,2,FALSE)</f>
        <v>No answer provided</v>
      </c>
      <c r="O668" t="str">
        <f>VLOOKUP(E668,mappings!L:O,3,FALSE)</f>
        <v>No answer provided</v>
      </c>
      <c r="P668" t="str">
        <f>VLOOKUP(E668,mappings!L:P,4,FALSE)</f>
        <v>No answer provided</v>
      </c>
    </row>
    <row r="669" spans="1:16" x14ac:dyDescent="0.2">
      <c r="A669">
        <v>668</v>
      </c>
      <c r="B669">
        <v>3877825838</v>
      </c>
      <c r="C669" t="s">
        <v>6</v>
      </c>
      <c r="D669" t="s">
        <v>31</v>
      </c>
      <c r="E669" t="s">
        <v>8</v>
      </c>
      <c r="F669" t="s">
        <v>16</v>
      </c>
      <c r="G669" s="2">
        <f>VLOOKUP(F669,mappings!$G$2:$H$6,2,FALSE)</f>
        <v>3</v>
      </c>
      <c r="H669" t="s">
        <v>43</v>
      </c>
      <c r="I669" s="2">
        <f>VLOOKUP(H669,mappings!$D$2:$E$6,2,FALSE)</f>
        <v>4</v>
      </c>
      <c r="J669" t="s">
        <v>36</v>
      </c>
      <c r="K669" t="s">
        <v>48</v>
      </c>
      <c r="L669" s="2">
        <f>VLOOKUP(K669,mappings!$A$2:$B$13,2,FALSE)</f>
        <v>7</v>
      </c>
      <c r="M669" t="s">
        <v>24</v>
      </c>
      <c r="N669" t="str">
        <f>VLOOKUP(E669,mappings!$L$1:$M$110,2,FALSE)</f>
        <v>No answer provided</v>
      </c>
      <c r="O669" t="str">
        <f>VLOOKUP(E669,mappings!L:O,3,FALSE)</f>
        <v>No answer provided</v>
      </c>
      <c r="P669" t="str">
        <f>VLOOKUP(E669,mappings!L:P,4,FALSE)</f>
        <v>No answer provided</v>
      </c>
    </row>
    <row r="670" spans="1:16" x14ac:dyDescent="0.2">
      <c r="A670">
        <v>669</v>
      </c>
      <c r="B670">
        <v>3877825768</v>
      </c>
      <c r="C670" t="s">
        <v>6</v>
      </c>
      <c r="D670" t="s">
        <v>7</v>
      </c>
      <c r="E670" t="s">
        <v>8</v>
      </c>
      <c r="F670" t="s">
        <v>9</v>
      </c>
      <c r="G670" s="2">
        <f>VLOOKUP(F670,mappings!$G$2:$H$6,2,FALSE)</f>
        <v>4</v>
      </c>
      <c r="H670" t="s">
        <v>43</v>
      </c>
      <c r="I670" s="2">
        <f>VLOOKUP(H670,mappings!$D$2:$E$6,2,FALSE)</f>
        <v>4</v>
      </c>
      <c r="J670" t="s">
        <v>10</v>
      </c>
      <c r="K670" t="s">
        <v>14</v>
      </c>
      <c r="L670" s="2">
        <f>VLOOKUP(K670,mappings!$A$2:$B$13,2,FALSE)</f>
        <v>6</v>
      </c>
      <c r="M670" t="s">
        <v>12</v>
      </c>
      <c r="N670" t="str">
        <f>VLOOKUP(E670,mappings!$L$1:$M$110,2,FALSE)</f>
        <v>No answer provided</v>
      </c>
      <c r="O670" t="str">
        <f>VLOOKUP(E670,mappings!L:O,3,FALSE)</f>
        <v>No answer provided</v>
      </c>
      <c r="P670" t="str">
        <f>VLOOKUP(E670,mappings!L:P,4,FALSE)</f>
        <v>No answer provided</v>
      </c>
    </row>
    <row r="671" spans="1:16" x14ac:dyDescent="0.2">
      <c r="A671">
        <v>670</v>
      </c>
      <c r="B671">
        <v>3877825397</v>
      </c>
      <c r="C671" t="s">
        <v>6</v>
      </c>
      <c r="D671" t="s">
        <v>7</v>
      </c>
      <c r="E671" t="s">
        <v>8</v>
      </c>
      <c r="F671" t="s">
        <v>28</v>
      </c>
      <c r="G671" s="2">
        <f>VLOOKUP(F671,mappings!$G$2:$H$6,2,FALSE)</f>
        <v>2</v>
      </c>
      <c r="H671" t="s">
        <v>43</v>
      </c>
      <c r="I671" s="2">
        <f>VLOOKUP(H671,mappings!$D$2:$E$6,2,FALSE)</f>
        <v>4</v>
      </c>
      <c r="J671" t="s">
        <v>36</v>
      </c>
      <c r="K671" t="s">
        <v>18</v>
      </c>
      <c r="L671" s="2">
        <f>VLOOKUP(K671,mappings!$A$2:$B$13,2,FALSE)</f>
        <v>8</v>
      </c>
      <c r="M671" t="s">
        <v>24</v>
      </c>
      <c r="N671" t="str">
        <f>VLOOKUP(E671,mappings!$L$1:$M$110,2,FALSE)</f>
        <v>No answer provided</v>
      </c>
      <c r="O671" t="str">
        <f>VLOOKUP(E671,mappings!L:O,3,FALSE)</f>
        <v>No answer provided</v>
      </c>
      <c r="P671" t="str">
        <f>VLOOKUP(E671,mappings!L:P,4,FALSE)</f>
        <v>No answer provided</v>
      </c>
    </row>
    <row r="672" spans="1:16" x14ac:dyDescent="0.2">
      <c r="A672">
        <v>671</v>
      </c>
      <c r="B672">
        <v>3877825092</v>
      </c>
      <c r="C672" t="s">
        <v>6</v>
      </c>
      <c r="D672" t="s">
        <v>27</v>
      </c>
      <c r="E672" t="s">
        <v>8</v>
      </c>
      <c r="F672" t="s">
        <v>28</v>
      </c>
      <c r="G672" s="2">
        <f>VLOOKUP(F672,mappings!$G$2:$H$6,2,FALSE)</f>
        <v>2</v>
      </c>
      <c r="H672" t="s">
        <v>163</v>
      </c>
      <c r="I672" s="2">
        <f>VLOOKUP(H672,mappings!$D$2:$E$6,2,FALSE)</f>
        <v>3</v>
      </c>
      <c r="J672" t="s">
        <v>36</v>
      </c>
      <c r="K672" t="s">
        <v>33</v>
      </c>
      <c r="L672" s="2">
        <f>VLOOKUP(K672,mappings!$A$2:$B$13,2,FALSE)</f>
        <v>5</v>
      </c>
      <c r="M672" t="s">
        <v>15</v>
      </c>
      <c r="N672" t="str">
        <f>VLOOKUP(E672,mappings!$L$1:$M$110,2,FALSE)</f>
        <v>No answer provided</v>
      </c>
      <c r="O672" t="str">
        <f>VLOOKUP(E672,mappings!L:O,3,FALSE)</f>
        <v>No answer provided</v>
      </c>
      <c r="P672" t="str">
        <f>VLOOKUP(E672,mappings!L:P,4,FALSE)</f>
        <v>No answer provided</v>
      </c>
    </row>
    <row r="673" spans="1:16" x14ac:dyDescent="0.2">
      <c r="A673">
        <v>672</v>
      </c>
      <c r="B673">
        <v>3877825091</v>
      </c>
      <c r="C673" t="s">
        <v>6</v>
      </c>
      <c r="D673" t="s">
        <v>21</v>
      </c>
      <c r="E673" t="s">
        <v>8</v>
      </c>
      <c r="F673" t="s">
        <v>28</v>
      </c>
      <c r="G673" s="2">
        <f>VLOOKUP(F673,mappings!$G$2:$H$6,2,FALSE)</f>
        <v>2</v>
      </c>
      <c r="H673" t="s">
        <v>163</v>
      </c>
      <c r="I673" s="2">
        <f>VLOOKUP(H673,mappings!$D$2:$E$6,2,FALSE)</f>
        <v>3</v>
      </c>
      <c r="J673" t="s">
        <v>36</v>
      </c>
      <c r="K673" t="s">
        <v>32</v>
      </c>
      <c r="L673" s="2">
        <f>VLOOKUP(K673,mappings!$A$2:$B$13,2,FALSE)</f>
        <v>2</v>
      </c>
      <c r="M673" t="s">
        <v>38</v>
      </c>
      <c r="N673" t="str">
        <f>VLOOKUP(E673,mappings!$L$1:$M$110,2,FALSE)</f>
        <v>No answer provided</v>
      </c>
      <c r="O673" t="str">
        <f>VLOOKUP(E673,mappings!L:O,3,FALSE)</f>
        <v>No answer provided</v>
      </c>
      <c r="P673" t="str">
        <f>VLOOKUP(E673,mappings!L:P,4,FALSE)</f>
        <v>No answer provided</v>
      </c>
    </row>
    <row r="674" spans="1:16" x14ac:dyDescent="0.2">
      <c r="A674">
        <v>673</v>
      </c>
      <c r="B674">
        <v>3877823647</v>
      </c>
      <c r="C674" t="s">
        <v>6</v>
      </c>
      <c r="D674" t="s">
        <v>31</v>
      </c>
      <c r="E674" t="s">
        <v>8</v>
      </c>
      <c r="F674" t="s">
        <v>22</v>
      </c>
      <c r="G674" s="2">
        <f>VLOOKUP(F674,mappings!$G$2:$H$6,2,FALSE)</f>
        <v>1</v>
      </c>
      <c r="H674" t="s">
        <v>43</v>
      </c>
      <c r="I674" s="2">
        <f>VLOOKUP(H674,mappings!$D$2:$E$6,2,FALSE)</f>
        <v>4</v>
      </c>
      <c r="J674" t="s">
        <v>36</v>
      </c>
      <c r="K674" t="s">
        <v>32</v>
      </c>
      <c r="L674" s="2">
        <f>VLOOKUP(K674,mappings!$A$2:$B$13,2,FALSE)</f>
        <v>2</v>
      </c>
      <c r="M674" t="s">
        <v>20</v>
      </c>
      <c r="N674" t="str">
        <f>VLOOKUP(E674,mappings!$L$1:$M$110,2,FALSE)</f>
        <v>No answer provided</v>
      </c>
      <c r="O674" t="str">
        <f>VLOOKUP(E674,mappings!L:O,3,FALSE)</f>
        <v>No answer provided</v>
      </c>
      <c r="P674" t="str">
        <f>VLOOKUP(E674,mappings!L:P,4,FALSE)</f>
        <v>No answer provided</v>
      </c>
    </row>
    <row r="675" spans="1:16" x14ac:dyDescent="0.2">
      <c r="A675">
        <v>674</v>
      </c>
      <c r="B675">
        <v>3877823634</v>
      </c>
      <c r="C675" t="s">
        <v>26</v>
      </c>
      <c r="D675" t="s">
        <v>31</v>
      </c>
      <c r="E675" t="s">
        <v>8</v>
      </c>
      <c r="F675" t="s">
        <v>28</v>
      </c>
      <c r="G675" s="2">
        <f>VLOOKUP(F675,mappings!$G$2:$H$6,2,FALSE)</f>
        <v>2</v>
      </c>
      <c r="H675" t="s">
        <v>43</v>
      </c>
      <c r="I675" s="2">
        <f>VLOOKUP(H675,mappings!$D$2:$E$6,2,FALSE)</f>
        <v>4</v>
      </c>
      <c r="J675" t="s">
        <v>10</v>
      </c>
      <c r="K675" t="s">
        <v>11</v>
      </c>
      <c r="L675" s="2">
        <f>VLOOKUP(K675,mappings!$A$2:$B$13,2,FALSE)</f>
        <v>4</v>
      </c>
      <c r="M675" t="s">
        <v>34</v>
      </c>
      <c r="N675" t="str">
        <f>VLOOKUP(E675,mappings!$L$1:$M$110,2,FALSE)</f>
        <v>No answer provided</v>
      </c>
      <c r="O675" t="str">
        <f>VLOOKUP(E675,mappings!L:O,3,FALSE)</f>
        <v>No answer provided</v>
      </c>
      <c r="P675" t="str">
        <f>VLOOKUP(E675,mappings!L:P,4,FALSE)</f>
        <v>No answer provided</v>
      </c>
    </row>
    <row r="676" spans="1:16" x14ac:dyDescent="0.2">
      <c r="A676">
        <v>675</v>
      </c>
      <c r="B676">
        <v>3877823022</v>
      </c>
      <c r="C676" t="s">
        <v>6</v>
      </c>
      <c r="D676" t="s">
        <v>21</v>
      </c>
      <c r="E676" t="s">
        <v>8</v>
      </c>
      <c r="F676" t="s">
        <v>28</v>
      </c>
      <c r="G676" s="2">
        <f>VLOOKUP(F676,mappings!$G$2:$H$6,2,FALSE)</f>
        <v>2</v>
      </c>
      <c r="H676" t="s">
        <v>43</v>
      </c>
      <c r="I676" s="2">
        <f>VLOOKUP(H676,mappings!$D$2:$E$6,2,FALSE)</f>
        <v>4</v>
      </c>
      <c r="J676" t="s">
        <v>36</v>
      </c>
      <c r="K676" t="s">
        <v>32</v>
      </c>
      <c r="L676" s="2">
        <f>VLOOKUP(K676,mappings!$A$2:$B$13,2,FALSE)</f>
        <v>2</v>
      </c>
      <c r="M676" t="s">
        <v>34</v>
      </c>
      <c r="N676" t="str">
        <f>VLOOKUP(E676,mappings!$L$1:$M$110,2,FALSE)</f>
        <v>No answer provided</v>
      </c>
      <c r="O676" t="str">
        <f>VLOOKUP(E676,mappings!L:O,3,FALSE)</f>
        <v>No answer provided</v>
      </c>
      <c r="P676" t="str">
        <f>VLOOKUP(E676,mappings!L:P,4,FALSE)</f>
        <v>No answer provided</v>
      </c>
    </row>
    <row r="677" spans="1:16" x14ac:dyDescent="0.2">
      <c r="A677">
        <v>676</v>
      </c>
      <c r="B677">
        <v>3877822759</v>
      </c>
      <c r="C677" t="s">
        <v>6</v>
      </c>
      <c r="D677" t="s">
        <v>7</v>
      </c>
      <c r="E677" t="s">
        <v>8</v>
      </c>
      <c r="F677" t="s">
        <v>16</v>
      </c>
      <c r="G677" s="2">
        <f>VLOOKUP(F677,mappings!$G$2:$H$6,2,FALSE)</f>
        <v>3</v>
      </c>
      <c r="H677" t="s">
        <v>162</v>
      </c>
      <c r="I677" s="2">
        <f>VLOOKUP(H677,mappings!$D$2:$E$6,2,FALSE)</f>
        <v>1</v>
      </c>
      <c r="J677" t="s">
        <v>36</v>
      </c>
      <c r="K677" t="s">
        <v>29</v>
      </c>
      <c r="L677" s="2">
        <f>VLOOKUP(K677,mappings!$A$2:$B$13,2,FALSE)</f>
        <v>1</v>
      </c>
      <c r="M677" t="s">
        <v>30</v>
      </c>
      <c r="N677" t="str">
        <f>VLOOKUP(E677,mappings!$L$1:$M$110,2,FALSE)</f>
        <v>No answer provided</v>
      </c>
      <c r="O677" t="str">
        <f>VLOOKUP(E677,mappings!L:O,3,FALSE)</f>
        <v>No answer provided</v>
      </c>
      <c r="P677" t="str">
        <f>VLOOKUP(E677,mappings!L:P,4,FALSE)</f>
        <v>No answer provided</v>
      </c>
    </row>
    <row r="678" spans="1:16" x14ac:dyDescent="0.2">
      <c r="A678">
        <v>677</v>
      </c>
      <c r="B678">
        <v>3877821639</v>
      </c>
      <c r="C678" t="s">
        <v>26</v>
      </c>
      <c r="D678" t="s">
        <v>31</v>
      </c>
      <c r="E678" t="s">
        <v>8</v>
      </c>
      <c r="F678" t="s">
        <v>9</v>
      </c>
      <c r="G678" s="2">
        <f>VLOOKUP(F678,mappings!$G$2:$H$6,2,FALSE)</f>
        <v>4</v>
      </c>
      <c r="H678" t="s">
        <v>163</v>
      </c>
      <c r="I678" s="2">
        <f>VLOOKUP(H678,mappings!$D$2:$E$6,2,FALSE)</f>
        <v>3</v>
      </c>
      <c r="J678" t="s">
        <v>36</v>
      </c>
      <c r="K678" t="s">
        <v>14</v>
      </c>
      <c r="L678" s="2">
        <f>VLOOKUP(K678,mappings!$A$2:$B$13,2,FALSE)</f>
        <v>6</v>
      </c>
      <c r="M678" t="s">
        <v>20</v>
      </c>
      <c r="N678" t="str">
        <f>VLOOKUP(E678,mappings!$L$1:$M$110,2,FALSE)</f>
        <v>No answer provided</v>
      </c>
      <c r="O678" t="str">
        <f>VLOOKUP(E678,mappings!L:O,3,FALSE)</f>
        <v>No answer provided</v>
      </c>
      <c r="P678" t="str">
        <f>VLOOKUP(E678,mappings!L:P,4,FALSE)</f>
        <v>No answer provided</v>
      </c>
    </row>
    <row r="679" spans="1:16" x14ac:dyDescent="0.2">
      <c r="A679">
        <v>678</v>
      </c>
      <c r="B679">
        <v>3877821152</v>
      </c>
      <c r="C679" t="s">
        <v>6</v>
      </c>
      <c r="D679" t="s">
        <v>21</v>
      </c>
      <c r="E679" t="s">
        <v>8</v>
      </c>
      <c r="F679" t="s">
        <v>16</v>
      </c>
      <c r="G679" s="2">
        <f>VLOOKUP(F679,mappings!$G$2:$H$6,2,FALSE)</f>
        <v>3</v>
      </c>
      <c r="H679" t="s">
        <v>162</v>
      </c>
      <c r="I679" s="2">
        <f>VLOOKUP(H679,mappings!$D$2:$E$6,2,FALSE)</f>
        <v>1</v>
      </c>
      <c r="J679" t="s">
        <v>36</v>
      </c>
      <c r="K679" t="s">
        <v>13</v>
      </c>
      <c r="L679" s="2">
        <f>VLOOKUP(K679,mappings!$A$2:$B$13,2,FALSE)</f>
        <v>11</v>
      </c>
      <c r="M679" t="s">
        <v>38</v>
      </c>
      <c r="N679" t="str">
        <f>VLOOKUP(E679,mappings!$L$1:$M$110,2,FALSE)</f>
        <v>No answer provided</v>
      </c>
      <c r="O679" t="str">
        <f>VLOOKUP(E679,mappings!L:O,3,FALSE)</f>
        <v>No answer provided</v>
      </c>
      <c r="P679" t="str">
        <f>VLOOKUP(E679,mappings!L:P,4,FALSE)</f>
        <v>No answer provided</v>
      </c>
    </row>
    <row r="680" spans="1:16" x14ac:dyDescent="0.2">
      <c r="A680">
        <v>679</v>
      </c>
      <c r="B680">
        <v>3877820317</v>
      </c>
      <c r="C680" t="s">
        <v>26</v>
      </c>
      <c r="D680" t="s">
        <v>41</v>
      </c>
      <c r="E680" t="s">
        <v>8</v>
      </c>
      <c r="F680" t="s">
        <v>16</v>
      </c>
      <c r="G680" s="2">
        <f>VLOOKUP(F680,mappings!$G$2:$H$6,2,FALSE)</f>
        <v>3</v>
      </c>
      <c r="H680" t="s">
        <v>161</v>
      </c>
      <c r="I680" s="2">
        <f>VLOOKUP(H680,mappings!$D$2:$E$6,2,FALSE)</f>
        <v>2</v>
      </c>
      <c r="J680" t="s">
        <v>36</v>
      </c>
      <c r="K680" t="s">
        <v>13</v>
      </c>
      <c r="L680" s="2">
        <f>VLOOKUP(K680,mappings!$A$2:$B$13,2,FALSE)</f>
        <v>11</v>
      </c>
      <c r="M680" t="s">
        <v>12</v>
      </c>
      <c r="N680" t="str">
        <f>VLOOKUP(E680,mappings!$L$1:$M$110,2,FALSE)</f>
        <v>No answer provided</v>
      </c>
      <c r="O680" t="str">
        <f>VLOOKUP(E680,mappings!L:O,3,FALSE)</f>
        <v>No answer provided</v>
      </c>
      <c r="P680" t="str">
        <f>VLOOKUP(E680,mappings!L:P,4,FALSE)</f>
        <v>No answer provided</v>
      </c>
    </row>
    <row r="681" spans="1:16" x14ac:dyDescent="0.2">
      <c r="A681">
        <v>680</v>
      </c>
      <c r="B681">
        <v>3877817207</v>
      </c>
      <c r="C681" t="s">
        <v>6</v>
      </c>
      <c r="D681" t="s">
        <v>1</v>
      </c>
      <c r="E681" t="s">
        <v>85</v>
      </c>
      <c r="F681" t="s">
        <v>9</v>
      </c>
      <c r="G681" s="2">
        <f>VLOOKUP(F681,mappings!$G$2:$H$6,2,FALSE)</f>
        <v>4</v>
      </c>
      <c r="H681" t="s">
        <v>43</v>
      </c>
      <c r="I681" s="2">
        <f>VLOOKUP(H681,mappings!$D$2:$E$6,2,FALSE)</f>
        <v>4</v>
      </c>
      <c r="J681" t="s">
        <v>36</v>
      </c>
      <c r="K681" t="s">
        <v>18</v>
      </c>
      <c r="L681" s="2">
        <f>VLOOKUP(K681,mappings!$A$2:$B$13,2,FALSE)</f>
        <v>8</v>
      </c>
      <c r="M681" t="s">
        <v>38</v>
      </c>
      <c r="N681" t="str">
        <f>VLOOKUP(E681,mappings!$L$1:$M$110,2,FALSE)</f>
        <v>The Weather Channel</v>
      </c>
      <c r="O681" t="str">
        <f>VLOOKUP(E681,mappings!L:O,3,FALSE)</f>
        <v>Website</v>
      </c>
      <c r="P681" t="str">
        <f>VLOOKUP(E681,mappings!L:P,4,FALSE)</f>
        <v>Other or unkown</v>
      </c>
    </row>
    <row r="682" spans="1:16" x14ac:dyDescent="0.2">
      <c r="A682">
        <v>681</v>
      </c>
      <c r="B682">
        <v>3877815508</v>
      </c>
      <c r="C682" t="s">
        <v>6</v>
      </c>
      <c r="D682" t="s">
        <v>21</v>
      </c>
      <c r="E682" t="s">
        <v>8</v>
      </c>
      <c r="F682" t="s">
        <v>16</v>
      </c>
      <c r="G682" s="2">
        <f>VLOOKUP(F682,mappings!$G$2:$H$6,2,FALSE)</f>
        <v>3</v>
      </c>
      <c r="H682" t="s">
        <v>43</v>
      </c>
      <c r="I682" s="2">
        <f>VLOOKUP(H682,mappings!$D$2:$E$6,2,FALSE)</f>
        <v>4</v>
      </c>
      <c r="J682" t="s">
        <v>36</v>
      </c>
      <c r="K682" t="s">
        <v>14</v>
      </c>
      <c r="L682" s="2">
        <f>VLOOKUP(K682,mappings!$A$2:$B$13,2,FALSE)</f>
        <v>6</v>
      </c>
      <c r="M682" t="s">
        <v>24</v>
      </c>
      <c r="N682" t="str">
        <f>VLOOKUP(E682,mappings!$L$1:$M$110,2,FALSE)</f>
        <v>No answer provided</v>
      </c>
      <c r="O682" t="str">
        <f>VLOOKUP(E682,mappings!L:O,3,FALSE)</f>
        <v>No answer provided</v>
      </c>
      <c r="P682" t="str">
        <f>VLOOKUP(E682,mappings!L:P,4,FALSE)</f>
        <v>No answer provided</v>
      </c>
    </row>
    <row r="683" spans="1:16" x14ac:dyDescent="0.2">
      <c r="A683">
        <v>682</v>
      </c>
      <c r="B683">
        <v>3877813621</v>
      </c>
      <c r="C683" t="s">
        <v>6</v>
      </c>
      <c r="D683" t="s">
        <v>7</v>
      </c>
      <c r="E683" t="s">
        <v>8</v>
      </c>
      <c r="F683" t="s">
        <v>9</v>
      </c>
      <c r="G683" s="2">
        <f>VLOOKUP(F683,mappings!$G$2:$H$6,2,FALSE)</f>
        <v>4</v>
      </c>
      <c r="H683" t="s">
        <v>162</v>
      </c>
      <c r="I683" s="2">
        <f>VLOOKUP(H683,mappings!$D$2:$E$6,2,FALSE)</f>
        <v>1</v>
      </c>
      <c r="J683" t="s">
        <v>36</v>
      </c>
      <c r="K683" t="s">
        <v>29</v>
      </c>
      <c r="L683" s="2">
        <f>VLOOKUP(K683,mappings!$A$2:$B$13,2,FALSE)</f>
        <v>1</v>
      </c>
      <c r="M683" t="s">
        <v>15</v>
      </c>
      <c r="N683" t="str">
        <f>VLOOKUP(E683,mappings!$L$1:$M$110,2,FALSE)</f>
        <v>No answer provided</v>
      </c>
      <c r="O683" t="str">
        <f>VLOOKUP(E683,mappings!L:O,3,FALSE)</f>
        <v>No answer provided</v>
      </c>
      <c r="P683" t="str">
        <f>VLOOKUP(E683,mappings!L:P,4,FALSE)</f>
        <v>No answer provided</v>
      </c>
    </row>
    <row r="684" spans="1:16" x14ac:dyDescent="0.2">
      <c r="A684">
        <v>683</v>
      </c>
      <c r="B684">
        <v>3877813587</v>
      </c>
      <c r="C684" t="s">
        <v>26</v>
      </c>
      <c r="D684" t="s">
        <v>31</v>
      </c>
      <c r="E684" t="s">
        <v>8</v>
      </c>
      <c r="F684" t="s">
        <v>16</v>
      </c>
      <c r="G684" s="2">
        <f>VLOOKUP(F684,mappings!$G$2:$H$6,2,FALSE)</f>
        <v>3</v>
      </c>
      <c r="H684" t="s">
        <v>162</v>
      </c>
      <c r="I684" s="2">
        <f>VLOOKUP(H684,mappings!$D$2:$E$6,2,FALSE)</f>
        <v>1</v>
      </c>
      <c r="J684" t="s">
        <v>36</v>
      </c>
      <c r="K684" t="s">
        <v>13</v>
      </c>
      <c r="L684" s="2">
        <f>VLOOKUP(K684,mappings!$A$2:$B$13,2,FALSE)</f>
        <v>11</v>
      </c>
      <c r="M684" t="s">
        <v>12</v>
      </c>
      <c r="N684" t="str">
        <f>VLOOKUP(E684,mappings!$L$1:$M$110,2,FALSE)</f>
        <v>No answer provided</v>
      </c>
      <c r="O684" t="str">
        <f>VLOOKUP(E684,mappings!L:O,3,FALSE)</f>
        <v>No answer provided</v>
      </c>
      <c r="P684" t="str">
        <f>VLOOKUP(E684,mappings!L:P,4,FALSE)</f>
        <v>No answer provided</v>
      </c>
    </row>
    <row r="685" spans="1:16" x14ac:dyDescent="0.2">
      <c r="A685">
        <v>684</v>
      </c>
      <c r="B685">
        <v>3877813322</v>
      </c>
      <c r="C685" t="s">
        <v>6</v>
      </c>
      <c r="D685" t="s">
        <v>31</v>
      </c>
      <c r="E685" t="s">
        <v>8</v>
      </c>
      <c r="F685" t="s">
        <v>9</v>
      </c>
      <c r="G685" s="2">
        <f>VLOOKUP(F685,mappings!$G$2:$H$6,2,FALSE)</f>
        <v>4</v>
      </c>
      <c r="H685" t="s">
        <v>43</v>
      </c>
      <c r="I685" s="2">
        <f>VLOOKUP(H685,mappings!$D$2:$E$6,2,FALSE)</f>
        <v>4</v>
      </c>
      <c r="J685" t="s">
        <v>10</v>
      </c>
      <c r="K685" t="s">
        <v>23</v>
      </c>
      <c r="L685" s="2">
        <f>VLOOKUP(K685,mappings!$A$2:$B$13,2,FALSE)</f>
        <v>3</v>
      </c>
      <c r="M685" t="s">
        <v>24</v>
      </c>
      <c r="N685" t="str">
        <f>VLOOKUP(E685,mappings!$L$1:$M$110,2,FALSE)</f>
        <v>No answer provided</v>
      </c>
      <c r="O685" t="str">
        <f>VLOOKUP(E685,mappings!L:O,3,FALSE)</f>
        <v>No answer provided</v>
      </c>
      <c r="P685" t="str">
        <f>VLOOKUP(E685,mappings!L:P,4,FALSE)</f>
        <v>No answer provided</v>
      </c>
    </row>
    <row r="686" spans="1:16" x14ac:dyDescent="0.2">
      <c r="A686">
        <v>685</v>
      </c>
      <c r="B686">
        <v>3877812497</v>
      </c>
      <c r="C686" t="s">
        <v>26</v>
      </c>
      <c r="D686" t="s">
        <v>31</v>
      </c>
      <c r="E686" t="s">
        <v>8</v>
      </c>
      <c r="F686" t="s">
        <v>16</v>
      </c>
      <c r="G686" s="2">
        <f>VLOOKUP(F686,mappings!$G$2:$H$6,2,FALSE)</f>
        <v>3</v>
      </c>
      <c r="H686" t="s">
        <v>162</v>
      </c>
      <c r="I686" s="2">
        <f>VLOOKUP(H686,mappings!$D$2:$E$6,2,FALSE)</f>
        <v>1</v>
      </c>
      <c r="J686" t="s">
        <v>36</v>
      </c>
      <c r="K686" t="s">
        <v>13</v>
      </c>
      <c r="L686" s="2">
        <f>VLOOKUP(K686,mappings!$A$2:$B$13,2,FALSE)</f>
        <v>11</v>
      </c>
      <c r="M686" t="s">
        <v>25</v>
      </c>
      <c r="N686" t="str">
        <f>VLOOKUP(E686,mappings!$L$1:$M$110,2,FALSE)</f>
        <v>No answer provided</v>
      </c>
      <c r="O686" t="str">
        <f>VLOOKUP(E686,mappings!L:O,3,FALSE)</f>
        <v>No answer provided</v>
      </c>
      <c r="P686" t="str">
        <f>VLOOKUP(E686,mappings!L:P,4,FALSE)</f>
        <v>No answer provided</v>
      </c>
    </row>
    <row r="687" spans="1:16" x14ac:dyDescent="0.2">
      <c r="A687">
        <v>686</v>
      </c>
      <c r="B687">
        <v>3877806850</v>
      </c>
      <c r="C687" t="s">
        <v>6</v>
      </c>
      <c r="D687" t="s">
        <v>31</v>
      </c>
      <c r="E687" t="s">
        <v>8</v>
      </c>
      <c r="F687" t="s">
        <v>9</v>
      </c>
      <c r="G687" s="2">
        <f>VLOOKUP(F687,mappings!$G$2:$H$6,2,FALSE)</f>
        <v>4</v>
      </c>
      <c r="H687" t="s">
        <v>163</v>
      </c>
      <c r="I687" s="2">
        <f>VLOOKUP(H687,mappings!$D$2:$E$6,2,FALSE)</f>
        <v>3</v>
      </c>
      <c r="J687" t="s">
        <v>36</v>
      </c>
      <c r="K687" t="s">
        <v>39</v>
      </c>
      <c r="L687" s="2">
        <f>VLOOKUP(K687,mappings!$A$2:$B$13,2,FALSE)</f>
        <v>10</v>
      </c>
      <c r="M687" t="s">
        <v>15</v>
      </c>
      <c r="N687" t="str">
        <f>VLOOKUP(E687,mappings!$L$1:$M$110,2,FALSE)</f>
        <v>No answer provided</v>
      </c>
      <c r="O687" t="str">
        <f>VLOOKUP(E687,mappings!L:O,3,FALSE)</f>
        <v>No answer provided</v>
      </c>
      <c r="P687" t="str">
        <f>VLOOKUP(E687,mappings!L:P,4,FALSE)</f>
        <v>No answer provided</v>
      </c>
    </row>
    <row r="688" spans="1:16" x14ac:dyDescent="0.2">
      <c r="A688">
        <v>687</v>
      </c>
      <c r="B688">
        <v>3877806666</v>
      </c>
      <c r="C688" t="s">
        <v>26</v>
      </c>
      <c r="D688" t="s">
        <v>1</v>
      </c>
      <c r="E688" t="s">
        <v>136</v>
      </c>
      <c r="F688" t="s">
        <v>28</v>
      </c>
      <c r="G688" s="2">
        <f>VLOOKUP(F688,mappings!$G$2:$H$6,2,FALSE)</f>
        <v>2</v>
      </c>
      <c r="H688" t="s">
        <v>163</v>
      </c>
      <c r="I688" s="2">
        <f>VLOOKUP(H688,mappings!$D$2:$E$6,2,FALSE)</f>
        <v>3</v>
      </c>
      <c r="J688" t="s">
        <v>36</v>
      </c>
      <c r="K688" t="s">
        <v>13</v>
      </c>
      <c r="L688" s="2">
        <f>VLOOKUP(K688,mappings!$A$2:$B$13,2,FALSE)</f>
        <v>11</v>
      </c>
      <c r="M688" t="s">
        <v>24</v>
      </c>
      <c r="N688" t="str">
        <f>VLOOKUP(E688,mappings!$L$1:$M$110,2,FALSE)</f>
        <v>None</v>
      </c>
      <c r="O688" t="str">
        <f>VLOOKUP(E688,mappings!L:O,3,FALSE)</f>
        <v>None</v>
      </c>
      <c r="P688" t="str">
        <f>VLOOKUP(E688,mappings!L:P,4,FALSE)</f>
        <v>Other or unkown</v>
      </c>
    </row>
    <row r="689" spans="1:16" x14ac:dyDescent="0.2">
      <c r="A689">
        <v>688</v>
      </c>
      <c r="B689">
        <v>3877804843</v>
      </c>
      <c r="C689" t="s">
        <v>6</v>
      </c>
      <c r="D689" t="s">
        <v>7</v>
      </c>
      <c r="E689" t="s">
        <v>8</v>
      </c>
      <c r="F689" t="s">
        <v>9</v>
      </c>
      <c r="G689" s="2">
        <f>VLOOKUP(F689,mappings!$G$2:$H$6,2,FALSE)</f>
        <v>4</v>
      </c>
      <c r="H689" t="s">
        <v>163</v>
      </c>
      <c r="I689" s="2">
        <f>VLOOKUP(H689,mappings!$D$2:$E$6,2,FALSE)</f>
        <v>3</v>
      </c>
      <c r="J689" t="s">
        <v>36</v>
      </c>
      <c r="K689" t="s">
        <v>23</v>
      </c>
      <c r="L689" s="2">
        <f>VLOOKUP(K689,mappings!$A$2:$B$13,2,FALSE)</f>
        <v>3</v>
      </c>
      <c r="M689" t="s">
        <v>12</v>
      </c>
      <c r="N689" t="str">
        <f>VLOOKUP(E689,mappings!$L$1:$M$110,2,FALSE)</f>
        <v>No answer provided</v>
      </c>
      <c r="O689" t="str">
        <f>VLOOKUP(E689,mappings!L:O,3,FALSE)</f>
        <v>No answer provided</v>
      </c>
      <c r="P689" t="str">
        <f>VLOOKUP(E689,mappings!L:P,4,FALSE)</f>
        <v>No answer provided</v>
      </c>
    </row>
    <row r="690" spans="1:16" x14ac:dyDescent="0.2">
      <c r="A690">
        <v>689</v>
      </c>
      <c r="B690">
        <v>3877803376</v>
      </c>
      <c r="C690" t="s">
        <v>26</v>
      </c>
      <c r="D690" t="s">
        <v>1</v>
      </c>
      <c r="E690" t="s">
        <v>137</v>
      </c>
      <c r="F690" t="s">
        <v>16</v>
      </c>
      <c r="G690" s="2">
        <f>VLOOKUP(F690,mappings!$G$2:$H$6,2,FALSE)</f>
        <v>3</v>
      </c>
      <c r="H690" t="s">
        <v>161</v>
      </c>
      <c r="I690" s="2">
        <f>VLOOKUP(H690,mappings!$D$2:$E$6,2,FALSE)</f>
        <v>2</v>
      </c>
      <c r="J690" t="s">
        <v>36</v>
      </c>
      <c r="K690" t="s">
        <v>11</v>
      </c>
      <c r="L690" s="2">
        <f>VLOOKUP(K690,mappings!$A$2:$B$13,2,FALSE)</f>
        <v>4</v>
      </c>
      <c r="M690" t="s">
        <v>24</v>
      </c>
      <c r="N690" t="str">
        <f>VLOOKUP(E690,mappings!$L$1:$M$110,2,FALSE)</f>
        <v>None</v>
      </c>
      <c r="O690" t="str">
        <f>VLOOKUP(E690,mappings!L:O,3,FALSE)</f>
        <v>None</v>
      </c>
      <c r="P690" t="str">
        <f>VLOOKUP(E690,mappings!L:P,4,FALSE)</f>
        <v>Other or unkown</v>
      </c>
    </row>
    <row r="691" spans="1:16" x14ac:dyDescent="0.2">
      <c r="A691">
        <v>690</v>
      </c>
      <c r="B691">
        <v>3877803055</v>
      </c>
      <c r="C691" t="s">
        <v>6</v>
      </c>
      <c r="D691" t="s">
        <v>31</v>
      </c>
      <c r="E691" t="s">
        <v>8</v>
      </c>
      <c r="F691" t="s">
        <v>22</v>
      </c>
      <c r="G691" s="2">
        <f>VLOOKUP(F691,mappings!$G$2:$H$6,2,FALSE)</f>
        <v>1</v>
      </c>
      <c r="H691" t="s">
        <v>162</v>
      </c>
      <c r="I691" s="2">
        <f>VLOOKUP(H691,mappings!$D$2:$E$6,2,FALSE)</f>
        <v>1</v>
      </c>
      <c r="J691" t="s">
        <v>36</v>
      </c>
      <c r="K691" t="s">
        <v>11</v>
      </c>
      <c r="L691" s="2">
        <f>VLOOKUP(K691,mappings!$A$2:$B$13,2,FALSE)</f>
        <v>4</v>
      </c>
      <c r="M691" t="s">
        <v>30</v>
      </c>
      <c r="N691" t="str">
        <f>VLOOKUP(E691,mappings!$L$1:$M$110,2,FALSE)</f>
        <v>No answer provided</v>
      </c>
      <c r="O691" t="str">
        <f>VLOOKUP(E691,mappings!L:O,3,FALSE)</f>
        <v>No answer provided</v>
      </c>
      <c r="P691" t="str">
        <f>VLOOKUP(E691,mappings!L:P,4,FALSE)</f>
        <v>No answer provided</v>
      </c>
    </row>
    <row r="692" spans="1:16" x14ac:dyDescent="0.2">
      <c r="A692">
        <v>691</v>
      </c>
      <c r="B692">
        <v>3877800395</v>
      </c>
      <c r="C692" t="s">
        <v>6</v>
      </c>
      <c r="D692" t="s">
        <v>7</v>
      </c>
      <c r="E692" t="s">
        <v>8</v>
      </c>
      <c r="F692" t="s">
        <v>16</v>
      </c>
      <c r="G692" s="2">
        <f>VLOOKUP(F692,mappings!$G$2:$H$6,2,FALSE)</f>
        <v>3</v>
      </c>
      <c r="H692" t="s">
        <v>162</v>
      </c>
      <c r="I692" s="2">
        <f>VLOOKUP(H692,mappings!$D$2:$E$6,2,FALSE)</f>
        <v>1</v>
      </c>
      <c r="J692" t="s">
        <v>36</v>
      </c>
      <c r="K692" t="s">
        <v>29</v>
      </c>
      <c r="L692" s="2">
        <f>VLOOKUP(K692,mappings!$A$2:$B$13,2,FALSE)</f>
        <v>1</v>
      </c>
      <c r="M692" t="s">
        <v>24</v>
      </c>
      <c r="N692" t="str">
        <f>VLOOKUP(E692,mappings!$L$1:$M$110,2,FALSE)</f>
        <v>No answer provided</v>
      </c>
      <c r="O692" t="str">
        <f>VLOOKUP(E692,mappings!L:O,3,FALSE)</f>
        <v>No answer provided</v>
      </c>
      <c r="P692" t="str">
        <f>VLOOKUP(E692,mappings!L:P,4,FALSE)</f>
        <v>No answer provided</v>
      </c>
    </row>
    <row r="693" spans="1:16" x14ac:dyDescent="0.2">
      <c r="A693">
        <v>692</v>
      </c>
      <c r="B693">
        <v>3877799311</v>
      </c>
      <c r="C693" t="s">
        <v>6</v>
      </c>
      <c r="D693" t="s">
        <v>1</v>
      </c>
      <c r="E693" t="s">
        <v>21</v>
      </c>
      <c r="F693" t="s">
        <v>9</v>
      </c>
      <c r="G693" s="2">
        <f>VLOOKUP(F693,mappings!$G$2:$H$6,2,FALSE)</f>
        <v>4</v>
      </c>
      <c r="H693" t="s">
        <v>163</v>
      </c>
      <c r="I693" s="2">
        <f>VLOOKUP(H693,mappings!$D$2:$E$6,2,FALSE)</f>
        <v>3</v>
      </c>
      <c r="J693" t="s">
        <v>36</v>
      </c>
      <c r="K693" t="s">
        <v>14</v>
      </c>
      <c r="L693" s="2">
        <f>VLOOKUP(K693,mappings!$A$2:$B$13,2,FALSE)</f>
        <v>6</v>
      </c>
      <c r="M693" t="s">
        <v>12</v>
      </c>
      <c r="N693" t="str">
        <f>VLOOKUP(E693,mappings!$L$1:$M$110,2,FALSE)</f>
        <v>The Weather Channel</v>
      </c>
      <c r="O693" t="str">
        <f>VLOOKUP(E693,mappings!L:O,3,FALSE)</f>
        <v>Website</v>
      </c>
      <c r="P693" t="str">
        <f>VLOOKUP(E693,mappings!L:P,4,FALSE)</f>
        <v>Other or unkown</v>
      </c>
    </row>
    <row r="694" spans="1:16" x14ac:dyDescent="0.2">
      <c r="A694">
        <v>693</v>
      </c>
      <c r="B694">
        <v>3877795231</v>
      </c>
      <c r="C694" t="s">
        <v>6</v>
      </c>
      <c r="D694" t="s">
        <v>21</v>
      </c>
      <c r="E694" t="s">
        <v>8</v>
      </c>
      <c r="F694" t="s">
        <v>16</v>
      </c>
      <c r="G694" s="2">
        <f>VLOOKUP(F694,mappings!$G$2:$H$6,2,FALSE)</f>
        <v>3</v>
      </c>
      <c r="H694" t="s">
        <v>43</v>
      </c>
      <c r="I694" s="2">
        <f>VLOOKUP(H694,mappings!$D$2:$E$6,2,FALSE)</f>
        <v>4</v>
      </c>
      <c r="J694" t="s">
        <v>10</v>
      </c>
      <c r="K694" t="s">
        <v>14</v>
      </c>
      <c r="L694" s="2">
        <f>VLOOKUP(K694,mappings!$A$2:$B$13,2,FALSE)</f>
        <v>6</v>
      </c>
      <c r="M694" t="s">
        <v>24</v>
      </c>
      <c r="N694" t="str">
        <f>VLOOKUP(E694,mappings!$L$1:$M$110,2,FALSE)</f>
        <v>No answer provided</v>
      </c>
      <c r="O694" t="str">
        <f>VLOOKUP(E694,mappings!L:O,3,FALSE)</f>
        <v>No answer provided</v>
      </c>
      <c r="P694" t="str">
        <f>VLOOKUP(E694,mappings!L:P,4,FALSE)</f>
        <v>No answer provided</v>
      </c>
    </row>
    <row r="695" spans="1:16" x14ac:dyDescent="0.2">
      <c r="A695">
        <v>694</v>
      </c>
      <c r="B695">
        <v>3877794938</v>
      </c>
      <c r="C695" t="s">
        <v>6</v>
      </c>
      <c r="D695" t="s">
        <v>7</v>
      </c>
      <c r="E695" t="s">
        <v>8</v>
      </c>
      <c r="F695" t="s">
        <v>22</v>
      </c>
      <c r="G695" s="2">
        <f>VLOOKUP(F695,mappings!$G$2:$H$6,2,FALSE)</f>
        <v>1</v>
      </c>
      <c r="H695" t="s">
        <v>162</v>
      </c>
      <c r="I695" s="2">
        <f>VLOOKUP(H695,mappings!$D$2:$E$6,2,FALSE)</f>
        <v>1</v>
      </c>
      <c r="J695" t="s">
        <v>36</v>
      </c>
      <c r="K695" t="s">
        <v>29</v>
      </c>
      <c r="L695" s="2">
        <f>VLOOKUP(K695,mappings!$A$2:$B$13,2,FALSE)</f>
        <v>1</v>
      </c>
      <c r="M695" t="s">
        <v>25</v>
      </c>
      <c r="N695" t="str">
        <f>VLOOKUP(E695,mappings!$L$1:$M$110,2,FALSE)</f>
        <v>No answer provided</v>
      </c>
      <c r="O695" t="str">
        <f>VLOOKUP(E695,mappings!L:O,3,FALSE)</f>
        <v>No answer provided</v>
      </c>
      <c r="P695" t="str">
        <f>VLOOKUP(E695,mappings!L:P,4,FALSE)</f>
        <v>No answer provided</v>
      </c>
    </row>
    <row r="696" spans="1:16" x14ac:dyDescent="0.2">
      <c r="A696">
        <v>695</v>
      </c>
      <c r="B696">
        <v>3877794732</v>
      </c>
      <c r="C696" t="s">
        <v>6</v>
      </c>
      <c r="D696" t="s">
        <v>31</v>
      </c>
      <c r="E696" t="s">
        <v>8</v>
      </c>
      <c r="F696" t="s">
        <v>16</v>
      </c>
      <c r="G696" s="2">
        <f>VLOOKUP(F696,mappings!$G$2:$H$6,2,FALSE)</f>
        <v>3</v>
      </c>
      <c r="H696" t="s">
        <v>163</v>
      </c>
      <c r="I696" s="2">
        <f>VLOOKUP(H696,mappings!$D$2:$E$6,2,FALSE)</f>
        <v>3</v>
      </c>
      <c r="J696" t="s">
        <v>10</v>
      </c>
      <c r="K696" t="s">
        <v>29</v>
      </c>
      <c r="L696" s="2">
        <f>VLOOKUP(K696,mappings!$A$2:$B$13,2,FALSE)</f>
        <v>1</v>
      </c>
      <c r="M696" t="s">
        <v>12</v>
      </c>
      <c r="N696" t="str">
        <f>VLOOKUP(E696,mappings!$L$1:$M$110,2,FALSE)</f>
        <v>No answer provided</v>
      </c>
      <c r="O696" t="str">
        <f>VLOOKUP(E696,mappings!L:O,3,FALSE)</f>
        <v>No answer provided</v>
      </c>
      <c r="P696" t="str">
        <f>VLOOKUP(E696,mappings!L:P,4,FALSE)</f>
        <v>No answer provided</v>
      </c>
    </row>
    <row r="697" spans="1:16" x14ac:dyDescent="0.2">
      <c r="A697">
        <v>696</v>
      </c>
      <c r="B697">
        <v>3877793419</v>
      </c>
      <c r="C697" t="s">
        <v>6</v>
      </c>
      <c r="D697" t="s">
        <v>31</v>
      </c>
      <c r="E697" t="s">
        <v>8</v>
      </c>
      <c r="F697" t="s">
        <v>28</v>
      </c>
      <c r="G697" s="2">
        <f>VLOOKUP(F697,mappings!$G$2:$H$6,2,FALSE)</f>
        <v>2</v>
      </c>
      <c r="H697" t="s">
        <v>43</v>
      </c>
      <c r="I697" s="2">
        <f>VLOOKUP(H697,mappings!$D$2:$E$6,2,FALSE)</f>
        <v>4</v>
      </c>
      <c r="J697" t="s">
        <v>10</v>
      </c>
      <c r="K697" t="s">
        <v>18</v>
      </c>
      <c r="L697" s="2">
        <f>VLOOKUP(K697,mappings!$A$2:$B$13,2,FALSE)</f>
        <v>8</v>
      </c>
      <c r="M697" t="s">
        <v>30</v>
      </c>
      <c r="N697" t="str">
        <f>VLOOKUP(E697,mappings!$L$1:$M$110,2,FALSE)</f>
        <v>No answer provided</v>
      </c>
      <c r="O697" t="str">
        <f>VLOOKUP(E697,mappings!L:O,3,FALSE)</f>
        <v>No answer provided</v>
      </c>
      <c r="P697" t="str">
        <f>VLOOKUP(E697,mappings!L:P,4,FALSE)</f>
        <v>No answer provided</v>
      </c>
    </row>
    <row r="698" spans="1:16" x14ac:dyDescent="0.2">
      <c r="A698">
        <v>697</v>
      </c>
      <c r="B698">
        <v>3877792799</v>
      </c>
      <c r="C698" t="s">
        <v>6</v>
      </c>
      <c r="D698" t="s">
        <v>27</v>
      </c>
      <c r="E698" t="s">
        <v>8</v>
      </c>
      <c r="F698" t="s">
        <v>16</v>
      </c>
      <c r="G698" s="2">
        <f>VLOOKUP(F698,mappings!$G$2:$H$6,2,FALSE)</f>
        <v>3</v>
      </c>
      <c r="H698" t="s">
        <v>43</v>
      </c>
      <c r="I698" s="2">
        <f>VLOOKUP(H698,mappings!$D$2:$E$6,2,FALSE)</f>
        <v>4</v>
      </c>
      <c r="J698" t="s">
        <v>10</v>
      </c>
      <c r="K698" t="s">
        <v>14</v>
      </c>
      <c r="L698" s="2">
        <f>VLOOKUP(K698,mappings!$A$2:$B$13,2,FALSE)</f>
        <v>6</v>
      </c>
      <c r="M698" t="s">
        <v>42</v>
      </c>
      <c r="N698" t="str">
        <f>VLOOKUP(E698,mappings!$L$1:$M$110,2,FALSE)</f>
        <v>No answer provided</v>
      </c>
      <c r="O698" t="str">
        <f>VLOOKUP(E698,mappings!L:O,3,FALSE)</f>
        <v>No answer provided</v>
      </c>
      <c r="P698" t="str">
        <f>VLOOKUP(E698,mappings!L:P,4,FALSE)</f>
        <v>No answer provided</v>
      </c>
    </row>
    <row r="699" spans="1:16" x14ac:dyDescent="0.2">
      <c r="A699">
        <v>698</v>
      </c>
      <c r="B699">
        <v>3877791725</v>
      </c>
      <c r="C699" t="s">
        <v>6</v>
      </c>
      <c r="D699" t="s">
        <v>7</v>
      </c>
      <c r="E699" t="s">
        <v>8</v>
      </c>
      <c r="F699" t="s">
        <v>9</v>
      </c>
      <c r="G699" s="2">
        <f>VLOOKUP(F699,mappings!$G$2:$H$6,2,FALSE)</f>
        <v>4</v>
      </c>
      <c r="H699" t="s">
        <v>163</v>
      </c>
      <c r="I699" s="2">
        <f>VLOOKUP(H699,mappings!$D$2:$E$6,2,FALSE)</f>
        <v>3</v>
      </c>
      <c r="J699" t="s">
        <v>36</v>
      </c>
      <c r="K699" t="s">
        <v>11</v>
      </c>
      <c r="L699" s="2">
        <f>VLOOKUP(K699,mappings!$A$2:$B$13,2,FALSE)</f>
        <v>4</v>
      </c>
      <c r="M699" t="s">
        <v>30</v>
      </c>
      <c r="N699" t="str">
        <f>VLOOKUP(E699,mappings!$L$1:$M$110,2,FALSE)</f>
        <v>No answer provided</v>
      </c>
      <c r="O699" t="str">
        <f>VLOOKUP(E699,mappings!L:O,3,FALSE)</f>
        <v>No answer provided</v>
      </c>
      <c r="P699" t="str">
        <f>VLOOKUP(E699,mappings!L:P,4,FALSE)</f>
        <v>No answer provided</v>
      </c>
    </row>
    <row r="700" spans="1:16" x14ac:dyDescent="0.2">
      <c r="A700">
        <v>699</v>
      </c>
      <c r="B700">
        <v>3877791459</v>
      </c>
      <c r="C700" t="s">
        <v>6</v>
      </c>
      <c r="D700" t="s">
        <v>1</v>
      </c>
      <c r="E700" t="s">
        <v>85</v>
      </c>
      <c r="F700" t="s">
        <v>9</v>
      </c>
      <c r="G700" s="2">
        <f>VLOOKUP(F700,mappings!$G$2:$H$6,2,FALSE)</f>
        <v>4</v>
      </c>
      <c r="H700" t="s">
        <v>161</v>
      </c>
      <c r="I700" s="2">
        <f>VLOOKUP(H700,mappings!$D$2:$E$6,2,FALSE)</f>
        <v>2</v>
      </c>
      <c r="J700" t="s">
        <v>36</v>
      </c>
      <c r="K700" t="s">
        <v>13</v>
      </c>
      <c r="L700" s="2">
        <f>VLOOKUP(K700,mappings!$A$2:$B$13,2,FALSE)</f>
        <v>11</v>
      </c>
      <c r="M700" t="s">
        <v>30</v>
      </c>
      <c r="N700" t="str">
        <f>VLOOKUP(E700,mappings!$L$1:$M$110,2,FALSE)</f>
        <v>The Weather Channel</v>
      </c>
      <c r="O700" t="str">
        <f>VLOOKUP(E700,mappings!L:O,3,FALSE)</f>
        <v>Website</v>
      </c>
      <c r="P700" t="str">
        <f>VLOOKUP(E700,mappings!L:P,4,FALSE)</f>
        <v>Other or unkown</v>
      </c>
    </row>
    <row r="701" spans="1:16" x14ac:dyDescent="0.2">
      <c r="A701">
        <v>700</v>
      </c>
      <c r="B701">
        <v>3877791359</v>
      </c>
      <c r="C701" t="s">
        <v>26</v>
      </c>
      <c r="D701" t="s">
        <v>27</v>
      </c>
      <c r="E701" t="s">
        <v>8</v>
      </c>
      <c r="F701" t="s">
        <v>28</v>
      </c>
      <c r="G701" s="2">
        <f>VLOOKUP(F701,mappings!$G$2:$H$6,2,FALSE)</f>
        <v>2</v>
      </c>
      <c r="H701" t="s">
        <v>43</v>
      </c>
      <c r="I701" s="2">
        <f>VLOOKUP(H701,mappings!$D$2:$E$6,2,FALSE)</f>
        <v>4</v>
      </c>
      <c r="J701" t="s">
        <v>36</v>
      </c>
      <c r="K701" t="s">
        <v>13</v>
      </c>
      <c r="L701" s="2">
        <f>VLOOKUP(K701,mappings!$A$2:$B$13,2,FALSE)</f>
        <v>11</v>
      </c>
      <c r="M701" t="s">
        <v>24</v>
      </c>
      <c r="N701" t="str">
        <f>VLOOKUP(E701,mappings!$L$1:$M$110,2,FALSE)</f>
        <v>No answer provided</v>
      </c>
      <c r="O701" t="str">
        <f>VLOOKUP(E701,mappings!L:O,3,FALSE)</f>
        <v>No answer provided</v>
      </c>
      <c r="P701" t="str">
        <f>VLOOKUP(E701,mappings!L:P,4,FALSE)</f>
        <v>No answer provided</v>
      </c>
    </row>
    <row r="702" spans="1:16" x14ac:dyDescent="0.2">
      <c r="A702">
        <v>701</v>
      </c>
      <c r="B702">
        <v>3877791126</v>
      </c>
      <c r="C702" t="s">
        <v>6</v>
      </c>
      <c r="D702" t="s">
        <v>7</v>
      </c>
      <c r="E702" t="s">
        <v>8</v>
      </c>
      <c r="F702" t="s">
        <v>16</v>
      </c>
      <c r="G702" s="2">
        <f>VLOOKUP(F702,mappings!$G$2:$H$6,2,FALSE)</f>
        <v>3</v>
      </c>
      <c r="H702" t="s">
        <v>162</v>
      </c>
      <c r="I702" s="2">
        <f>VLOOKUP(H702,mappings!$D$2:$E$6,2,FALSE)</f>
        <v>1</v>
      </c>
      <c r="J702" t="s">
        <v>36</v>
      </c>
      <c r="K702" t="s">
        <v>29</v>
      </c>
      <c r="L702" s="2">
        <f>VLOOKUP(K702,mappings!$A$2:$B$13,2,FALSE)</f>
        <v>1</v>
      </c>
      <c r="M702" t="s">
        <v>24</v>
      </c>
      <c r="N702" t="str">
        <f>VLOOKUP(E702,mappings!$L$1:$M$110,2,FALSE)</f>
        <v>No answer provided</v>
      </c>
      <c r="O702" t="str">
        <f>VLOOKUP(E702,mappings!L:O,3,FALSE)</f>
        <v>No answer provided</v>
      </c>
      <c r="P702" t="str">
        <f>VLOOKUP(E702,mappings!L:P,4,FALSE)</f>
        <v>No answer provided</v>
      </c>
    </row>
    <row r="703" spans="1:16" x14ac:dyDescent="0.2">
      <c r="A703">
        <v>702</v>
      </c>
      <c r="B703">
        <v>3877789580</v>
      </c>
      <c r="C703" t="s">
        <v>6</v>
      </c>
      <c r="D703" t="s">
        <v>27</v>
      </c>
      <c r="E703" t="s">
        <v>8</v>
      </c>
      <c r="F703" t="s">
        <v>9</v>
      </c>
      <c r="G703" s="2">
        <f>VLOOKUP(F703,mappings!$G$2:$H$6,2,FALSE)</f>
        <v>4</v>
      </c>
      <c r="H703" t="s">
        <v>163</v>
      </c>
      <c r="I703" s="2">
        <f>VLOOKUP(H703,mappings!$D$2:$E$6,2,FALSE)</f>
        <v>3</v>
      </c>
      <c r="J703" t="s">
        <v>36</v>
      </c>
      <c r="K703" t="s">
        <v>13</v>
      </c>
      <c r="L703" s="2">
        <f>VLOOKUP(K703,mappings!$A$2:$B$13,2,FALSE)</f>
        <v>11</v>
      </c>
      <c r="M703" t="s">
        <v>20</v>
      </c>
      <c r="N703" t="str">
        <f>VLOOKUP(E703,mappings!$L$1:$M$110,2,FALSE)</f>
        <v>No answer provided</v>
      </c>
      <c r="O703" t="str">
        <f>VLOOKUP(E703,mappings!L:O,3,FALSE)</f>
        <v>No answer provided</v>
      </c>
      <c r="P703" t="str">
        <f>VLOOKUP(E703,mappings!L:P,4,FALSE)</f>
        <v>No answer provided</v>
      </c>
    </row>
    <row r="704" spans="1:16" x14ac:dyDescent="0.2">
      <c r="A704">
        <v>703</v>
      </c>
      <c r="B704">
        <v>3877789311</v>
      </c>
      <c r="C704" t="s">
        <v>6</v>
      </c>
      <c r="D704" t="s">
        <v>31</v>
      </c>
      <c r="E704" t="s">
        <v>8</v>
      </c>
      <c r="F704" t="s">
        <v>9</v>
      </c>
      <c r="G704" s="2">
        <f>VLOOKUP(F704,mappings!$G$2:$H$6,2,FALSE)</f>
        <v>4</v>
      </c>
      <c r="H704" t="s">
        <v>43</v>
      </c>
      <c r="I704" s="2">
        <f>VLOOKUP(H704,mappings!$D$2:$E$6,2,FALSE)</f>
        <v>4</v>
      </c>
      <c r="J704" t="s">
        <v>10</v>
      </c>
      <c r="K704" t="s">
        <v>48</v>
      </c>
      <c r="L704" s="2">
        <f>VLOOKUP(K704,mappings!$A$2:$B$13,2,FALSE)</f>
        <v>7</v>
      </c>
      <c r="M704" t="s">
        <v>30</v>
      </c>
      <c r="N704" t="str">
        <f>VLOOKUP(E704,mappings!$L$1:$M$110,2,FALSE)</f>
        <v>No answer provided</v>
      </c>
      <c r="O704" t="str">
        <f>VLOOKUP(E704,mappings!L:O,3,FALSE)</f>
        <v>No answer provided</v>
      </c>
      <c r="P704" t="str">
        <f>VLOOKUP(E704,mappings!L:P,4,FALSE)</f>
        <v>No answer provided</v>
      </c>
    </row>
    <row r="705" spans="1:16" x14ac:dyDescent="0.2">
      <c r="A705">
        <v>704</v>
      </c>
      <c r="B705">
        <v>3877788831</v>
      </c>
      <c r="C705" t="s">
        <v>6</v>
      </c>
      <c r="D705" t="s">
        <v>1</v>
      </c>
      <c r="E705" t="s">
        <v>37</v>
      </c>
      <c r="F705" t="s">
        <v>16</v>
      </c>
      <c r="G705" s="2">
        <f>VLOOKUP(F705,mappings!$G$2:$H$6,2,FALSE)</f>
        <v>3</v>
      </c>
      <c r="H705" t="s">
        <v>43</v>
      </c>
      <c r="I705" s="2">
        <f>VLOOKUP(H705,mappings!$D$2:$E$6,2,FALSE)</f>
        <v>4</v>
      </c>
      <c r="J705" t="s">
        <v>36</v>
      </c>
      <c r="K705" t="s">
        <v>33</v>
      </c>
      <c r="L705" s="2">
        <f>VLOOKUP(K705,mappings!$A$2:$B$13,2,FALSE)</f>
        <v>5</v>
      </c>
      <c r="M705" t="s">
        <v>30</v>
      </c>
      <c r="N705" t="str">
        <f>VLOOKUP(E705,mappings!$L$1:$M$110,2,FALSE)</f>
        <v>The Weather Channel</v>
      </c>
      <c r="O705" t="str">
        <f>VLOOKUP(E705,mappings!L:O,3,FALSE)</f>
        <v>Website</v>
      </c>
      <c r="P705" t="str">
        <f>VLOOKUP(E705,mappings!L:P,4,FALSE)</f>
        <v>Other or unkown</v>
      </c>
    </row>
    <row r="706" spans="1:16" x14ac:dyDescent="0.2">
      <c r="A706">
        <v>705</v>
      </c>
      <c r="B706">
        <v>3877788097</v>
      </c>
      <c r="C706" t="s">
        <v>6</v>
      </c>
      <c r="D706" t="s">
        <v>21</v>
      </c>
      <c r="E706" t="s">
        <v>8</v>
      </c>
      <c r="F706" t="s">
        <v>22</v>
      </c>
      <c r="G706" s="2">
        <f>VLOOKUP(F706,mappings!$G$2:$H$6,2,FALSE)</f>
        <v>1</v>
      </c>
      <c r="H706" t="s">
        <v>161</v>
      </c>
      <c r="I706" s="2">
        <f>VLOOKUP(H706,mappings!$D$2:$E$6,2,FALSE)</f>
        <v>2</v>
      </c>
      <c r="J706" t="s">
        <v>36</v>
      </c>
      <c r="K706" t="s">
        <v>23</v>
      </c>
      <c r="L706" s="2">
        <f>VLOOKUP(K706,mappings!$A$2:$B$13,2,FALSE)</f>
        <v>3</v>
      </c>
      <c r="M706" t="s">
        <v>12</v>
      </c>
      <c r="N706" t="str">
        <f>VLOOKUP(E706,mappings!$L$1:$M$110,2,FALSE)</f>
        <v>No answer provided</v>
      </c>
      <c r="O706" t="str">
        <f>VLOOKUP(E706,mappings!L:O,3,FALSE)</f>
        <v>No answer provided</v>
      </c>
      <c r="P706" t="str">
        <f>VLOOKUP(E706,mappings!L:P,4,FALSE)</f>
        <v>No answer provided</v>
      </c>
    </row>
    <row r="707" spans="1:16" x14ac:dyDescent="0.2">
      <c r="A707">
        <v>706</v>
      </c>
      <c r="B707">
        <v>3877785851</v>
      </c>
      <c r="C707" t="s">
        <v>6</v>
      </c>
      <c r="D707" t="s">
        <v>1</v>
      </c>
      <c r="E707" t="s">
        <v>138</v>
      </c>
      <c r="F707" t="s">
        <v>16</v>
      </c>
      <c r="G707" s="2">
        <f>VLOOKUP(F707,mappings!$G$2:$H$6,2,FALSE)</f>
        <v>3</v>
      </c>
      <c r="H707" t="s">
        <v>43</v>
      </c>
      <c r="I707" s="2">
        <f>VLOOKUP(H707,mappings!$D$2:$E$6,2,FALSE)</f>
        <v>4</v>
      </c>
      <c r="J707" t="s">
        <v>36</v>
      </c>
      <c r="K707" t="s">
        <v>13</v>
      </c>
      <c r="L707" s="2">
        <f>VLOOKUP(K707,mappings!$A$2:$B$13,2,FALSE)</f>
        <v>11</v>
      </c>
      <c r="M707" t="s">
        <v>12</v>
      </c>
      <c r="N707" t="str">
        <f>VLOOKUP(E707,mappings!$L$1:$M$110,2,FALSE)</f>
        <v>The Weather Channel</v>
      </c>
      <c r="O707" t="str">
        <f>VLOOKUP(E707,mappings!L:O,3,FALSE)</f>
        <v>App</v>
      </c>
      <c r="P707" t="str">
        <f>VLOOKUP(E707,mappings!L:P,4,FALSE)</f>
        <v>Apple</v>
      </c>
    </row>
    <row r="708" spans="1:16" x14ac:dyDescent="0.2">
      <c r="A708">
        <v>707</v>
      </c>
      <c r="B708">
        <v>3877783718</v>
      </c>
      <c r="C708" t="s">
        <v>6</v>
      </c>
      <c r="D708" t="s">
        <v>40</v>
      </c>
      <c r="E708" t="s">
        <v>8</v>
      </c>
      <c r="F708" t="s">
        <v>9</v>
      </c>
      <c r="G708" s="2">
        <f>VLOOKUP(F708,mappings!$G$2:$H$6,2,FALSE)</f>
        <v>4</v>
      </c>
      <c r="H708" t="s">
        <v>43</v>
      </c>
      <c r="I708" s="2">
        <f>VLOOKUP(H708,mappings!$D$2:$E$6,2,FALSE)</f>
        <v>4</v>
      </c>
      <c r="J708" t="s">
        <v>10</v>
      </c>
      <c r="K708" t="s">
        <v>13</v>
      </c>
      <c r="L708" s="2">
        <f>VLOOKUP(K708,mappings!$A$2:$B$13,2,FALSE)</f>
        <v>11</v>
      </c>
      <c r="M708" t="s">
        <v>30</v>
      </c>
      <c r="N708" t="str">
        <f>VLOOKUP(E708,mappings!$L$1:$M$110,2,FALSE)</f>
        <v>No answer provided</v>
      </c>
      <c r="O708" t="str">
        <f>VLOOKUP(E708,mappings!L:O,3,FALSE)</f>
        <v>No answer provided</v>
      </c>
      <c r="P708" t="str">
        <f>VLOOKUP(E708,mappings!L:P,4,FALSE)</f>
        <v>No answer provided</v>
      </c>
    </row>
    <row r="709" spans="1:16" x14ac:dyDescent="0.2">
      <c r="A709">
        <v>708</v>
      </c>
      <c r="B709">
        <v>3877783251</v>
      </c>
      <c r="C709" t="s">
        <v>6</v>
      </c>
      <c r="D709" t="s">
        <v>1</v>
      </c>
      <c r="E709" t="s">
        <v>53</v>
      </c>
      <c r="F709" t="s">
        <v>22</v>
      </c>
      <c r="G709" s="2">
        <f>VLOOKUP(F709,mappings!$G$2:$H$6,2,FALSE)</f>
        <v>1</v>
      </c>
      <c r="H709" t="s">
        <v>43</v>
      </c>
      <c r="I709" s="2">
        <f>VLOOKUP(H709,mappings!$D$2:$E$6,2,FALSE)</f>
        <v>4</v>
      </c>
      <c r="J709" t="s">
        <v>10</v>
      </c>
      <c r="K709" t="s">
        <v>13</v>
      </c>
      <c r="L709" s="2">
        <f>VLOOKUP(K709,mappings!$A$2:$B$13,2,FALSE)</f>
        <v>11</v>
      </c>
      <c r="M709" t="s">
        <v>30</v>
      </c>
      <c r="N709" t="str">
        <f>VLOOKUP(E709,mappings!$L$1:$M$110,2,FALSE)</f>
        <v>The Weather Channel</v>
      </c>
      <c r="O709" t="str">
        <f>VLOOKUP(E709,mappings!L:O,3,FALSE)</f>
        <v>App</v>
      </c>
      <c r="P709" t="str">
        <f>VLOOKUP(E709,mappings!L:P,4,FALSE)</f>
        <v>Other or unkown</v>
      </c>
    </row>
    <row r="710" spans="1:16" x14ac:dyDescent="0.2">
      <c r="A710">
        <v>709</v>
      </c>
      <c r="B710">
        <v>3877781305</v>
      </c>
      <c r="C710" t="s">
        <v>6</v>
      </c>
      <c r="D710" t="s">
        <v>31</v>
      </c>
      <c r="E710" t="s">
        <v>8</v>
      </c>
      <c r="F710" t="s">
        <v>22</v>
      </c>
      <c r="G710" s="2">
        <f>VLOOKUP(F710,mappings!$G$2:$H$6,2,FALSE)</f>
        <v>1</v>
      </c>
      <c r="H710" t="s">
        <v>43</v>
      </c>
      <c r="I710" s="2">
        <f>VLOOKUP(H710,mappings!$D$2:$E$6,2,FALSE)</f>
        <v>4</v>
      </c>
      <c r="J710" t="s">
        <v>10</v>
      </c>
      <c r="K710" t="s">
        <v>23</v>
      </c>
      <c r="L710" s="2">
        <f>VLOOKUP(K710,mappings!$A$2:$B$13,2,FALSE)</f>
        <v>3</v>
      </c>
      <c r="M710" t="s">
        <v>15</v>
      </c>
      <c r="N710" t="str">
        <f>VLOOKUP(E710,mappings!$L$1:$M$110,2,FALSE)</f>
        <v>No answer provided</v>
      </c>
      <c r="O710" t="str">
        <f>VLOOKUP(E710,mappings!L:O,3,FALSE)</f>
        <v>No answer provided</v>
      </c>
      <c r="P710" t="str">
        <f>VLOOKUP(E710,mappings!L:P,4,FALSE)</f>
        <v>No answer provided</v>
      </c>
    </row>
    <row r="711" spans="1:16" x14ac:dyDescent="0.2">
      <c r="A711">
        <v>710</v>
      </c>
      <c r="B711">
        <v>3877781123</v>
      </c>
      <c r="C711" t="s">
        <v>6</v>
      </c>
      <c r="D711" t="s">
        <v>41</v>
      </c>
      <c r="E711" t="s">
        <v>8</v>
      </c>
      <c r="F711" t="s">
        <v>9</v>
      </c>
      <c r="G711" s="2">
        <f>VLOOKUP(F711,mappings!$G$2:$H$6,2,FALSE)</f>
        <v>4</v>
      </c>
      <c r="H711" t="s">
        <v>163</v>
      </c>
      <c r="I711" s="2">
        <f>VLOOKUP(H711,mappings!$D$2:$E$6,2,FALSE)</f>
        <v>3</v>
      </c>
      <c r="J711" t="s">
        <v>10</v>
      </c>
      <c r="K711" t="s">
        <v>47</v>
      </c>
      <c r="L711" s="2">
        <f>VLOOKUP(K711,mappings!$A$2:$B$13,2,FALSE)</f>
        <v>9</v>
      </c>
      <c r="M711" t="s">
        <v>38</v>
      </c>
      <c r="N711" t="str">
        <f>VLOOKUP(E711,mappings!$L$1:$M$110,2,FALSE)</f>
        <v>No answer provided</v>
      </c>
      <c r="O711" t="str">
        <f>VLOOKUP(E711,mappings!L:O,3,FALSE)</f>
        <v>No answer provided</v>
      </c>
      <c r="P711" t="str">
        <f>VLOOKUP(E711,mappings!L:P,4,FALSE)</f>
        <v>No answer provided</v>
      </c>
    </row>
    <row r="712" spans="1:16" x14ac:dyDescent="0.2">
      <c r="A712">
        <v>711</v>
      </c>
      <c r="B712">
        <v>3877779376</v>
      </c>
      <c r="C712" t="s">
        <v>6</v>
      </c>
      <c r="D712" t="s">
        <v>1</v>
      </c>
      <c r="E712" t="s">
        <v>139</v>
      </c>
      <c r="F712" t="s">
        <v>16</v>
      </c>
      <c r="G712" s="2">
        <f>VLOOKUP(F712,mappings!$G$2:$H$6,2,FALSE)</f>
        <v>3</v>
      </c>
      <c r="H712" t="s">
        <v>161</v>
      </c>
      <c r="I712" s="2">
        <f>VLOOKUP(H712,mappings!$D$2:$E$6,2,FALSE)</f>
        <v>2</v>
      </c>
      <c r="J712" t="s">
        <v>36</v>
      </c>
      <c r="K712" t="s">
        <v>23</v>
      </c>
      <c r="L712" s="2">
        <f>VLOOKUP(K712,mappings!$A$2:$B$13,2,FALSE)</f>
        <v>3</v>
      </c>
      <c r="M712" t="s">
        <v>12</v>
      </c>
      <c r="N712" t="str">
        <f>VLOOKUP(E712,mappings!$L$1:$M$110,2,FALSE)</f>
        <v>The Weather Channel</v>
      </c>
      <c r="O712" t="str">
        <f>VLOOKUP(E712,mappings!L:O,3,FALSE)</f>
        <v>Website</v>
      </c>
      <c r="P712" t="str">
        <f>VLOOKUP(E712,mappings!L:P,4,FALSE)</f>
        <v>Other or unkown</v>
      </c>
    </row>
    <row r="713" spans="1:16" x14ac:dyDescent="0.2">
      <c r="A713">
        <v>712</v>
      </c>
      <c r="B713">
        <v>3877778622</v>
      </c>
      <c r="C713" t="s">
        <v>6</v>
      </c>
      <c r="D713" t="s">
        <v>31</v>
      </c>
      <c r="E713" t="s">
        <v>8</v>
      </c>
      <c r="F713" t="s">
        <v>16</v>
      </c>
      <c r="G713" s="2">
        <f>VLOOKUP(F713,mappings!$G$2:$H$6,2,FALSE)</f>
        <v>3</v>
      </c>
      <c r="H713" t="s">
        <v>161</v>
      </c>
      <c r="I713" s="2">
        <f>VLOOKUP(H713,mappings!$D$2:$E$6,2,FALSE)</f>
        <v>2</v>
      </c>
      <c r="J713" t="s">
        <v>36</v>
      </c>
      <c r="K713" t="s">
        <v>23</v>
      </c>
      <c r="L713" s="2">
        <f>VLOOKUP(K713,mappings!$A$2:$B$13,2,FALSE)</f>
        <v>3</v>
      </c>
      <c r="M713" t="s">
        <v>25</v>
      </c>
      <c r="N713" t="str">
        <f>VLOOKUP(E713,mappings!$L$1:$M$110,2,FALSE)</f>
        <v>No answer provided</v>
      </c>
      <c r="O713" t="str">
        <f>VLOOKUP(E713,mappings!L:O,3,FALSE)</f>
        <v>No answer provided</v>
      </c>
      <c r="P713" t="str">
        <f>VLOOKUP(E713,mappings!L:P,4,FALSE)</f>
        <v>No answer provided</v>
      </c>
    </row>
    <row r="714" spans="1:16" x14ac:dyDescent="0.2">
      <c r="A714">
        <v>713</v>
      </c>
      <c r="B714">
        <v>3877777746</v>
      </c>
      <c r="C714" t="s">
        <v>6</v>
      </c>
      <c r="D714" t="s">
        <v>1</v>
      </c>
      <c r="E714" t="s">
        <v>140</v>
      </c>
      <c r="F714" t="s">
        <v>9</v>
      </c>
      <c r="G714" s="2">
        <f>VLOOKUP(F714,mappings!$G$2:$H$6,2,FALSE)</f>
        <v>4</v>
      </c>
      <c r="H714" t="s">
        <v>162</v>
      </c>
      <c r="I714" s="2">
        <f>VLOOKUP(H714,mappings!$D$2:$E$6,2,FALSE)</f>
        <v>1</v>
      </c>
      <c r="J714" t="s">
        <v>36</v>
      </c>
      <c r="K714" t="s">
        <v>33</v>
      </c>
      <c r="L714" s="2">
        <f>VLOOKUP(K714,mappings!$A$2:$B$13,2,FALSE)</f>
        <v>5</v>
      </c>
      <c r="M714" t="s">
        <v>38</v>
      </c>
      <c r="N714" t="str">
        <f>VLOOKUP(E714,mappings!$L$1:$M$110,2,FALSE)</f>
        <v>Yahoo</v>
      </c>
      <c r="O714" t="str">
        <f>VLOOKUP(E714,mappings!L:O,3,FALSE)</f>
        <v>App</v>
      </c>
      <c r="P714" t="str">
        <f>VLOOKUP(E714,mappings!L:P,4,FALSE)</f>
        <v>Apple</v>
      </c>
    </row>
    <row r="715" spans="1:16" x14ac:dyDescent="0.2">
      <c r="A715">
        <v>714</v>
      </c>
      <c r="B715">
        <v>3877775605</v>
      </c>
      <c r="C715" t="s">
        <v>6</v>
      </c>
      <c r="D715" t="s">
        <v>31</v>
      </c>
      <c r="E715" t="s">
        <v>8</v>
      </c>
      <c r="F715" t="s">
        <v>9</v>
      </c>
      <c r="G715" s="2">
        <f>VLOOKUP(F715,mappings!$G$2:$H$6,2,FALSE)</f>
        <v>4</v>
      </c>
      <c r="H715" t="s">
        <v>43</v>
      </c>
      <c r="I715" s="2">
        <f>VLOOKUP(H715,mappings!$D$2:$E$6,2,FALSE)</f>
        <v>4</v>
      </c>
      <c r="J715" t="s">
        <v>36</v>
      </c>
      <c r="K715" t="s">
        <v>33</v>
      </c>
      <c r="L715" s="2">
        <f>VLOOKUP(K715,mappings!$A$2:$B$13,2,FALSE)</f>
        <v>5</v>
      </c>
      <c r="M715" t="s">
        <v>34</v>
      </c>
      <c r="N715" t="str">
        <f>VLOOKUP(E715,mappings!$L$1:$M$110,2,FALSE)</f>
        <v>No answer provided</v>
      </c>
      <c r="O715" t="str">
        <f>VLOOKUP(E715,mappings!L:O,3,FALSE)</f>
        <v>No answer provided</v>
      </c>
      <c r="P715" t="str">
        <f>VLOOKUP(E715,mappings!L:P,4,FALSE)</f>
        <v>No answer provided</v>
      </c>
    </row>
    <row r="716" spans="1:16" x14ac:dyDescent="0.2">
      <c r="A716">
        <v>715</v>
      </c>
      <c r="B716">
        <v>3877775230</v>
      </c>
      <c r="C716" t="s">
        <v>26</v>
      </c>
      <c r="D716" t="s">
        <v>31</v>
      </c>
      <c r="E716" t="s">
        <v>8</v>
      </c>
      <c r="F716" t="s">
        <v>9</v>
      </c>
      <c r="G716" s="2">
        <f>VLOOKUP(F716,mappings!$G$2:$H$6,2,FALSE)</f>
        <v>4</v>
      </c>
      <c r="H716" t="s">
        <v>163</v>
      </c>
      <c r="I716" s="2">
        <f>VLOOKUP(H716,mappings!$D$2:$E$6,2,FALSE)</f>
        <v>3</v>
      </c>
      <c r="J716" t="s">
        <v>36</v>
      </c>
      <c r="K716" t="s">
        <v>13</v>
      </c>
      <c r="L716" s="2">
        <f>VLOOKUP(K716,mappings!$A$2:$B$13,2,FALSE)</f>
        <v>11</v>
      </c>
      <c r="M716" t="s">
        <v>30</v>
      </c>
      <c r="N716" t="str">
        <f>VLOOKUP(E716,mappings!$L$1:$M$110,2,FALSE)</f>
        <v>No answer provided</v>
      </c>
      <c r="O716" t="str">
        <f>VLOOKUP(E716,mappings!L:O,3,FALSE)</f>
        <v>No answer provided</v>
      </c>
      <c r="P716" t="str">
        <f>VLOOKUP(E716,mappings!L:P,4,FALSE)</f>
        <v>No answer provided</v>
      </c>
    </row>
    <row r="717" spans="1:16" x14ac:dyDescent="0.2">
      <c r="A717">
        <v>716</v>
      </c>
      <c r="B717">
        <v>3877775208</v>
      </c>
      <c r="C717" t="s">
        <v>6</v>
      </c>
      <c r="D717" t="s">
        <v>31</v>
      </c>
      <c r="E717" t="s">
        <v>8</v>
      </c>
      <c r="F717" t="s">
        <v>9</v>
      </c>
      <c r="G717" s="2">
        <f>VLOOKUP(F717,mappings!$G$2:$H$6,2,FALSE)</f>
        <v>4</v>
      </c>
      <c r="H717" t="s">
        <v>43</v>
      </c>
      <c r="I717" s="2">
        <f>VLOOKUP(H717,mappings!$D$2:$E$6,2,FALSE)</f>
        <v>4</v>
      </c>
      <c r="J717" t="s">
        <v>10</v>
      </c>
      <c r="K717" t="s">
        <v>14</v>
      </c>
      <c r="L717" s="2">
        <f>VLOOKUP(K717,mappings!$A$2:$B$13,2,FALSE)</f>
        <v>6</v>
      </c>
      <c r="M717" t="s">
        <v>12</v>
      </c>
      <c r="N717" t="str">
        <f>VLOOKUP(E717,mappings!$L$1:$M$110,2,FALSE)</f>
        <v>No answer provided</v>
      </c>
      <c r="O717" t="str">
        <f>VLOOKUP(E717,mappings!L:O,3,FALSE)</f>
        <v>No answer provided</v>
      </c>
      <c r="P717" t="str">
        <f>VLOOKUP(E717,mappings!L:P,4,FALSE)</f>
        <v>No answer provided</v>
      </c>
    </row>
    <row r="718" spans="1:16" x14ac:dyDescent="0.2">
      <c r="A718">
        <v>717</v>
      </c>
      <c r="B718">
        <v>3877771309</v>
      </c>
      <c r="C718" t="s">
        <v>6</v>
      </c>
      <c r="D718" t="s">
        <v>31</v>
      </c>
      <c r="E718" t="s">
        <v>8</v>
      </c>
      <c r="F718" t="s">
        <v>9</v>
      </c>
      <c r="G718" s="2">
        <f>VLOOKUP(F718,mappings!$G$2:$H$6,2,FALSE)</f>
        <v>4</v>
      </c>
      <c r="H718" t="s">
        <v>161</v>
      </c>
      <c r="I718" s="2">
        <f>VLOOKUP(H718,mappings!$D$2:$E$6,2,FALSE)</f>
        <v>2</v>
      </c>
      <c r="J718" t="s">
        <v>36</v>
      </c>
      <c r="K718" t="s">
        <v>33</v>
      </c>
      <c r="L718" s="2">
        <f>VLOOKUP(K718,mappings!$A$2:$B$13,2,FALSE)</f>
        <v>5</v>
      </c>
      <c r="M718" t="s">
        <v>30</v>
      </c>
      <c r="N718" t="str">
        <f>VLOOKUP(E718,mappings!$L$1:$M$110,2,FALSE)</f>
        <v>No answer provided</v>
      </c>
      <c r="O718" t="str">
        <f>VLOOKUP(E718,mappings!L:O,3,FALSE)</f>
        <v>No answer provided</v>
      </c>
      <c r="P718" t="str">
        <f>VLOOKUP(E718,mappings!L:P,4,FALSE)</f>
        <v>No answer provided</v>
      </c>
    </row>
    <row r="719" spans="1:16" x14ac:dyDescent="0.2">
      <c r="A719">
        <v>718</v>
      </c>
      <c r="B719">
        <v>3877771155</v>
      </c>
      <c r="C719" t="s">
        <v>6</v>
      </c>
      <c r="D719" t="s">
        <v>1</v>
      </c>
      <c r="E719" t="s">
        <v>141</v>
      </c>
      <c r="F719" t="s">
        <v>9</v>
      </c>
      <c r="G719" s="2">
        <f>VLOOKUP(F719,mappings!$G$2:$H$6,2,FALSE)</f>
        <v>4</v>
      </c>
      <c r="H719" t="s">
        <v>43</v>
      </c>
      <c r="I719" s="2">
        <f>VLOOKUP(H719,mappings!$D$2:$E$6,2,FALSE)</f>
        <v>4</v>
      </c>
      <c r="J719" t="s">
        <v>36</v>
      </c>
      <c r="K719" t="s">
        <v>11</v>
      </c>
      <c r="L719" s="2">
        <f>VLOOKUP(K719,mappings!$A$2:$B$13,2,FALSE)</f>
        <v>4</v>
      </c>
      <c r="M719" t="s">
        <v>20</v>
      </c>
      <c r="N719" t="str">
        <f>VLOOKUP(E719,mappings!$L$1:$M$110,2,FALSE)</f>
        <v>Yahoo</v>
      </c>
      <c r="O719" t="str">
        <f>VLOOKUP(E719,mappings!L:O,3,FALSE)</f>
        <v>App</v>
      </c>
      <c r="P719" t="str">
        <f>VLOOKUP(E719,mappings!L:P,4,FALSE)</f>
        <v>Apple</v>
      </c>
    </row>
    <row r="720" spans="1:16" x14ac:dyDescent="0.2">
      <c r="A720">
        <v>719</v>
      </c>
      <c r="B720">
        <v>3877769359</v>
      </c>
      <c r="C720" t="s">
        <v>26</v>
      </c>
      <c r="D720" t="s">
        <v>7</v>
      </c>
      <c r="E720" t="s">
        <v>8</v>
      </c>
      <c r="F720" t="s">
        <v>16</v>
      </c>
      <c r="G720" s="2">
        <f>VLOOKUP(F720,mappings!$G$2:$H$6,2,FALSE)</f>
        <v>3</v>
      </c>
      <c r="H720" t="s">
        <v>162</v>
      </c>
      <c r="I720" s="2">
        <f>VLOOKUP(H720,mappings!$D$2:$E$6,2,FALSE)</f>
        <v>1</v>
      </c>
      <c r="J720" t="s">
        <v>36</v>
      </c>
      <c r="K720" t="s">
        <v>23</v>
      </c>
      <c r="L720" s="2">
        <f>VLOOKUP(K720,mappings!$A$2:$B$13,2,FALSE)</f>
        <v>3</v>
      </c>
      <c r="M720" t="s">
        <v>12</v>
      </c>
      <c r="N720" t="str">
        <f>VLOOKUP(E720,mappings!$L$1:$M$110,2,FALSE)</f>
        <v>No answer provided</v>
      </c>
      <c r="O720" t="str">
        <f>VLOOKUP(E720,mappings!L:O,3,FALSE)</f>
        <v>No answer provided</v>
      </c>
      <c r="P720" t="str">
        <f>VLOOKUP(E720,mappings!L:P,4,FALSE)</f>
        <v>No answer provided</v>
      </c>
    </row>
    <row r="721" spans="1:16" x14ac:dyDescent="0.2">
      <c r="A721">
        <v>720</v>
      </c>
      <c r="B721">
        <v>3877768869</v>
      </c>
      <c r="C721" t="s">
        <v>6</v>
      </c>
      <c r="D721" t="s">
        <v>1</v>
      </c>
      <c r="E721" t="s">
        <v>142</v>
      </c>
      <c r="F721" t="s">
        <v>16</v>
      </c>
      <c r="G721" s="2">
        <f>VLOOKUP(F721,mappings!$G$2:$H$6,2,FALSE)</f>
        <v>3</v>
      </c>
      <c r="H721" t="s">
        <v>162</v>
      </c>
      <c r="I721" s="2">
        <f>VLOOKUP(H721,mappings!$D$2:$E$6,2,FALSE)</f>
        <v>1</v>
      </c>
      <c r="J721" t="s">
        <v>36</v>
      </c>
      <c r="K721" t="s">
        <v>18</v>
      </c>
      <c r="L721" s="2">
        <f>VLOOKUP(K721,mappings!$A$2:$B$13,2,FALSE)</f>
        <v>8</v>
      </c>
      <c r="M721" t="s">
        <v>15</v>
      </c>
      <c r="N721" t="str">
        <f>VLOOKUP(E721,mappings!$L$1:$M$110,2,FALSE)</f>
        <v>Weather Underground</v>
      </c>
      <c r="O721" t="str">
        <f>VLOOKUP(E721,mappings!L:O,3,FALSE)</f>
        <v>Website</v>
      </c>
      <c r="P721" t="str">
        <f>VLOOKUP(E721,mappings!L:P,4,FALSE)</f>
        <v>Other or unkown</v>
      </c>
    </row>
    <row r="722" spans="1:16" x14ac:dyDescent="0.2">
      <c r="A722">
        <v>721</v>
      </c>
      <c r="B722">
        <v>3877767444</v>
      </c>
      <c r="C722" t="s">
        <v>6</v>
      </c>
      <c r="D722" t="s">
        <v>7</v>
      </c>
      <c r="E722" t="s">
        <v>8</v>
      </c>
      <c r="F722" t="s">
        <v>9</v>
      </c>
      <c r="G722" s="2">
        <f>VLOOKUP(F722,mappings!$G$2:$H$6,2,FALSE)</f>
        <v>4</v>
      </c>
      <c r="H722" t="s">
        <v>163</v>
      </c>
      <c r="I722" s="2">
        <f>VLOOKUP(H722,mappings!$D$2:$E$6,2,FALSE)</f>
        <v>3</v>
      </c>
      <c r="J722" t="s">
        <v>36</v>
      </c>
      <c r="K722" t="s">
        <v>13</v>
      </c>
      <c r="L722" s="2">
        <f>VLOOKUP(K722,mappings!$A$2:$B$13,2,FALSE)</f>
        <v>11</v>
      </c>
      <c r="M722" t="s">
        <v>25</v>
      </c>
      <c r="N722" t="str">
        <f>VLOOKUP(E722,mappings!$L$1:$M$110,2,FALSE)</f>
        <v>No answer provided</v>
      </c>
      <c r="O722" t="str">
        <f>VLOOKUP(E722,mappings!L:O,3,FALSE)</f>
        <v>No answer provided</v>
      </c>
      <c r="P722" t="str">
        <f>VLOOKUP(E722,mappings!L:P,4,FALSE)</f>
        <v>No answer provided</v>
      </c>
    </row>
    <row r="723" spans="1:16" x14ac:dyDescent="0.2">
      <c r="A723">
        <v>722</v>
      </c>
      <c r="B723">
        <v>3877767366</v>
      </c>
      <c r="C723" t="s">
        <v>6</v>
      </c>
      <c r="D723" t="s">
        <v>27</v>
      </c>
      <c r="E723" t="s">
        <v>8</v>
      </c>
      <c r="F723" t="s">
        <v>9</v>
      </c>
      <c r="G723" s="2">
        <f>VLOOKUP(F723,mappings!$G$2:$H$6,2,FALSE)</f>
        <v>4</v>
      </c>
      <c r="H723" t="s">
        <v>43</v>
      </c>
      <c r="I723" s="2">
        <f>VLOOKUP(H723,mappings!$D$2:$E$6,2,FALSE)</f>
        <v>4</v>
      </c>
      <c r="J723" t="s">
        <v>10</v>
      </c>
      <c r="K723" t="s">
        <v>14</v>
      </c>
      <c r="L723" s="2">
        <f>VLOOKUP(K723,mappings!$A$2:$B$13,2,FALSE)</f>
        <v>6</v>
      </c>
      <c r="M723" t="s">
        <v>15</v>
      </c>
      <c r="N723" t="str">
        <f>VLOOKUP(E723,mappings!$L$1:$M$110,2,FALSE)</f>
        <v>No answer provided</v>
      </c>
      <c r="O723" t="str">
        <f>VLOOKUP(E723,mappings!L:O,3,FALSE)</f>
        <v>No answer provided</v>
      </c>
      <c r="P723" t="str">
        <f>VLOOKUP(E723,mappings!L:P,4,FALSE)</f>
        <v>No answer provided</v>
      </c>
    </row>
    <row r="724" spans="1:16" x14ac:dyDescent="0.2">
      <c r="A724">
        <v>723</v>
      </c>
      <c r="B724">
        <v>3877764882</v>
      </c>
      <c r="C724" t="s">
        <v>6</v>
      </c>
      <c r="D724" t="s">
        <v>31</v>
      </c>
      <c r="E724" t="s">
        <v>8</v>
      </c>
      <c r="F724" t="s">
        <v>16</v>
      </c>
      <c r="G724" s="2">
        <f>VLOOKUP(F724,mappings!$G$2:$H$6,2,FALSE)</f>
        <v>3</v>
      </c>
      <c r="H724" t="s">
        <v>43</v>
      </c>
      <c r="I724" s="2">
        <f>VLOOKUP(H724,mappings!$D$2:$E$6,2,FALSE)</f>
        <v>4</v>
      </c>
      <c r="J724" t="s">
        <v>36</v>
      </c>
      <c r="K724" t="s">
        <v>33</v>
      </c>
      <c r="L724" s="2">
        <f>VLOOKUP(K724,mappings!$A$2:$B$13,2,FALSE)</f>
        <v>5</v>
      </c>
      <c r="M724" t="s">
        <v>20</v>
      </c>
      <c r="N724" t="str">
        <f>VLOOKUP(E724,mappings!$L$1:$M$110,2,FALSE)</f>
        <v>No answer provided</v>
      </c>
      <c r="O724" t="str">
        <f>VLOOKUP(E724,mappings!L:O,3,FALSE)</f>
        <v>No answer provided</v>
      </c>
      <c r="P724" t="str">
        <f>VLOOKUP(E724,mappings!L:P,4,FALSE)</f>
        <v>No answer provided</v>
      </c>
    </row>
    <row r="725" spans="1:16" x14ac:dyDescent="0.2">
      <c r="A725">
        <v>724</v>
      </c>
      <c r="B725">
        <v>3877762163</v>
      </c>
      <c r="C725" t="s">
        <v>6</v>
      </c>
      <c r="D725" t="s">
        <v>31</v>
      </c>
      <c r="E725" t="s">
        <v>8</v>
      </c>
      <c r="F725" t="s">
        <v>9</v>
      </c>
      <c r="G725" s="2">
        <f>VLOOKUP(F725,mappings!$G$2:$H$6,2,FALSE)</f>
        <v>4</v>
      </c>
      <c r="H725" t="s">
        <v>163</v>
      </c>
      <c r="I725" s="2">
        <f>VLOOKUP(H725,mappings!$D$2:$E$6,2,FALSE)</f>
        <v>3</v>
      </c>
      <c r="J725" t="s">
        <v>10</v>
      </c>
      <c r="K725" t="s">
        <v>23</v>
      </c>
      <c r="L725" s="2">
        <f>VLOOKUP(K725,mappings!$A$2:$B$13,2,FALSE)</f>
        <v>3</v>
      </c>
      <c r="M725" t="s">
        <v>20</v>
      </c>
      <c r="N725" t="str">
        <f>VLOOKUP(E725,mappings!$L$1:$M$110,2,FALSE)</f>
        <v>No answer provided</v>
      </c>
      <c r="O725" t="str">
        <f>VLOOKUP(E725,mappings!L:O,3,FALSE)</f>
        <v>No answer provided</v>
      </c>
      <c r="P725" t="str">
        <f>VLOOKUP(E725,mappings!L:P,4,FALSE)</f>
        <v>No answer provided</v>
      </c>
    </row>
    <row r="726" spans="1:16" x14ac:dyDescent="0.2">
      <c r="A726">
        <v>725</v>
      </c>
      <c r="B726">
        <v>3877760068</v>
      </c>
      <c r="C726" t="s">
        <v>26</v>
      </c>
      <c r="D726" t="s">
        <v>1</v>
      </c>
      <c r="E726" t="s">
        <v>143</v>
      </c>
      <c r="F726" t="s">
        <v>16</v>
      </c>
      <c r="G726" s="2">
        <f>VLOOKUP(F726,mappings!$G$2:$H$6,2,FALSE)</f>
        <v>3</v>
      </c>
      <c r="H726" t="s">
        <v>161</v>
      </c>
      <c r="I726" s="2">
        <f>VLOOKUP(H726,mappings!$D$2:$E$6,2,FALSE)</f>
        <v>2</v>
      </c>
      <c r="J726" t="s">
        <v>36</v>
      </c>
      <c r="K726" t="s">
        <v>48</v>
      </c>
      <c r="L726" s="2">
        <f>VLOOKUP(K726,mappings!$A$2:$B$13,2,FALSE)</f>
        <v>7</v>
      </c>
      <c r="M726" t="s">
        <v>24</v>
      </c>
      <c r="N726" t="str">
        <f>VLOOKUP(E726,mappings!$L$1:$M$110,2,FALSE)</f>
        <v>None</v>
      </c>
      <c r="O726" t="str">
        <f>VLOOKUP(E726,mappings!L:O,3,FALSE)</f>
        <v>None</v>
      </c>
      <c r="P726" t="str">
        <f>VLOOKUP(E726,mappings!L:P,4,FALSE)</f>
        <v>Other or unkown</v>
      </c>
    </row>
    <row r="727" spans="1:16" x14ac:dyDescent="0.2">
      <c r="A727">
        <v>726</v>
      </c>
      <c r="B727">
        <v>3877755586</v>
      </c>
      <c r="C727" t="s">
        <v>6</v>
      </c>
      <c r="D727" t="s">
        <v>31</v>
      </c>
      <c r="E727" t="s">
        <v>8</v>
      </c>
      <c r="F727" t="s">
        <v>16</v>
      </c>
      <c r="G727" s="2">
        <f>VLOOKUP(F727,mappings!$G$2:$H$6,2,FALSE)</f>
        <v>3</v>
      </c>
      <c r="H727" t="s">
        <v>43</v>
      </c>
      <c r="I727" s="2">
        <f>VLOOKUP(H727,mappings!$D$2:$E$6,2,FALSE)</f>
        <v>4</v>
      </c>
      <c r="J727" t="s">
        <v>10</v>
      </c>
      <c r="K727" t="s">
        <v>32</v>
      </c>
      <c r="L727" s="2">
        <f>VLOOKUP(K727,mappings!$A$2:$B$13,2,FALSE)</f>
        <v>2</v>
      </c>
      <c r="M727" t="s">
        <v>24</v>
      </c>
      <c r="N727" t="str">
        <f>VLOOKUP(E727,mappings!$L$1:$M$110,2,FALSE)</f>
        <v>No answer provided</v>
      </c>
      <c r="O727" t="str">
        <f>VLOOKUP(E727,mappings!L:O,3,FALSE)</f>
        <v>No answer provided</v>
      </c>
      <c r="P727" t="str">
        <f>VLOOKUP(E727,mappings!L:P,4,FALSE)</f>
        <v>No answer provided</v>
      </c>
    </row>
    <row r="728" spans="1:16" x14ac:dyDescent="0.2">
      <c r="A728">
        <v>727</v>
      </c>
      <c r="B728">
        <v>3877755146</v>
      </c>
      <c r="C728" t="s">
        <v>6</v>
      </c>
      <c r="D728" t="s">
        <v>21</v>
      </c>
      <c r="E728" t="s">
        <v>8</v>
      </c>
      <c r="F728" t="s">
        <v>16</v>
      </c>
      <c r="G728" s="2">
        <f>VLOOKUP(F728,mappings!$G$2:$H$6,2,FALSE)</f>
        <v>3</v>
      </c>
      <c r="H728" t="s">
        <v>43</v>
      </c>
      <c r="I728" s="2">
        <f>VLOOKUP(H728,mappings!$D$2:$E$6,2,FALSE)</f>
        <v>4</v>
      </c>
      <c r="J728" t="s">
        <v>10</v>
      </c>
      <c r="K728" t="s">
        <v>11</v>
      </c>
      <c r="L728" s="2">
        <f>VLOOKUP(K728,mappings!$A$2:$B$13,2,FALSE)</f>
        <v>4</v>
      </c>
      <c r="M728" t="s">
        <v>25</v>
      </c>
      <c r="N728" t="str">
        <f>VLOOKUP(E728,mappings!$L$1:$M$110,2,FALSE)</f>
        <v>No answer provided</v>
      </c>
      <c r="O728" t="str">
        <f>VLOOKUP(E728,mappings!L:O,3,FALSE)</f>
        <v>No answer provided</v>
      </c>
      <c r="P728" t="str">
        <f>VLOOKUP(E728,mappings!L:P,4,FALSE)</f>
        <v>No answer provided</v>
      </c>
    </row>
    <row r="729" spans="1:16" x14ac:dyDescent="0.2">
      <c r="A729">
        <v>728</v>
      </c>
      <c r="B729">
        <v>3877754981</v>
      </c>
      <c r="C729" t="s">
        <v>6</v>
      </c>
      <c r="D729" t="s">
        <v>31</v>
      </c>
      <c r="E729" t="s">
        <v>8</v>
      </c>
      <c r="F729" t="s">
        <v>9</v>
      </c>
      <c r="G729" s="2">
        <f>VLOOKUP(F729,mappings!$G$2:$H$6,2,FALSE)</f>
        <v>4</v>
      </c>
      <c r="H729" t="s">
        <v>163</v>
      </c>
      <c r="I729" s="2">
        <f>VLOOKUP(H729,mappings!$D$2:$E$6,2,FALSE)</f>
        <v>3</v>
      </c>
      <c r="J729" t="s">
        <v>10</v>
      </c>
      <c r="K729" t="s">
        <v>11</v>
      </c>
      <c r="L729" s="2">
        <f>VLOOKUP(K729,mappings!$A$2:$B$13,2,FALSE)</f>
        <v>4</v>
      </c>
      <c r="M729" t="s">
        <v>15</v>
      </c>
      <c r="N729" t="str">
        <f>VLOOKUP(E729,mappings!$L$1:$M$110,2,FALSE)</f>
        <v>No answer provided</v>
      </c>
      <c r="O729" t="str">
        <f>VLOOKUP(E729,mappings!L:O,3,FALSE)</f>
        <v>No answer provided</v>
      </c>
      <c r="P729" t="str">
        <f>VLOOKUP(E729,mappings!L:P,4,FALSE)</f>
        <v>No answer provided</v>
      </c>
    </row>
    <row r="730" spans="1:16" x14ac:dyDescent="0.2">
      <c r="A730">
        <v>729</v>
      </c>
      <c r="B730">
        <v>3877754345</v>
      </c>
      <c r="C730" t="s">
        <v>6</v>
      </c>
      <c r="D730" t="s">
        <v>31</v>
      </c>
      <c r="E730" t="s">
        <v>8</v>
      </c>
      <c r="F730" t="s">
        <v>22</v>
      </c>
      <c r="G730" s="2">
        <f>VLOOKUP(F730,mappings!$G$2:$H$6,2,FALSE)</f>
        <v>1</v>
      </c>
      <c r="H730" t="s">
        <v>43</v>
      </c>
      <c r="I730" s="2">
        <f>VLOOKUP(H730,mappings!$D$2:$E$6,2,FALSE)</f>
        <v>4</v>
      </c>
      <c r="J730" t="s">
        <v>36</v>
      </c>
      <c r="K730" t="s">
        <v>13</v>
      </c>
      <c r="L730" s="2">
        <f>VLOOKUP(K730,mappings!$A$2:$B$13,2,FALSE)</f>
        <v>11</v>
      </c>
      <c r="M730" t="s">
        <v>15</v>
      </c>
      <c r="N730" t="str">
        <f>VLOOKUP(E730,mappings!$L$1:$M$110,2,FALSE)</f>
        <v>No answer provided</v>
      </c>
      <c r="O730" t="str">
        <f>VLOOKUP(E730,mappings!L:O,3,FALSE)</f>
        <v>No answer provided</v>
      </c>
      <c r="P730" t="str">
        <f>VLOOKUP(E730,mappings!L:P,4,FALSE)</f>
        <v>No answer provided</v>
      </c>
    </row>
    <row r="731" spans="1:16" x14ac:dyDescent="0.2">
      <c r="A731">
        <v>730</v>
      </c>
      <c r="B731">
        <v>3877754281</v>
      </c>
      <c r="C731" t="s">
        <v>6</v>
      </c>
      <c r="D731" t="s">
        <v>1</v>
      </c>
      <c r="E731" t="s">
        <v>142</v>
      </c>
      <c r="F731" t="s">
        <v>9</v>
      </c>
      <c r="G731" s="2">
        <f>VLOOKUP(F731,mappings!$G$2:$H$6,2,FALSE)</f>
        <v>4</v>
      </c>
      <c r="H731" t="s">
        <v>163</v>
      </c>
      <c r="I731" s="2">
        <f>VLOOKUP(H731,mappings!$D$2:$E$6,2,FALSE)</f>
        <v>3</v>
      </c>
      <c r="J731" t="s">
        <v>36</v>
      </c>
      <c r="K731" t="s">
        <v>47</v>
      </c>
      <c r="L731" s="2">
        <f>VLOOKUP(K731,mappings!$A$2:$B$13,2,FALSE)</f>
        <v>9</v>
      </c>
      <c r="M731" t="s">
        <v>24</v>
      </c>
      <c r="N731" t="str">
        <f>VLOOKUP(E731,mappings!$L$1:$M$110,2,FALSE)</f>
        <v>Weather Underground</v>
      </c>
      <c r="O731" t="str">
        <f>VLOOKUP(E731,mappings!L:O,3,FALSE)</f>
        <v>Website</v>
      </c>
      <c r="P731" t="str">
        <f>VLOOKUP(E731,mappings!L:P,4,FALSE)</f>
        <v>Other or unkown</v>
      </c>
    </row>
    <row r="732" spans="1:16" x14ac:dyDescent="0.2">
      <c r="A732">
        <v>731</v>
      </c>
      <c r="B732">
        <v>3877752751</v>
      </c>
      <c r="C732" t="s">
        <v>6</v>
      </c>
      <c r="D732" t="s">
        <v>7</v>
      </c>
      <c r="E732" t="s">
        <v>8</v>
      </c>
      <c r="F732" t="s">
        <v>16</v>
      </c>
      <c r="G732" s="2">
        <f>VLOOKUP(F732,mappings!$G$2:$H$6,2,FALSE)</f>
        <v>3</v>
      </c>
      <c r="H732" t="s">
        <v>163</v>
      </c>
      <c r="I732" s="2">
        <f>VLOOKUP(H732,mappings!$D$2:$E$6,2,FALSE)</f>
        <v>3</v>
      </c>
      <c r="J732" t="s">
        <v>36</v>
      </c>
      <c r="K732" t="s">
        <v>32</v>
      </c>
      <c r="L732" s="2">
        <f>VLOOKUP(K732,mappings!$A$2:$B$13,2,FALSE)</f>
        <v>2</v>
      </c>
      <c r="M732" t="s">
        <v>24</v>
      </c>
      <c r="N732" t="str">
        <f>VLOOKUP(E732,mappings!$L$1:$M$110,2,FALSE)</f>
        <v>No answer provided</v>
      </c>
      <c r="O732" t="str">
        <f>VLOOKUP(E732,mappings!L:O,3,FALSE)</f>
        <v>No answer provided</v>
      </c>
      <c r="P732" t="str">
        <f>VLOOKUP(E732,mappings!L:P,4,FALSE)</f>
        <v>No answer provided</v>
      </c>
    </row>
    <row r="733" spans="1:16" x14ac:dyDescent="0.2">
      <c r="A733">
        <v>732</v>
      </c>
      <c r="B733">
        <v>3877751637</v>
      </c>
      <c r="C733" t="s">
        <v>6</v>
      </c>
      <c r="D733" t="s">
        <v>7</v>
      </c>
      <c r="E733" t="s">
        <v>8</v>
      </c>
      <c r="F733" t="s">
        <v>9</v>
      </c>
      <c r="G733" s="2">
        <f>VLOOKUP(F733,mappings!$G$2:$H$6,2,FALSE)</f>
        <v>4</v>
      </c>
      <c r="H733" t="s">
        <v>162</v>
      </c>
      <c r="I733" s="2">
        <f>VLOOKUP(H733,mappings!$D$2:$E$6,2,FALSE)</f>
        <v>1</v>
      </c>
      <c r="J733" t="s">
        <v>36</v>
      </c>
      <c r="K733" t="s">
        <v>33</v>
      </c>
      <c r="L733" s="2">
        <f>VLOOKUP(K733,mappings!$A$2:$B$13,2,FALSE)</f>
        <v>5</v>
      </c>
      <c r="M733" t="s">
        <v>24</v>
      </c>
      <c r="N733" t="str">
        <f>VLOOKUP(E733,mappings!$L$1:$M$110,2,FALSE)</f>
        <v>No answer provided</v>
      </c>
      <c r="O733" t="str">
        <f>VLOOKUP(E733,mappings!L:O,3,FALSE)</f>
        <v>No answer provided</v>
      </c>
      <c r="P733" t="str">
        <f>VLOOKUP(E733,mappings!L:P,4,FALSE)</f>
        <v>No answer provided</v>
      </c>
    </row>
    <row r="734" spans="1:16" x14ac:dyDescent="0.2">
      <c r="A734">
        <v>733</v>
      </c>
      <c r="B734">
        <v>3877750962</v>
      </c>
      <c r="C734" t="s">
        <v>6</v>
      </c>
      <c r="D734" t="s">
        <v>31</v>
      </c>
      <c r="E734" t="s">
        <v>8</v>
      </c>
      <c r="F734" t="s">
        <v>28</v>
      </c>
      <c r="G734" s="2">
        <f>VLOOKUP(F734,mappings!$G$2:$H$6,2,FALSE)</f>
        <v>2</v>
      </c>
      <c r="H734" t="s">
        <v>163</v>
      </c>
      <c r="I734" s="2">
        <f>VLOOKUP(H734,mappings!$D$2:$E$6,2,FALSE)</f>
        <v>3</v>
      </c>
      <c r="J734" t="s">
        <v>36</v>
      </c>
      <c r="K734" t="s">
        <v>11</v>
      </c>
      <c r="L734" s="2">
        <f>VLOOKUP(K734,mappings!$A$2:$B$13,2,FALSE)</f>
        <v>4</v>
      </c>
      <c r="M734" t="s">
        <v>42</v>
      </c>
      <c r="N734" t="str">
        <f>VLOOKUP(E734,mappings!$L$1:$M$110,2,FALSE)</f>
        <v>No answer provided</v>
      </c>
      <c r="O734" t="str">
        <f>VLOOKUP(E734,mappings!L:O,3,FALSE)</f>
        <v>No answer provided</v>
      </c>
      <c r="P734" t="str">
        <f>VLOOKUP(E734,mappings!L:P,4,FALSE)</f>
        <v>No answer provided</v>
      </c>
    </row>
    <row r="735" spans="1:16" x14ac:dyDescent="0.2">
      <c r="A735">
        <v>734</v>
      </c>
      <c r="B735">
        <v>3877750724</v>
      </c>
      <c r="C735" t="s">
        <v>26</v>
      </c>
      <c r="D735" t="s">
        <v>21</v>
      </c>
      <c r="E735" t="s">
        <v>8</v>
      </c>
      <c r="F735" t="s">
        <v>9</v>
      </c>
      <c r="G735" s="2">
        <f>VLOOKUP(F735,mappings!$G$2:$H$6,2,FALSE)</f>
        <v>4</v>
      </c>
      <c r="H735" t="s">
        <v>161</v>
      </c>
      <c r="I735" s="2">
        <f>VLOOKUP(H735,mappings!$D$2:$E$6,2,FALSE)</f>
        <v>2</v>
      </c>
      <c r="J735" t="s">
        <v>36</v>
      </c>
      <c r="K735" t="s">
        <v>23</v>
      </c>
      <c r="L735" s="2">
        <f>VLOOKUP(K735,mappings!$A$2:$B$13,2,FALSE)</f>
        <v>3</v>
      </c>
      <c r="M735" t="s">
        <v>42</v>
      </c>
      <c r="N735" t="str">
        <f>VLOOKUP(E735,mappings!$L$1:$M$110,2,FALSE)</f>
        <v>No answer provided</v>
      </c>
      <c r="O735" t="str">
        <f>VLOOKUP(E735,mappings!L:O,3,FALSE)</f>
        <v>No answer provided</v>
      </c>
      <c r="P735" t="str">
        <f>VLOOKUP(E735,mappings!L:P,4,FALSE)</f>
        <v>No answer provided</v>
      </c>
    </row>
    <row r="736" spans="1:16" x14ac:dyDescent="0.2">
      <c r="A736">
        <v>735</v>
      </c>
      <c r="B736">
        <v>3877748205</v>
      </c>
      <c r="C736" t="s">
        <v>26</v>
      </c>
      <c r="D736" t="s">
        <v>27</v>
      </c>
      <c r="E736" t="s">
        <v>8</v>
      </c>
      <c r="F736" t="s">
        <v>16</v>
      </c>
      <c r="G736" s="2">
        <f>VLOOKUP(F736,mappings!$G$2:$H$6,2,FALSE)</f>
        <v>3</v>
      </c>
      <c r="H736" t="s">
        <v>162</v>
      </c>
      <c r="I736" s="2">
        <f>VLOOKUP(H736,mappings!$D$2:$E$6,2,FALSE)</f>
        <v>1</v>
      </c>
      <c r="J736" t="s">
        <v>36</v>
      </c>
      <c r="K736" t="s">
        <v>32</v>
      </c>
      <c r="L736" s="2">
        <f>VLOOKUP(K736,mappings!$A$2:$B$13,2,FALSE)</f>
        <v>2</v>
      </c>
      <c r="M736" t="s">
        <v>38</v>
      </c>
      <c r="N736" t="str">
        <f>VLOOKUP(E736,mappings!$L$1:$M$110,2,FALSE)</f>
        <v>No answer provided</v>
      </c>
      <c r="O736" t="str">
        <f>VLOOKUP(E736,mappings!L:O,3,FALSE)</f>
        <v>No answer provided</v>
      </c>
      <c r="P736" t="str">
        <f>VLOOKUP(E736,mappings!L:P,4,FALSE)</f>
        <v>No answer provided</v>
      </c>
    </row>
    <row r="737" spans="1:16" x14ac:dyDescent="0.2">
      <c r="A737">
        <v>736</v>
      </c>
      <c r="B737">
        <v>3877747724</v>
      </c>
      <c r="C737" t="s">
        <v>6</v>
      </c>
      <c r="D737" t="s">
        <v>7</v>
      </c>
      <c r="E737" t="s">
        <v>8</v>
      </c>
      <c r="F737" t="s">
        <v>9</v>
      </c>
      <c r="G737" s="2">
        <f>VLOOKUP(F737,mappings!$G$2:$H$6,2,FALSE)</f>
        <v>4</v>
      </c>
      <c r="H737" t="s">
        <v>162</v>
      </c>
      <c r="I737" s="2">
        <f>VLOOKUP(H737,mappings!$D$2:$E$6,2,FALSE)</f>
        <v>1</v>
      </c>
      <c r="J737" t="s">
        <v>36</v>
      </c>
      <c r="K737" t="s">
        <v>32</v>
      </c>
      <c r="L737" s="2">
        <f>VLOOKUP(K737,mappings!$A$2:$B$13,2,FALSE)</f>
        <v>2</v>
      </c>
      <c r="M737" t="s">
        <v>30</v>
      </c>
      <c r="N737" t="str">
        <f>VLOOKUP(E737,mappings!$L$1:$M$110,2,FALSE)</f>
        <v>No answer provided</v>
      </c>
      <c r="O737" t="str">
        <f>VLOOKUP(E737,mappings!L:O,3,FALSE)</f>
        <v>No answer provided</v>
      </c>
      <c r="P737" t="str">
        <f>VLOOKUP(E737,mappings!L:P,4,FALSE)</f>
        <v>No answer provided</v>
      </c>
    </row>
    <row r="738" spans="1:16" x14ac:dyDescent="0.2">
      <c r="A738">
        <v>737</v>
      </c>
      <c r="B738">
        <v>3877746061</v>
      </c>
      <c r="C738" t="s">
        <v>6</v>
      </c>
      <c r="D738" t="s">
        <v>7</v>
      </c>
      <c r="E738" t="s">
        <v>8</v>
      </c>
      <c r="F738" t="s">
        <v>22</v>
      </c>
      <c r="G738" s="2">
        <f>VLOOKUP(F738,mappings!$G$2:$H$6,2,FALSE)</f>
        <v>1</v>
      </c>
      <c r="H738" t="s">
        <v>161</v>
      </c>
      <c r="I738" s="2">
        <f>VLOOKUP(H738,mappings!$D$2:$E$6,2,FALSE)</f>
        <v>2</v>
      </c>
      <c r="J738" t="s">
        <v>36</v>
      </c>
      <c r="K738" t="s">
        <v>29</v>
      </c>
      <c r="L738" s="2">
        <f>VLOOKUP(K738,mappings!$A$2:$B$13,2,FALSE)</f>
        <v>1</v>
      </c>
      <c r="M738" t="s">
        <v>42</v>
      </c>
      <c r="N738" t="str">
        <f>VLOOKUP(E738,mappings!$L$1:$M$110,2,FALSE)</f>
        <v>No answer provided</v>
      </c>
      <c r="O738" t="str">
        <f>VLOOKUP(E738,mappings!L:O,3,FALSE)</f>
        <v>No answer provided</v>
      </c>
      <c r="P738" t="str">
        <f>VLOOKUP(E738,mappings!L:P,4,FALSE)</f>
        <v>No answer provided</v>
      </c>
    </row>
    <row r="739" spans="1:16" x14ac:dyDescent="0.2">
      <c r="A739">
        <v>738</v>
      </c>
      <c r="B739">
        <v>3877744514</v>
      </c>
      <c r="C739" t="s">
        <v>6</v>
      </c>
      <c r="D739" t="s">
        <v>21</v>
      </c>
      <c r="E739" t="s">
        <v>8</v>
      </c>
      <c r="F739" t="s">
        <v>9</v>
      </c>
      <c r="G739" s="2">
        <f>VLOOKUP(F739,mappings!$G$2:$H$6,2,FALSE)</f>
        <v>4</v>
      </c>
      <c r="H739" t="s">
        <v>162</v>
      </c>
      <c r="I739" s="2">
        <f>VLOOKUP(H739,mappings!$D$2:$E$6,2,FALSE)</f>
        <v>1</v>
      </c>
      <c r="J739" t="s">
        <v>36</v>
      </c>
      <c r="K739" t="s">
        <v>32</v>
      </c>
      <c r="L739" s="2">
        <f>VLOOKUP(K739,mappings!$A$2:$B$13,2,FALSE)</f>
        <v>2</v>
      </c>
      <c r="M739" t="s">
        <v>30</v>
      </c>
      <c r="N739" t="str">
        <f>VLOOKUP(E739,mappings!$L$1:$M$110,2,FALSE)</f>
        <v>No answer provided</v>
      </c>
      <c r="O739" t="str">
        <f>VLOOKUP(E739,mappings!L:O,3,FALSE)</f>
        <v>No answer provided</v>
      </c>
      <c r="P739" t="str">
        <f>VLOOKUP(E739,mappings!L:P,4,FALSE)</f>
        <v>No answer provided</v>
      </c>
    </row>
    <row r="740" spans="1:16" x14ac:dyDescent="0.2">
      <c r="A740">
        <v>739</v>
      </c>
      <c r="B740">
        <v>3877744055</v>
      </c>
      <c r="C740" t="s">
        <v>6</v>
      </c>
      <c r="D740" t="s">
        <v>40</v>
      </c>
      <c r="E740" t="s">
        <v>8</v>
      </c>
      <c r="F740" t="s">
        <v>22</v>
      </c>
      <c r="G740" s="2">
        <f>VLOOKUP(F740,mappings!$G$2:$H$6,2,FALSE)</f>
        <v>1</v>
      </c>
      <c r="H740" t="s">
        <v>43</v>
      </c>
      <c r="I740" s="2">
        <f>VLOOKUP(H740,mappings!$D$2:$E$6,2,FALSE)</f>
        <v>4</v>
      </c>
      <c r="J740" t="s">
        <v>10</v>
      </c>
      <c r="K740" t="s">
        <v>13</v>
      </c>
      <c r="L740" s="2">
        <f>VLOOKUP(K740,mappings!$A$2:$B$13,2,FALSE)</f>
        <v>11</v>
      </c>
      <c r="M740" t="s">
        <v>24</v>
      </c>
      <c r="N740" t="str">
        <f>VLOOKUP(E740,mappings!$L$1:$M$110,2,FALSE)</f>
        <v>No answer provided</v>
      </c>
      <c r="O740" t="str">
        <f>VLOOKUP(E740,mappings!L:O,3,FALSE)</f>
        <v>No answer provided</v>
      </c>
      <c r="P740" t="str">
        <f>VLOOKUP(E740,mappings!L:P,4,FALSE)</f>
        <v>No answer provided</v>
      </c>
    </row>
    <row r="741" spans="1:16" x14ac:dyDescent="0.2">
      <c r="A741">
        <v>740</v>
      </c>
      <c r="B741">
        <v>3877743862</v>
      </c>
      <c r="C741" t="s">
        <v>6</v>
      </c>
      <c r="D741" t="s">
        <v>1</v>
      </c>
      <c r="E741" t="s">
        <v>37</v>
      </c>
      <c r="F741" t="s">
        <v>9</v>
      </c>
      <c r="G741" s="2">
        <f>VLOOKUP(F741,mappings!$G$2:$H$6,2,FALSE)</f>
        <v>4</v>
      </c>
      <c r="H741" t="s">
        <v>163</v>
      </c>
      <c r="I741" s="2">
        <f>VLOOKUP(H741,mappings!$D$2:$E$6,2,FALSE)</f>
        <v>3</v>
      </c>
      <c r="J741" t="s">
        <v>36</v>
      </c>
      <c r="K741" t="s">
        <v>13</v>
      </c>
      <c r="L741" s="2">
        <f>VLOOKUP(K741,mappings!$A$2:$B$13,2,FALSE)</f>
        <v>11</v>
      </c>
      <c r="M741" t="s">
        <v>12</v>
      </c>
      <c r="N741" t="str">
        <f>VLOOKUP(E741,mappings!$L$1:$M$110,2,FALSE)</f>
        <v>The Weather Channel</v>
      </c>
      <c r="O741" t="str">
        <f>VLOOKUP(E741,mappings!L:O,3,FALSE)</f>
        <v>Website</v>
      </c>
      <c r="P741" t="str">
        <f>VLOOKUP(E741,mappings!L:P,4,FALSE)</f>
        <v>Other or unkown</v>
      </c>
    </row>
    <row r="742" spans="1:16" x14ac:dyDescent="0.2">
      <c r="A742">
        <v>741</v>
      </c>
      <c r="B742">
        <v>3877741292</v>
      </c>
      <c r="C742" t="s">
        <v>26</v>
      </c>
      <c r="D742" t="s">
        <v>7</v>
      </c>
      <c r="E742" t="s">
        <v>8</v>
      </c>
      <c r="F742" t="s">
        <v>16</v>
      </c>
      <c r="G742" s="2">
        <f>VLOOKUP(F742,mappings!$G$2:$H$6,2,FALSE)</f>
        <v>3</v>
      </c>
      <c r="H742" t="s">
        <v>162</v>
      </c>
      <c r="I742" s="2">
        <f>VLOOKUP(H742,mappings!$D$2:$E$6,2,FALSE)</f>
        <v>1</v>
      </c>
      <c r="J742" t="s">
        <v>36</v>
      </c>
      <c r="K742" t="s">
        <v>11</v>
      </c>
      <c r="L742" s="2">
        <f>VLOOKUP(K742,mappings!$A$2:$B$13,2,FALSE)</f>
        <v>4</v>
      </c>
      <c r="M742" t="s">
        <v>30</v>
      </c>
      <c r="N742" t="str">
        <f>VLOOKUP(E742,mappings!$L$1:$M$110,2,FALSE)</f>
        <v>No answer provided</v>
      </c>
      <c r="O742" t="str">
        <f>VLOOKUP(E742,mappings!L:O,3,FALSE)</f>
        <v>No answer provided</v>
      </c>
      <c r="P742" t="str">
        <f>VLOOKUP(E742,mappings!L:P,4,FALSE)</f>
        <v>No answer provided</v>
      </c>
    </row>
    <row r="743" spans="1:16" x14ac:dyDescent="0.2">
      <c r="A743">
        <v>742</v>
      </c>
      <c r="B743">
        <v>3877740013</v>
      </c>
      <c r="C743" t="s">
        <v>26</v>
      </c>
      <c r="D743" t="s">
        <v>1</v>
      </c>
      <c r="E743" t="s">
        <v>144</v>
      </c>
      <c r="F743" t="s">
        <v>9</v>
      </c>
      <c r="G743" s="2">
        <f>VLOOKUP(F743,mappings!$G$2:$H$6,2,FALSE)</f>
        <v>4</v>
      </c>
      <c r="H743" t="s">
        <v>162</v>
      </c>
      <c r="I743" s="2">
        <f>VLOOKUP(H743,mappings!$D$2:$E$6,2,FALSE)</f>
        <v>1</v>
      </c>
      <c r="J743" t="s">
        <v>36</v>
      </c>
      <c r="K743" t="s">
        <v>39</v>
      </c>
      <c r="L743" s="2">
        <f>VLOOKUP(K743,mappings!$A$2:$B$13,2,FALSE)</f>
        <v>10</v>
      </c>
      <c r="M743" t="s">
        <v>30</v>
      </c>
      <c r="N743" t="str">
        <f>VLOOKUP(E743,mappings!$L$1:$M$110,2,FALSE)</f>
        <v>Yahoo</v>
      </c>
      <c r="O743" t="str">
        <f>VLOOKUP(E743,mappings!L:O,3,FALSE)</f>
        <v>App</v>
      </c>
      <c r="P743" t="str">
        <f>VLOOKUP(E743,mappings!L:P,4,FALSE)</f>
        <v>Apple</v>
      </c>
    </row>
    <row r="744" spans="1:16" x14ac:dyDescent="0.2">
      <c r="A744">
        <v>743</v>
      </c>
      <c r="B744">
        <v>3877739642</v>
      </c>
      <c r="C744" t="s">
        <v>6</v>
      </c>
      <c r="D744" t="s">
        <v>7</v>
      </c>
      <c r="E744" t="s">
        <v>8</v>
      </c>
      <c r="F744" t="s">
        <v>9</v>
      </c>
      <c r="G744" s="2">
        <f>VLOOKUP(F744,mappings!$G$2:$H$6,2,FALSE)</f>
        <v>4</v>
      </c>
      <c r="H744" t="s">
        <v>162</v>
      </c>
      <c r="I744" s="2">
        <f>VLOOKUP(H744,mappings!$D$2:$E$6,2,FALSE)</f>
        <v>1</v>
      </c>
      <c r="J744" t="s">
        <v>36</v>
      </c>
      <c r="K744" t="s">
        <v>23</v>
      </c>
      <c r="L744" s="2">
        <f>VLOOKUP(K744,mappings!$A$2:$B$13,2,FALSE)</f>
        <v>3</v>
      </c>
      <c r="M744" t="s">
        <v>38</v>
      </c>
      <c r="N744" t="str">
        <f>VLOOKUP(E744,mappings!$L$1:$M$110,2,FALSE)</f>
        <v>No answer provided</v>
      </c>
      <c r="O744" t="str">
        <f>VLOOKUP(E744,mappings!L:O,3,FALSE)</f>
        <v>No answer provided</v>
      </c>
      <c r="P744" t="str">
        <f>VLOOKUP(E744,mappings!L:P,4,FALSE)</f>
        <v>No answer provided</v>
      </c>
    </row>
    <row r="745" spans="1:16" x14ac:dyDescent="0.2">
      <c r="A745">
        <v>744</v>
      </c>
      <c r="B745">
        <v>3877739070</v>
      </c>
      <c r="C745" t="s">
        <v>26</v>
      </c>
      <c r="D745" t="s">
        <v>31</v>
      </c>
      <c r="E745" t="s">
        <v>8</v>
      </c>
      <c r="F745" t="s">
        <v>28</v>
      </c>
      <c r="G745" s="2">
        <f>VLOOKUP(F745,mappings!$G$2:$H$6,2,FALSE)</f>
        <v>2</v>
      </c>
      <c r="H745" t="s">
        <v>43</v>
      </c>
      <c r="I745" s="2">
        <f>VLOOKUP(H745,mappings!$D$2:$E$6,2,FALSE)</f>
        <v>4</v>
      </c>
      <c r="J745" t="s">
        <v>10</v>
      </c>
      <c r="K745" t="s">
        <v>14</v>
      </c>
      <c r="L745" s="2">
        <f>VLOOKUP(K745,mappings!$A$2:$B$13,2,FALSE)</f>
        <v>6</v>
      </c>
      <c r="M745" t="s">
        <v>30</v>
      </c>
      <c r="N745" t="str">
        <f>VLOOKUP(E745,mappings!$L$1:$M$110,2,FALSE)</f>
        <v>No answer provided</v>
      </c>
      <c r="O745" t="str">
        <f>VLOOKUP(E745,mappings!L:O,3,FALSE)</f>
        <v>No answer provided</v>
      </c>
      <c r="P745" t="str">
        <f>VLOOKUP(E745,mappings!L:P,4,FALSE)</f>
        <v>No answer provided</v>
      </c>
    </row>
    <row r="746" spans="1:16" x14ac:dyDescent="0.2">
      <c r="A746">
        <v>745</v>
      </c>
      <c r="B746">
        <v>3877737885</v>
      </c>
      <c r="C746" t="s">
        <v>6</v>
      </c>
      <c r="D746" t="s">
        <v>27</v>
      </c>
      <c r="E746" t="s">
        <v>8</v>
      </c>
      <c r="F746" t="s">
        <v>22</v>
      </c>
      <c r="G746" s="2">
        <f>VLOOKUP(F746,mappings!$G$2:$H$6,2,FALSE)</f>
        <v>1</v>
      </c>
      <c r="H746" t="s">
        <v>43</v>
      </c>
      <c r="I746" s="2">
        <f>VLOOKUP(H746,mappings!$D$2:$E$6,2,FALSE)</f>
        <v>4</v>
      </c>
      <c r="J746" t="s">
        <v>10</v>
      </c>
      <c r="K746" t="s">
        <v>33</v>
      </c>
      <c r="L746" s="2">
        <f>VLOOKUP(K746,mappings!$A$2:$B$13,2,FALSE)</f>
        <v>5</v>
      </c>
      <c r="M746" t="s">
        <v>30</v>
      </c>
      <c r="N746" t="str">
        <f>VLOOKUP(E746,mappings!$L$1:$M$110,2,FALSE)</f>
        <v>No answer provided</v>
      </c>
      <c r="O746" t="str">
        <f>VLOOKUP(E746,mappings!L:O,3,FALSE)</f>
        <v>No answer provided</v>
      </c>
      <c r="P746" t="str">
        <f>VLOOKUP(E746,mappings!L:P,4,FALSE)</f>
        <v>No answer provided</v>
      </c>
    </row>
    <row r="747" spans="1:16" x14ac:dyDescent="0.2">
      <c r="A747">
        <v>746</v>
      </c>
      <c r="B747">
        <v>3877735171</v>
      </c>
      <c r="C747" t="s">
        <v>6</v>
      </c>
      <c r="D747" t="s">
        <v>27</v>
      </c>
      <c r="E747" t="s">
        <v>8</v>
      </c>
      <c r="F747" t="s">
        <v>9</v>
      </c>
      <c r="G747" s="2">
        <f>VLOOKUP(F747,mappings!$G$2:$H$6,2,FALSE)</f>
        <v>4</v>
      </c>
      <c r="H747" t="s">
        <v>163</v>
      </c>
      <c r="I747" s="2">
        <f>VLOOKUP(H747,mappings!$D$2:$E$6,2,FALSE)</f>
        <v>3</v>
      </c>
      <c r="J747" t="s">
        <v>10</v>
      </c>
      <c r="K747" t="s">
        <v>39</v>
      </c>
      <c r="L747" s="2">
        <f>VLOOKUP(K747,mappings!$A$2:$B$13,2,FALSE)</f>
        <v>10</v>
      </c>
      <c r="M747" t="s">
        <v>34</v>
      </c>
      <c r="N747" t="str">
        <f>VLOOKUP(E747,mappings!$L$1:$M$110,2,FALSE)</f>
        <v>No answer provided</v>
      </c>
      <c r="O747" t="str">
        <f>VLOOKUP(E747,mappings!L:O,3,FALSE)</f>
        <v>No answer provided</v>
      </c>
      <c r="P747" t="str">
        <f>VLOOKUP(E747,mappings!L:P,4,FALSE)</f>
        <v>No answer provided</v>
      </c>
    </row>
    <row r="748" spans="1:16" x14ac:dyDescent="0.2">
      <c r="A748">
        <v>747</v>
      </c>
      <c r="B748">
        <v>3877732662</v>
      </c>
      <c r="C748" t="s">
        <v>26</v>
      </c>
      <c r="D748" t="s">
        <v>31</v>
      </c>
      <c r="E748" t="s">
        <v>8</v>
      </c>
      <c r="F748" t="s">
        <v>16</v>
      </c>
      <c r="G748" s="2">
        <f>VLOOKUP(F748,mappings!$G$2:$H$6,2,FALSE)</f>
        <v>3</v>
      </c>
      <c r="H748" t="s">
        <v>163</v>
      </c>
      <c r="I748" s="2">
        <f>VLOOKUP(H748,mappings!$D$2:$E$6,2,FALSE)</f>
        <v>3</v>
      </c>
      <c r="J748" t="s">
        <v>36</v>
      </c>
      <c r="K748" t="s">
        <v>32</v>
      </c>
      <c r="L748" s="2">
        <f>VLOOKUP(K748,mappings!$A$2:$B$13,2,FALSE)</f>
        <v>2</v>
      </c>
      <c r="M748" t="s">
        <v>42</v>
      </c>
      <c r="N748" t="str">
        <f>VLOOKUP(E748,mappings!$L$1:$M$110,2,FALSE)</f>
        <v>No answer provided</v>
      </c>
      <c r="O748" t="str">
        <f>VLOOKUP(E748,mappings!L:O,3,FALSE)</f>
        <v>No answer provided</v>
      </c>
      <c r="P748" t="str">
        <f>VLOOKUP(E748,mappings!L:P,4,FALSE)</f>
        <v>No answer provided</v>
      </c>
    </row>
    <row r="749" spans="1:16" x14ac:dyDescent="0.2">
      <c r="A749">
        <v>748</v>
      </c>
      <c r="B749">
        <v>3877732160</v>
      </c>
      <c r="C749" t="s">
        <v>6</v>
      </c>
      <c r="D749" t="s">
        <v>1</v>
      </c>
      <c r="E749" t="s">
        <v>145</v>
      </c>
      <c r="F749" t="s">
        <v>16</v>
      </c>
      <c r="G749" s="2">
        <f>VLOOKUP(F749,mappings!$G$2:$H$6,2,FALSE)</f>
        <v>3</v>
      </c>
      <c r="H749" t="s">
        <v>161</v>
      </c>
      <c r="I749" s="2">
        <f>VLOOKUP(H749,mappings!$D$2:$E$6,2,FALSE)</f>
        <v>2</v>
      </c>
      <c r="J749" t="s">
        <v>36</v>
      </c>
      <c r="K749" t="s">
        <v>18</v>
      </c>
      <c r="L749" s="2">
        <f>VLOOKUP(K749,mappings!$A$2:$B$13,2,FALSE)</f>
        <v>8</v>
      </c>
      <c r="M749" t="s">
        <v>20</v>
      </c>
      <c r="N749" t="str">
        <f>VLOOKUP(E749,mappings!$L$1:$M$110,2,FALSE)</f>
        <v>Other search engines</v>
      </c>
      <c r="O749" t="str">
        <f>VLOOKUP(E749,mappings!L:O,3,FALSE)</f>
        <v>App</v>
      </c>
      <c r="P749" t="str">
        <f>VLOOKUP(E749,mappings!L:P,4,FALSE)</f>
        <v>Android</v>
      </c>
    </row>
    <row r="750" spans="1:16" x14ac:dyDescent="0.2">
      <c r="A750">
        <v>749</v>
      </c>
      <c r="B750">
        <v>3877731939</v>
      </c>
      <c r="C750" t="s">
        <v>6</v>
      </c>
      <c r="D750" t="s">
        <v>21</v>
      </c>
      <c r="E750" t="s">
        <v>8</v>
      </c>
      <c r="F750" t="s">
        <v>28</v>
      </c>
      <c r="G750" s="2">
        <f>VLOOKUP(F750,mappings!$G$2:$H$6,2,FALSE)</f>
        <v>2</v>
      </c>
      <c r="H750" t="s">
        <v>163</v>
      </c>
      <c r="I750" s="2">
        <f>VLOOKUP(H750,mappings!$D$2:$E$6,2,FALSE)</f>
        <v>3</v>
      </c>
      <c r="J750" t="s">
        <v>10</v>
      </c>
      <c r="K750" t="s">
        <v>14</v>
      </c>
      <c r="L750" s="2">
        <f>VLOOKUP(K750,mappings!$A$2:$B$13,2,FALSE)</f>
        <v>6</v>
      </c>
      <c r="M750" t="s">
        <v>24</v>
      </c>
      <c r="N750" t="str">
        <f>VLOOKUP(E750,mappings!$L$1:$M$110,2,FALSE)</f>
        <v>No answer provided</v>
      </c>
      <c r="O750" t="str">
        <f>VLOOKUP(E750,mappings!L:O,3,FALSE)</f>
        <v>No answer provided</v>
      </c>
      <c r="P750" t="str">
        <f>VLOOKUP(E750,mappings!L:P,4,FALSE)</f>
        <v>No answer provided</v>
      </c>
    </row>
    <row r="751" spans="1:16" x14ac:dyDescent="0.2">
      <c r="A751">
        <v>750</v>
      </c>
      <c r="B751">
        <v>3877729075</v>
      </c>
      <c r="C751" t="s">
        <v>6</v>
      </c>
      <c r="D751" t="s">
        <v>21</v>
      </c>
      <c r="E751" t="s">
        <v>8</v>
      </c>
      <c r="F751" t="s">
        <v>9</v>
      </c>
      <c r="G751" s="2">
        <f>VLOOKUP(F751,mappings!$G$2:$H$6,2,FALSE)</f>
        <v>4</v>
      </c>
      <c r="H751" t="s">
        <v>163</v>
      </c>
      <c r="I751" s="2">
        <f>VLOOKUP(H751,mappings!$D$2:$E$6,2,FALSE)</f>
        <v>3</v>
      </c>
      <c r="J751" t="s">
        <v>36</v>
      </c>
      <c r="K751" t="s">
        <v>14</v>
      </c>
      <c r="L751" s="2">
        <f>VLOOKUP(K751,mappings!$A$2:$B$13,2,FALSE)</f>
        <v>6</v>
      </c>
      <c r="M751" t="s">
        <v>8</v>
      </c>
      <c r="N751" t="str">
        <f>VLOOKUP(E751,mappings!$L$1:$M$110,2,FALSE)</f>
        <v>No answer provided</v>
      </c>
      <c r="O751" t="str">
        <f>VLOOKUP(E751,mappings!L:O,3,FALSE)</f>
        <v>No answer provided</v>
      </c>
      <c r="P751" t="str">
        <f>VLOOKUP(E751,mappings!L:P,4,FALSE)</f>
        <v>No answer provided</v>
      </c>
    </row>
    <row r="752" spans="1:16" x14ac:dyDescent="0.2">
      <c r="A752">
        <v>751</v>
      </c>
      <c r="B752">
        <v>3877728804</v>
      </c>
      <c r="C752" t="s">
        <v>6</v>
      </c>
      <c r="D752" t="s">
        <v>7</v>
      </c>
      <c r="E752" t="s">
        <v>8</v>
      </c>
      <c r="F752" t="s">
        <v>9</v>
      </c>
      <c r="G752" s="2">
        <f>VLOOKUP(F752,mappings!$G$2:$H$6,2,FALSE)</f>
        <v>4</v>
      </c>
      <c r="H752" t="s">
        <v>43</v>
      </c>
      <c r="I752" s="2">
        <f>VLOOKUP(H752,mappings!$D$2:$E$6,2,FALSE)</f>
        <v>4</v>
      </c>
      <c r="J752" t="s">
        <v>10</v>
      </c>
      <c r="K752" t="s">
        <v>48</v>
      </c>
      <c r="L752" s="2">
        <f>VLOOKUP(K752,mappings!$A$2:$B$13,2,FALSE)</f>
        <v>7</v>
      </c>
      <c r="M752" t="s">
        <v>24</v>
      </c>
      <c r="N752" t="str">
        <f>VLOOKUP(E752,mappings!$L$1:$M$110,2,FALSE)</f>
        <v>No answer provided</v>
      </c>
      <c r="O752" t="str">
        <f>VLOOKUP(E752,mappings!L:O,3,FALSE)</f>
        <v>No answer provided</v>
      </c>
      <c r="P752" t="str">
        <f>VLOOKUP(E752,mappings!L:P,4,FALSE)</f>
        <v>No answer provided</v>
      </c>
    </row>
    <row r="753" spans="1:16" x14ac:dyDescent="0.2">
      <c r="A753">
        <v>752</v>
      </c>
      <c r="B753">
        <v>3877728487</v>
      </c>
      <c r="C753" t="s">
        <v>6</v>
      </c>
      <c r="D753" t="s">
        <v>21</v>
      </c>
      <c r="E753" t="s">
        <v>8</v>
      </c>
      <c r="F753" t="s">
        <v>22</v>
      </c>
      <c r="G753" s="2">
        <f>VLOOKUP(F753,mappings!$G$2:$H$6,2,FALSE)</f>
        <v>1</v>
      </c>
      <c r="H753" t="s">
        <v>162</v>
      </c>
      <c r="I753" s="2">
        <f>VLOOKUP(H753,mappings!$D$2:$E$6,2,FALSE)</f>
        <v>1</v>
      </c>
      <c r="J753" t="s">
        <v>36</v>
      </c>
      <c r="K753" t="s">
        <v>23</v>
      </c>
      <c r="L753" s="2">
        <f>VLOOKUP(K753,mappings!$A$2:$B$13,2,FALSE)</f>
        <v>3</v>
      </c>
      <c r="M753" t="s">
        <v>15</v>
      </c>
      <c r="N753" t="str">
        <f>VLOOKUP(E753,mappings!$L$1:$M$110,2,FALSE)</f>
        <v>No answer provided</v>
      </c>
      <c r="O753" t="str">
        <f>VLOOKUP(E753,mappings!L:O,3,FALSE)</f>
        <v>No answer provided</v>
      </c>
      <c r="P753" t="str">
        <f>VLOOKUP(E753,mappings!L:P,4,FALSE)</f>
        <v>No answer provided</v>
      </c>
    </row>
    <row r="754" spans="1:16" x14ac:dyDescent="0.2">
      <c r="A754">
        <v>753</v>
      </c>
      <c r="B754">
        <v>3877728042</v>
      </c>
      <c r="C754" t="s">
        <v>6</v>
      </c>
      <c r="D754" t="s">
        <v>7</v>
      </c>
      <c r="E754" t="s">
        <v>8</v>
      </c>
      <c r="F754" t="s">
        <v>28</v>
      </c>
      <c r="G754" s="2">
        <f>VLOOKUP(F754,mappings!$G$2:$H$6,2,FALSE)</f>
        <v>2</v>
      </c>
      <c r="H754" t="s">
        <v>163</v>
      </c>
      <c r="I754" s="2">
        <f>VLOOKUP(H754,mappings!$D$2:$E$6,2,FALSE)</f>
        <v>3</v>
      </c>
      <c r="J754" t="s">
        <v>36</v>
      </c>
      <c r="K754" t="s">
        <v>13</v>
      </c>
      <c r="L754" s="2">
        <f>VLOOKUP(K754,mappings!$A$2:$B$13,2,FALSE)</f>
        <v>11</v>
      </c>
      <c r="M754" t="s">
        <v>20</v>
      </c>
      <c r="N754" t="str">
        <f>VLOOKUP(E754,mappings!$L$1:$M$110,2,FALSE)</f>
        <v>No answer provided</v>
      </c>
      <c r="O754" t="str">
        <f>VLOOKUP(E754,mappings!L:O,3,FALSE)</f>
        <v>No answer provided</v>
      </c>
      <c r="P754" t="str">
        <f>VLOOKUP(E754,mappings!L:P,4,FALSE)</f>
        <v>No answer provided</v>
      </c>
    </row>
    <row r="755" spans="1:16" x14ac:dyDescent="0.2">
      <c r="A755">
        <v>754</v>
      </c>
      <c r="B755">
        <v>3877727777</v>
      </c>
      <c r="C755" t="s">
        <v>6</v>
      </c>
      <c r="D755" t="s">
        <v>7</v>
      </c>
      <c r="E755" t="s">
        <v>8</v>
      </c>
      <c r="F755" t="s">
        <v>9</v>
      </c>
      <c r="G755" s="2">
        <f>VLOOKUP(F755,mappings!$G$2:$H$6,2,FALSE)</f>
        <v>4</v>
      </c>
      <c r="H755" t="s">
        <v>163</v>
      </c>
      <c r="I755" s="2">
        <f>VLOOKUP(H755,mappings!$D$2:$E$6,2,FALSE)</f>
        <v>3</v>
      </c>
      <c r="J755" t="s">
        <v>36</v>
      </c>
      <c r="K755" t="s">
        <v>14</v>
      </c>
      <c r="L755" s="2">
        <f>VLOOKUP(K755,mappings!$A$2:$B$13,2,FALSE)</f>
        <v>6</v>
      </c>
      <c r="M755" t="s">
        <v>25</v>
      </c>
      <c r="N755" t="str">
        <f>VLOOKUP(E755,mappings!$L$1:$M$110,2,FALSE)</f>
        <v>No answer provided</v>
      </c>
      <c r="O755" t="str">
        <f>VLOOKUP(E755,mappings!L:O,3,FALSE)</f>
        <v>No answer provided</v>
      </c>
      <c r="P755" t="str">
        <f>VLOOKUP(E755,mappings!L:P,4,FALSE)</f>
        <v>No answer provided</v>
      </c>
    </row>
    <row r="756" spans="1:16" x14ac:dyDescent="0.2">
      <c r="A756">
        <v>755</v>
      </c>
      <c r="B756">
        <v>3877726824</v>
      </c>
      <c r="C756" t="s">
        <v>26</v>
      </c>
      <c r="D756" t="s">
        <v>31</v>
      </c>
      <c r="E756" t="s">
        <v>8</v>
      </c>
      <c r="F756" t="s">
        <v>22</v>
      </c>
      <c r="G756" s="2">
        <f>VLOOKUP(F756,mappings!$G$2:$H$6,2,FALSE)</f>
        <v>1</v>
      </c>
      <c r="H756" t="s">
        <v>163</v>
      </c>
      <c r="I756" s="2">
        <f>VLOOKUP(H756,mappings!$D$2:$E$6,2,FALSE)</f>
        <v>3</v>
      </c>
      <c r="J756" t="s">
        <v>36</v>
      </c>
      <c r="K756" t="s">
        <v>13</v>
      </c>
      <c r="L756" s="2">
        <f>VLOOKUP(K756,mappings!$A$2:$B$13,2,FALSE)</f>
        <v>11</v>
      </c>
      <c r="M756" t="s">
        <v>12</v>
      </c>
      <c r="N756" t="str">
        <f>VLOOKUP(E756,mappings!$L$1:$M$110,2,FALSE)</f>
        <v>No answer provided</v>
      </c>
      <c r="O756" t="str">
        <f>VLOOKUP(E756,mappings!L:O,3,FALSE)</f>
        <v>No answer provided</v>
      </c>
      <c r="P756" t="str">
        <f>VLOOKUP(E756,mappings!L:P,4,FALSE)</f>
        <v>No answer provided</v>
      </c>
    </row>
    <row r="757" spans="1:16" x14ac:dyDescent="0.2">
      <c r="A757">
        <v>756</v>
      </c>
      <c r="B757">
        <v>3877724934</v>
      </c>
      <c r="C757" t="s">
        <v>26</v>
      </c>
      <c r="D757" t="s">
        <v>21</v>
      </c>
      <c r="E757" t="s">
        <v>8</v>
      </c>
      <c r="F757" t="s">
        <v>22</v>
      </c>
      <c r="G757" s="2">
        <f>VLOOKUP(F757,mappings!$G$2:$H$6,2,FALSE)</f>
        <v>1</v>
      </c>
      <c r="H757" t="s">
        <v>43</v>
      </c>
      <c r="I757" s="2">
        <f>VLOOKUP(H757,mappings!$D$2:$E$6,2,FALSE)</f>
        <v>4</v>
      </c>
      <c r="J757" t="s">
        <v>36</v>
      </c>
      <c r="K757" t="s">
        <v>23</v>
      </c>
      <c r="L757" s="2">
        <f>VLOOKUP(K757,mappings!$A$2:$B$13,2,FALSE)</f>
        <v>3</v>
      </c>
      <c r="M757" t="s">
        <v>25</v>
      </c>
      <c r="N757" t="str">
        <f>VLOOKUP(E757,mappings!$L$1:$M$110,2,FALSE)</f>
        <v>No answer provided</v>
      </c>
      <c r="O757" t="str">
        <f>VLOOKUP(E757,mappings!L:O,3,FALSE)</f>
        <v>No answer provided</v>
      </c>
      <c r="P757" t="str">
        <f>VLOOKUP(E757,mappings!L:P,4,FALSE)</f>
        <v>No answer provided</v>
      </c>
    </row>
    <row r="758" spans="1:16" x14ac:dyDescent="0.2">
      <c r="A758">
        <v>757</v>
      </c>
      <c r="B758">
        <v>3877723968</v>
      </c>
      <c r="C758" t="s">
        <v>6</v>
      </c>
      <c r="D758" t="s">
        <v>27</v>
      </c>
      <c r="E758" t="s">
        <v>8</v>
      </c>
      <c r="F758" t="s">
        <v>16</v>
      </c>
      <c r="G758" s="2">
        <f>VLOOKUP(F758,mappings!$G$2:$H$6,2,FALSE)</f>
        <v>3</v>
      </c>
      <c r="H758" t="s">
        <v>43</v>
      </c>
      <c r="I758" s="2">
        <f>VLOOKUP(H758,mappings!$D$2:$E$6,2,FALSE)</f>
        <v>4</v>
      </c>
      <c r="J758" t="s">
        <v>10</v>
      </c>
      <c r="K758" t="s">
        <v>13</v>
      </c>
      <c r="L758" s="2">
        <f>VLOOKUP(K758,mappings!$A$2:$B$13,2,FALSE)</f>
        <v>11</v>
      </c>
      <c r="M758" t="s">
        <v>25</v>
      </c>
      <c r="N758" t="str">
        <f>VLOOKUP(E758,mappings!$L$1:$M$110,2,FALSE)</f>
        <v>No answer provided</v>
      </c>
      <c r="O758" t="str">
        <f>VLOOKUP(E758,mappings!L:O,3,FALSE)</f>
        <v>No answer provided</v>
      </c>
      <c r="P758" t="str">
        <f>VLOOKUP(E758,mappings!L:P,4,FALSE)</f>
        <v>No answer provided</v>
      </c>
    </row>
    <row r="759" spans="1:16" x14ac:dyDescent="0.2">
      <c r="A759">
        <v>758</v>
      </c>
      <c r="B759">
        <v>3877723964</v>
      </c>
      <c r="C759" t="s">
        <v>26</v>
      </c>
      <c r="D759" t="s">
        <v>27</v>
      </c>
      <c r="E759" t="s">
        <v>8</v>
      </c>
      <c r="F759" t="s">
        <v>22</v>
      </c>
      <c r="G759" s="2">
        <f>VLOOKUP(F759,mappings!$G$2:$H$6,2,FALSE)</f>
        <v>1</v>
      </c>
      <c r="H759" t="s">
        <v>161</v>
      </c>
      <c r="I759" s="2">
        <f>VLOOKUP(H759,mappings!$D$2:$E$6,2,FALSE)</f>
        <v>2</v>
      </c>
      <c r="J759" t="s">
        <v>36</v>
      </c>
      <c r="K759" t="s">
        <v>23</v>
      </c>
      <c r="L759" s="2">
        <f>VLOOKUP(K759,mappings!$A$2:$B$13,2,FALSE)</f>
        <v>3</v>
      </c>
      <c r="M759" t="s">
        <v>24</v>
      </c>
      <c r="N759" t="str">
        <f>VLOOKUP(E759,mappings!$L$1:$M$110,2,FALSE)</f>
        <v>No answer provided</v>
      </c>
      <c r="O759" t="str">
        <f>VLOOKUP(E759,mappings!L:O,3,FALSE)</f>
        <v>No answer provided</v>
      </c>
      <c r="P759" t="str">
        <f>VLOOKUP(E759,mappings!L:P,4,FALSE)</f>
        <v>No answer provided</v>
      </c>
    </row>
    <row r="760" spans="1:16" x14ac:dyDescent="0.2">
      <c r="A760">
        <v>759</v>
      </c>
      <c r="B760">
        <v>3877723322</v>
      </c>
      <c r="C760" t="s">
        <v>6</v>
      </c>
      <c r="D760" t="s">
        <v>1</v>
      </c>
      <c r="E760" t="s">
        <v>55</v>
      </c>
      <c r="F760" t="s">
        <v>22</v>
      </c>
      <c r="G760" s="2">
        <f>VLOOKUP(F760,mappings!$G$2:$H$6,2,FALSE)</f>
        <v>1</v>
      </c>
      <c r="H760" t="s">
        <v>163</v>
      </c>
      <c r="I760" s="2">
        <f>VLOOKUP(H760,mappings!$D$2:$E$6,2,FALSE)</f>
        <v>3</v>
      </c>
      <c r="J760" t="s">
        <v>10</v>
      </c>
      <c r="K760" t="s">
        <v>18</v>
      </c>
      <c r="L760" s="2">
        <f>VLOOKUP(K760,mappings!$A$2:$B$13,2,FALSE)</f>
        <v>8</v>
      </c>
      <c r="M760" t="s">
        <v>38</v>
      </c>
      <c r="N760" t="str">
        <f>VLOOKUP(E760,mappings!$L$1:$M$110,2,FALSE)</f>
        <v>Weather Underground</v>
      </c>
      <c r="O760" t="str">
        <f>VLOOKUP(E760,mappings!L:O,3,FALSE)</f>
        <v>Website</v>
      </c>
      <c r="P760" t="str">
        <f>VLOOKUP(E760,mappings!L:P,4,FALSE)</f>
        <v>Other or unkown</v>
      </c>
    </row>
    <row r="761" spans="1:16" x14ac:dyDescent="0.2">
      <c r="A761">
        <v>760</v>
      </c>
      <c r="B761">
        <v>3877722749</v>
      </c>
      <c r="C761" t="s">
        <v>6</v>
      </c>
      <c r="D761" t="s">
        <v>31</v>
      </c>
      <c r="E761" t="s">
        <v>8</v>
      </c>
      <c r="F761" t="s">
        <v>9</v>
      </c>
      <c r="G761" s="2">
        <f>VLOOKUP(F761,mappings!$G$2:$H$6,2,FALSE)</f>
        <v>4</v>
      </c>
      <c r="H761" t="s">
        <v>162</v>
      </c>
      <c r="I761" s="2">
        <f>VLOOKUP(H761,mappings!$D$2:$E$6,2,FALSE)</f>
        <v>1</v>
      </c>
      <c r="J761" t="s">
        <v>36</v>
      </c>
      <c r="K761" t="s">
        <v>23</v>
      </c>
      <c r="L761" s="2">
        <f>VLOOKUP(K761,mappings!$A$2:$B$13,2,FALSE)</f>
        <v>3</v>
      </c>
      <c r="M761" t="s">
        <v>30</v>
      </c>
      <c r="N761" t="str">
        <f>VLOOKUP(E761,mappings!$L$1:$M$110,2,FALSE)</f>
        <v>No answer provided</v>
      </c>
      <c r="O761" t="str">
        <f>VLOOKUP(E761,mappings!L:O,3,FALSE)</f>
        <v>No answer provided</v>
      </c>
      <c r="P761" t="str">
        <f>VLOOKUP(E761,mappings!L:P,4,FALSE)</f>
        <v>No answer provided</v>
      </c>
    </row>
    <row r="762" spans="1:16" x14ac:dyDescent="0.2">
      <c r="A762">
        <v>761</v>
      </c>
      <c r="B762">
        <v>3877721796</v>
      </c>
      <c r="C762" t="s">
        <v>6</v>
      </c>
      <c r="D762" t="s">
        <v>31</v>
      </c>
      <c r="E762" t="s">
        <v>8</v>
      </c>
      <c r="F762" t="s">
        <v>22</v>
      </c>
      <c r="G762" s="2">
        <f>VLOOKUP(F762,mappings!$G$2:$H$6,2,FALSE)</f>
        <v>1</v>
      </c>
      <c r="H762" t="s">
        <v>163</v>
      </c>
      <c r="I762" s="2">
        <f>VLOOKUP(H762,mappings!$D$2:$E$6,2,FALSE)</f>
        <v>3</v>
      </c>
      <c r="J762" t="s">
        <v>36</v>
      </c>
      <c r="K762" t="s">
        <v>13</v>
      </c>
      <c r="L762" s="2">
        <f>VLOOKUP(K762,mappings!$A$2:$B$13,2,FALSE)</f>
        <v>11</v>
      </c>
      <c r="M762" t="s">
        <v>12</v>
      </c>
      <c r="N762" t="str">
        <f>VLOOKUP(E762,mappings!$L$1:$M$110,2,FALSE)</f>
        <v>No answer provided</v>
      </c>
      <c r="O762" t="str">
        <f>VLOOKUP(E762,mappings!L:O,3,FALSE)</f>
        <v>No answer provided</v>
      </c>
      <c r="P762" t="str">
        <f>VLOOKUP(E762,mappings!L:P,4,FALSE)</f>
        <v>No answer provided</v>
      </c>
    </row>
    <row r="763" spans="1:16" x14ac:dyDescent="0.2">
      <c r="A763">
        <v>762</v>
      </c>
      <c r="B763">
        <v>3877721262</v>
      </c>
      <c r="C763" t="s">
        <v>6</v>
      </c>
      <c r="D763" t="s">
        <v>1</v>
      </c>
      <c r="E763" t="s">
        <v>146</v>
      </c>
      <c r="F763" t="s">
        <v>9</v>
      </c>
      <c r="G763" s="2">
        <f>VLOOKUP(F763,mappings!$G$2:$H$6,2,FALSE)</f>
        <v>4</v>
      </c>
      <c r="H763" t="s">
        <v>161</v>
      </c>
      <c r="I763" s="2">
        <f>VLOOKUP(H763,mappings!$D$2:$E$6,2,FALSE)</f>
        <v>2</v>
      </c>
      <c r="J763" t="s">
        <v>36</v>
      </c>
      <c r="K763" t="s">
        <v>33</v>
      </c>
      <c r="L763" s="2">
        <f>VLOOKUP(K763,mappings!$A$2:$B$13,2,FALSE)</f>
        <v>5</v>
      </c>
      <c r="M763" t="s">
        <v>30</v>
      </c>
      <c r="N763" t="str">
        <f>VLOOKUP(E763,mappings!$L$1:$M$110,2,FALSE)</f>
        <v>Other search engines</v>
      </c>
      <c r="O763" t="str">
        <f>VLOOKUP(E763,mappings!L:O,3,FALSE)</f>
        <v>App</v>
      </c>
      <c r="P763" t="str">
        <f>VLOOKUP(E763,mappings!L:P,4,FALSE)</f>
        <v>Android</v>
      </c>
    </row>
    <row r="764" spans="1:16" x14ac:dyDescent="0.2">
      <c r="A764">
        <v>763</v>
      </c>
      <c r="B764">
        <v>3877720994</v>
      </c>
      <c r="C764" t="s">
        <v>6</v>
      </c>
      <c r="D764" t="s">
        <v>7</v>
      </c>
      <c r="E764" t="s">
        <v>8</v>
      </c>
      <c r="F764" t="s">
        <v>9</v>
      </c>
      <c r="G764" s="2">
        <f>VLOOKUP(F764,mappings!$G$2:$H$6,2,FALSE)</f>
        <v>4</v>
      </c>
      <c r="H764" t="s">
        <v>161</v>
      </c>
      <c r="I764" s="2">
        <f>VLOOKUP(H764,mappings!$D$2:$E$6,2,FALSE)</f>
        <v>2</v>
      </c>
      <c r="J764" t="s">
        <v>36</v>
      </c>
      <c r="K764" t="s">
        <v>39</v>
      </c>
      <c r="L764" s="2">
        <f>VLOOKUP(K764,mappings!$A$2:$B$13,2,FALSE)</f>
        <v>10</v>
      </c>
      <c r="M764" t="s">
        <v>15</v>
      </c>
      <c r="N764" t="str">
        <f>VLOOKUP(E764,mappings!$L$1:$M$110,2,FALSE)</f>
        <v>No answer provided</v>
      </c>
      <c r="O764" t="str">
        <f>VLOOKUP(E764,mappings!L:O,3,FALSE)</f>
        <v>No answer provided</v>
      </c>
      <c r="P764" t="str">
        <f>VLOOKUP(E764,mappings!L:P,4,FALSE)</f>
        <v>No answer provided</v>
      </c>
    </row>
    <row r="765" spans="1:16" x14ac:dyDescent="0.2">
      <c r="A765">
        <v>764</v>
      </c>
      <c r="B765">
        <v>3877720618</v>
      </c>
      <c r="C765" t="s">
        <v>6</v>
      </c>
      <c r="D765" t="s">
        <v>1</v>
      </c>
      <c r="E765" t="s">
        <v>70</v>
      </c>
      <c r="F765" t="s">
        <v>16</v>
      </c>
      <c r="G765" s="2">
        <f>VLOOKUP(F765,mappings!$G$2:$H$6,2,FALSE)</f>
        <v>3</v>
      </c>
      <c r="H765" t="s">
        <v>162</v>
      </c>
      <c r="I765" s="2">
        <f>VLOOKUP(H765,mappings!$D$2:$E$6,2,FALSE)</f>
        <v>1</v>
      </c>
      <c r="J765" t="s">
        <v>36</v>
      </c>
      <c r="K765" t="s">
        <v>13</v>
      </c>
      <c r="L765" s="2">
        <f>VLOOKUP(K765,mappings!$A$2:$B$13,2,FALSE)</f>
        <v>11</v>
      </c>
      <c r="M765" t="s">
        <v>15</v>
      </c>
      <c r="N765" t="str">
        <f>VLOOKUP(E765,mappings!$L$1:$M$110,2,FALSE)</f>
        <v>AccuWeather</v>
      </c>
      <c r="O765" t="str">
        <f>VLOOKUP(E765,mappings!L:O,3,FALSE)</f>
        <v>Website</v>
      </c>
      <c r="P765" t="str">
        <f>VLOOKUP(E765,mappings!L:P,4,FALSE)</f>
        <v>Other or unkown</v>
      </c>
    </row>
    <row r="766" spans="1:16" x14ac:dyDescent="0.2">
      <c r="A766">
        <v>765</v>
      </c>
      <c r="B766">
        <v>3877719327</v>
      </c>
      <c r="C766" t="s">
        <v>6</v>
      </c>
      <c r="D766" t="s">
        <v>31</v>
      </c>
      <c r="E766" t="s">
        <v>8</v>
      </c>
      <c r="F766" t="s">
        <v>16</v>
      </c>
      <c r="G766" s="2">
        <f>VLOOKUP(F766,mappings!$G$2:$H$6,2,FALSE)</f>
        <v>3</v>
      </c>
      <c r="H766" t="s">
        <v>161</v>
      </c>
      <c r="I766" s="2">
        <f>VLOOKUP(H766,mappings!$D$2:$E$6,2,FALSE)</f>
        <v>2</v>
      </c>
      <c r="J766" t="s">
        <v>36</v>
      </c>
      <c r="K766" t="s">
        <v>14</v>
      </c>
      <c r="L766" s="2">
        <f>VLOOKUP(K766,mappings!$A$2:$B$13,2,FALSE)</f>
        <v>6</v>
      </c>
      <c r="M766" t="s">
        <v>15</v>
      </c>
      <c r="N766" t="str">
        <f>VLOOKUP(E766,mappings!$L$1:$M$110,2,FALSE)</f>
        <v>No answer provided</v>
      </c>
      <c r="O766" t="str">
        <f>VLOOKUP(E766,mappings!L:O,3,FALSE)</f>
        <v>No answer provided</v>
      </c>
      <c r="P766" t="str">
        <f>VLOOKUP(E766,mappings!L:P,4,FALSE)</f>
        <v>No answer provided</v>
      </c>
    </row>
    <row r="767" spans="1:16" x14ac:dyDescent="0.2">
      <c r="A767">
        <v>766</v>
      </c>
      <c r="B767">
        <v>3877715614</v>
      </c>
      <c r="C767" t="s">
        <v>6</v>
      </c>
      <c r="D767" t="s">
        <v>27</v>
      </c>
      <c r="E767" t="s">
        <v>8</v>
      </c>
      <c r="F767" t="s">
        <v>28</v>
      </c>
      <c r="G767" s="2">
        <f>VLOOKUP(F767,mappings!$G$2:$H$6,2,FALSE)</f>
        <v>2</v>
      </c>
      <c r="H767" t="s">
        <v>161</v>
      </c>
      <c r="I767" s="2">
        <f>VLOOKUP(H767,mappings!$D$2:$E$6,2,FALSE)</f>
        <v>2</v>
      </c>
      <c r="J767" t="s">
        <v>36</v>
      </c>
      <c r="K767" t="s">
        <v>11</v>
      </c>
      <c r="L767" s="2">
        <f>VLOOKUP(K767,mappings!$A$2:$B$13,2,FALSE)</f>
        <v>4</v>
      </c>
      <c r="M767" t="s">
        <v>34</v>
      </c>
      <c r="N767" t="str">
        <f>VLOOKUP(E767,mappings!$L$1:$M$110,2,FALSE)</f>
        <v>No answer provided</v>
      </c>
      <c r="O767" t="str">
        <f>VLOOKUP(E767,mappings!L:O,3,FALSE)</f>
        <v>No answer provided</v>
      </c>
      <c r="P767" t="str">
        <f>VLOOKUP(E767,mappings!L:P,4,FALSE)</f>
        <v>No answer provided</v>
      </c>
    </row>
    <row r="768" spans="1:16" x14ac:dyDescent="0.2">
      <c r="A768">
        <v>767</v>
      </c>
      <c r="B768">
        <v>3877714285</v>
      </c>
      <c r="C768" t="s">
        <v>26</v>
      </c>
      <c r="D768" t="s">
        <v>31</v>
      </c>
      <c r="E768" t="s">
        <v>8</v>
      </c>
      <c r="F768" t="s">
        <v>16</v>
      </c>
      <c r="G768" s="2">
        <f>VLOOKUP(F768,mappings!$G$2:$H$6,2,FALSE)</f>
        <v>3</v>
      </c>
      <c r="H768" t="s">
        <v>43</v>
      </c>
      <c r="I768" s="2">
        <f>VLOOKUP(H768,mappings!$D$2:$E$6,2,FALSE)</f>
        <v>4</v>
      </c>
      <c r="J768" t="s">
        <v>10</v>
      </c>
      <c r="K768" t="s">
        <v>13</v>
      </c>
      <c r="L768" s="2">
        <f>VLOOKUP(K768,mappings!$A$2:$B$13,2,FALSE)</f>
        <v>11</v>
      </c>
      <c r="M768" t="s">
        <v>42</v>
      </c>
      <c r="N768" t="str">
        <f>VLOOKUP(E768,mappings!$L$1:$M$110,2,FALSE)</f>
        <v>No answer provided</v>
      </c>
      <c r="O768" t="str">
        <f>VLOOKUP(E768,mappings!L:O,3,FALSE)</f>
        <v>No answer provided</v>
      </c>
      <c r="P768" t="str">
        <f>VLOOKUP(E768,mappings!L:P,4,FALSE)</f>
        <v>No answer provided</v>
      </c>
    </row>
    <row r="769" spans="1:16" x14ac:dyDescent="0.2">
      <c r="A769">
        <v>768</v>
      </c>
      <c r="B769">
        <v>3877713514</v>
      </c>
      <c r="C769" t="s">
        <v>6</v>
      </c>
      <c r="D769" t="s">
        <v>7</v>
      </c>
      <c r="E769" t="s">
        <v>8</v>
      </c>
      <c r="F769" t="s">
        <v>16</v>
      </c>
      <c r="G769" s="2">
        <f>VLOOKUP(F769,mappings!$G$2:$H$6,2,FALSE)</f>
        <v>3</v>
      </c>
      <c r="H769" t="s">
        <v>162</v>
      </c>
      <c r="I769" s="2">
        <f>VLOOKUP(H769,mappings!$D$2:$E$6,2,FALSE)</f>
        <v>1</v>
      </c>
      <c r="J769" t="s">
        <v>36</v>
      </c>
      <c r="K769" t="s">
        <v>29</v>
      </c>
      <c r="L769" s="2">
        <f>VLOOKUP(K769,mappings!$A$2:$B$13,2,FALSE)</f>
        <v>1</v>
      </c>
      <c r="M769" t="s">
        <v>34</v>
      </c>
      <c r="N769" t="str">
        <f>VLOOKUP(E769,mappings!$L$1:$M$110,2,FALSE)</f>
        <v>No answer provided</v>
      </c>
      <c r="O769" t="str">
        <f>VLOOKUP(E769,mappings!L:O,3,FALSE)</f>
        <v>No answer provided</v>
      </c>
      <c r="P769" t="str">
        <f>VLOOKUP(E769,mappings!L:P,4,FALSE)</f>
        <v>No answer provided</v>
      </c>
    </row>
    <row r="770" spans="1:16" x14ac:dyDescent="0.2">
      <c r="A770">
        <v>769</v>
      </c>
      <c r="B770">
        <v>3877710759</v>
      </c>
      <c r="C770" t="s">
        <v>6</v>
      </c>
      <c r="D770" t="s">
        <v>31</v>
      </c>
      <c r="E770" t="s">
        <v>8</v>
      </c>
      <c r="F770" t="s">
        <v>16</v>
      </c>
      <c r="G770" s="2">
        <f>VLOOKUP(F770,mappings!$G$2:$H$6,2,FALSE)</f>
        <v>3</v>
      </c>
      <c r="H770" t="s">
        <v>43</v>
      </c>
      <c r="I770" s="2">
        <f>VLOOKUP(H770,mappings!$D$2:$E$6,2,FALSE)</f>
        <v>4</v>
      </c>
      <c r="J770" t="s">
        <v>10</v>
      </c>
      <c r="K770" t="s">
        <v>33</v>
      </c>
      <c r="L770" s="2">
        <f>VLOOKUP(K770,mappings!$A$2:$B$13,2,FALSE)</f>
        <v>5</v>
      </c>
      <c r="M770" t="s">
        <v>15</v>
      </c>
      <c r="N770" t="str">
        <f>VLOOKUP(E770,mappings!$L$1:$M$110,2,FALSE)</f>
        <v>No answer provided</v>
      </c>
      <c r="O770" t="str">
        <f>VLOOKUP(E770,mappings!L:O,3,FALSE)</f>
        <v>No answer provided</v>
      </c>
      <c r="P770" t="str">
        <f>VLOOKUP(E770,mappings!L:P,4,FALSE)</f>
        <v>No answer provided</v>
      </c>
    </row>
    <row r="771" spans="1:16" x14ac:dyDescent="0.2">
      <c r="A771">
        <v>770</v>
      </c>
      <c r="B771">
        <v>3877709429</v>
      </c>
      <c r="C771" t="s">
        <v>26</v>
      </c>
      <c r="D771" t="s">
        <v>7</v>
      </c>
      <c r="E771" t="s">
        <v>8</v>
      </c>
      <c r="F771" t="s">
        <v>16</v>
      </c>
      <c r="G771" s="2">
        <f>VLOOKUP(F771,mappings!$G$2:$H$6,2,FALSE)</f>
        <v>3</v>
      </c>
      <c r="H771" t="s">
        <v>162</v>
      </c>
      <c r="I771" s="2">
        <f>VLOOKUP(H771,mappings!$D$2:$E$6,2,FALSE)</f>
        <v>1</v>
      </c>
      <c r="J771" t="s">
        <v>36</v>
      </c>
      <c r="K771" t="s">
        <v>11</v>
      </c>
      <c r="L771" s="2">
        <f>VLOOKUP(K771,mappings!$A$2:$B$13,2,FALSE)</f>
        <v>4</v>
      </c>
      <c r="M771" t="s">
        <v>12</v>
      </c>
      <c r="N771" t="str">
        <f>VLOOKUP(E771,mappings!$L$1:$M$110,2,FALSE)</f>
        <v>No answer provided</v>
      </c>
      <c r="O771" t="str">
        <f>VLOOKUP(E771,mappings!L:O,3,FALSE)</f>
        <v>No answer provided</v>
      </c>
      <c r="P771" t="str">
        <f>VLOOKUP(E771,mappings!L:P,4,FALSE)</f>
        <v>No answer provided</v>
      </c>
    </row>
    <row r="772" spans="1:16" x14ac:dyDescent="0.2">
      <c r="A772">
        <v>771</v>
      </c>
      <c r="B772">
        <v>3877709396</v>
      </c>
      <c r="C772" t="s">
        <v>6</v>
      </c>
      <c r="D772" t="s">
        <v>31</v>
      </c>
      <c r="E772" t="s">
        <v>8</v>
      </c>
      <c r="F772" t="s">
        <v>22</v>
      </c>
      <c r="G772" s="2">
        <f>VLOOKUP(F772,mappings!$G$2:$H$6,2,FALSE)</f>
        <v>1</v>
      </c>
      <c r="H772" t="s">
        <v>161</v>
      </c>
      <c r="I772" s="2">
        <f>VLOOKUP(H772,mappings!$D$2:$E$6,2,FALSE)</f>
        <v>2</v>
      </c>
      <c r="J772" t="s">
        <v>36</v>
      </c>
      <c r="K772" t="s">
        <v>33</v>
      </c>
      <c r="L772" s="2">
        <f>VLOOKUP(K772,mappings!$A$2:$B$13,2,FALSE)</f>
        <v>5</v>
      </c>
      <c r="M772" t="s">
        <v>15</v>
      </c>
      <c r="N772" t="str">
        <f>VLOOKUP(E772,mappings!$L$1:$M$110,2,FALSE)</f>
        <v>No answer provided</v>
      </c>
      <c r="O772" t="str">
        <f>VLOOKUP(E772,mappings!L:O,3,FALSE)</f>
        <v>No answer provided</v>
      </c>
      <c r="P772" t="str">
        <f>VLOOKUP(E772,mappings!L:P,4,FALSE)</f>
        <v>No answer provided</v>
      </c>
    </row>
    <row r="773" spans="1:16" x14ac:dyDescent="0.2">
      <c r="A773">
        <v>772</v>
      </c>
      <c r="B773">
        <v>3877709203</v>
      </c>
      <c r="C773" t="s">
        <v>26</v>
      </c>
      <c r="D773" t="s">
        <v>27</v>
      </c>
      <c r="E773" t="s">
        <v>8</v>
      </c>
      <c r="F773" t="s">
        <v>16</v>
      </c>
      <c r="G773" s="2">
        <f>VLOOKUP(F773,mappings!$G$2:$H$6,2,FALSE)</f>
        <v>3</v>
      </c>
      <c r="H773" t="s">
        <v>161</v>
      </c>
      <c r="I773" s="2">
        <f>VLOOKUP(H773,mappings!$D$2:$E$6,2,FALSE)</f>
        <v>2</v>
      </c>
      <c r="J773" t="s">
        <v>36</v>
      </c>
      <c r="K773" t="s">
        <v>33</v>
      </c>
      <c r="L773" s="2">
        <f>VLOOKUP(K773,mappings!$A$2:$B$13,2,FALSE)</f>
        <v>5</v>
      </c>
      <c r="M773" t="s">
        <v>12</v>
      </c>
      <c r="N773" t="str">
        <f>VLOOKUP(E773,mappings!$L$1:$M$110,2,FALSE)</f>
        <v>No answer provided</v>
      </c>
      <c r="O773" t="str">
        <f>VLOOKUP(E773,mappings!L:O,3,FALSE)</f>
        <v>No answer provided</v>
      </c>
      <c r="P773" t="str">
        <f>VLOOKUP(E773,mappings!L:P,4,FALSE)</f>
        <v>No answer provided</v>
      </c>
    </row>
    <row r="774" spans="1:16" x14ac:dyDescent="0.2">
      <c r="A774">
        <v>773</v>
      </c>
      <c r="B774">
        <v>3877705805</v>
      </c>
      <c r="C774" t="s">
        <v>6</v>
      </c>
      <c r="D774" t="s">
        <v>21</v>
      </c>
      <c r="E774" t="s">
        <v>8</v>
      </c>
      <c r="F774" t="s">
        <v>9</v>
      </c>
      <c r="G774" s="2">
        <f>VLOOKUP(F774,mappings!$G$2:$H$6,2,FALSE)</f>
        <v>4</v>
      </c>
      <c r="H774" t="s">
        <v>161</v>
      </c>
      <c r="I774" s="2">
        <f>VLOOKUP(H774,mappings!$D$2:$E$6,2,FALSE)</f>
        <v>2</v>
      </c>
      <c r="J774" t="s">
        <v>36</v>
      </c>
      <c r="K774" t="s">
        <v>14</v>
      </c>
      <c r="L774" s="2">
        <f>VLOOKUP(K774,mappings!$A$2:$B$13,2,FALSE)</f>
        <v>6</v>
      </c>
      <c r="M774" t="s">
        <v>12</v>
      </c>
      <c r="N774" t="str">
        <f>VLOOKUP(E774,mappings!$L$1:$M$110,2,FALSE)</f>
        <v>No answer provided</v>
      </c>
      <c r="O774" t="str">
        <f>VLOOKUP(E774,mappings!L:O,3,FALSE)</f>
        <v>No answer provided</v>
      </c>
      <c r="P774" t="str">
        <f>VLOOKUP(E774,mappings!L:P,4,FALSE)</f>
        <v>No answer provided</v>
      </c>
    </row>
    <row r="775" spans="1:16" x14ac:dyDescent="0.2">
      <c r="A775">
        <v>774</v>
      </c>
      <c r="B775">
        <v>3877705747</v>
      </c>
      <c r="C775" t="s">
        <v>26</v>
      </c>
      <c r="D775" t="s">
        <v>21</v>
      </c>
      <c r="E775" t="s">
        <v>8</v>
      </c>
      <c r="F775" t="s">
        <v>9</v>
      </c>
      <c r="G775" s="2">
        <f>VLOOKUP(F775,mappings!$G$2:$H$6,2,FALSE)</f>
        <v>4</v>
      </c>
      <c r="H775" t="s">
        <v>161</v>
      </c>
      <c r="I775" s="2">
        <f>VLOOKUP(H775,mappings!$D$2:$E$6,2,FALSE)</f>
        <v>2</v>
      </c>
      <c r="J775" t="s">
        <v>36</v>
      </c>
      <c r="K775" t="s">
        <v>23</v>
      </c>
      <c r="L775" s="2">
        <f>VLOOKUP(K775,mappings!$A$2:$B$13,2,FALSE)</f>
        <v>3</v>
      </c>
      <c r="M775" t="s">
        <v>30</v>
      </c>
      <c r="N775" t="str">
        <f>VLOOKUP(E775,mappings!$L$1:$M$110,2,FALSE)</f>
        <v>No answer provided</v>
      </c>
      <c r="O775" t="str">
        <f>VLOOKUP(E775,mappings!L:O,3,FALSE)</f>
        <v>No answer provided</v>
      </c>
      <c r="P775" t="str">
        <f>VLOOKUP(E775,mappings!L:P,4,FALSE)</f>
        <v>No answer provided</v>
      </c>
    </row>
    <row r="776" spans="1:16" x14ac:dyDescent="0.2">
      <c r="A776">
        <v>775</v>
      </c>
      <c r="B776">
        <v>3877705621</v>
      </c>
      <c r="C776" t="s">
        <v>26</v>
      </c>
      <c r="D776" t="s">
        <v>27</v>
      </c>
      <c r="E776" t="s">
        <v>8</v>
      </c>
      <c r="F776" t="s">
        <v>22</v>
      </c>
      <c r="G776" s="2">
        <f>VLOOKUP(F776,mappings!$G$2:$H$6,2,FALSE)</f>
        <v>1</v>
      </c>
      <c r="H776" t="s">
        <v>162</v>
      </c>
      <c r="I776" s="2">
        <f>VLOOKUP(H776,mappings!$D$2:$E$6,2,FALSE)</f>
        <v>1</v>
      </c>
      <c r="J776" t="s">
        <v>36</v>
      </c>
      <c r="K776" t="s">
        <v>13</v>
      </c>
      <c r="L776" s="2">
        <f>VLOOKUP(K776,mappings!$A$2:$B$13,2,FALSE)</f>
        <v>11</v>
      </c>
      <c r="M776" t="s">
        <v>24</v>
      </c>
      <c r="N776" t="str">
        <f>VLOOKUP(E776,mappings!$L$1:$M$110,2,FALSE)</f>
        <v>No answer provided</v>
      </c>
      <c r="O776" t="str">
        <f>VLOOKUP(E776,mappings!L:O,3,FALSE)</f>
        <v>No answer provided</v>
      </c>
      <c r="P776" t="str">
        <f>VLOOKUP(E776,mappings!L:P,4,FALSE)</f>
        <v>No answer provided</v>
      </c>
    </row>
    <row r="777" spans="1:16" x14ac:dyDescent="0.2">
      <c r="A777">
        <v>776</v>
      </c>
      <c r="B777">
        <v>3877705489</v>
      </c>
      <c r="C777" t="s">
        <v>6</v>
      </c>
      <c r="D777" t="s">
        <v>7</v>
      </c>
      <c r="E777" t="s">
        <v>8</v>
      </c>
      <c r="F777" t="s">
        <v>9</v>
      </c>
      <c r="G777" s="2">
        <f>VLOOKUP(F777,mappings!$G$2:$H$6,2,FALSE)</f>
        <v>4</v>
      </c>
      <c r="H777" t="s">
        <v>162</v>
      </c>
      <c r="I777" s="2">
        <f>VLOOKUP(H777,mappings!$D$2:$E$6,2,FALSE)</f>
        <v>1</v>
      </c>
      <c r="J777" t="s">
        <v>10</v>
      </c>
      <c r="K777" t="s">
        <v>11</v>
      </c>
      <c r="L777" s="2">
        <f>VLOOKUP(K777,mappings!$A$2:$B$13,2,FALSE)</f>
        <v>4</v>
      </c>
      <c r="M777" t="s">
        <v>34</v>
      </c>
      <c r="N777" t="str">
        <f>VLOOKUP(E777,mappings!$L$1:$M$110,2,FALSE)</f>
        <v>No answer provided</v>
      </c>
      <c r="O777" t="str">
        <f>VLOOKUP(E777,mappings!L:O,3,FALSE)</f>
        <v>No answer provided</v>
      </c>
      <c r="P777" t="str">
        <f>VLOOKUP(E777,mappings!L:P,4,FALSE)</f>
        <v>No answer provided</v>
      </c>
    </row>
    <row r="778" spans="1:16" x14ac:dyDescent="0.2">
      <c r="A778">
        <v>777</v>
      </c>
      <c r="B778">
        <v>3877705171</v>
      </c>
      <c r="C778" t="s">
        <v>6</v>
      </c>
      <c r="D778" t="s">
        <v>21</v>
      </c>
      <c r="E778" t="s">
        <v>8</v>
      </c>
      <c r="F778" t="s">
        <v>9</v>
      </c>
      <c r="G778" s="2">
        <f>VLOOKUP(F778,mappings!$G$2:$H$6,2,FALSE)</f>
        <v>4</v>
      </c>
      <c r="H778" t="s">
        <v>43</v>
      </c>
      <c r="I778" s="2">
        <f>VLOOKUP(H778,mappings!$D$2:$E$6,2,FALSE)</f>
        <v>4</v>
      </c>
      <c r="J778" t="s">
        <v>36</v>
      </c>
      <c r="K778" t="s">
        <v>11</v>
      </c>
      <c r="L778" s="2">
        <f>VLOOKUP(K778,mappings!$A$2:$B$13,2,FALSE)</f>
        <v>4</v>
      </c>
      <c r="M778" t="s">
        <v>24</v>
      </c>
      <c r="N778" t="str">
        <f>VLOOKUP(E778,mappings!$L$1:$M$110,2,FALSE)</f>
        <v>No answer provided</v>
      </c>
      <c r="O778" t="str">
        <f>VLOOKUP(E778,mappings!L:O,3,FALSE)</f>
        <v>No answer provided</v>
      </c>
      <c r="P778" t="str">
        <f>VLOOKUP(E778,mappings!L:P,4,FALSE)</f>
        <v>No answer provided</v>
      </c>
    </row>
    <row r="779" spans="1:16" x14ac:dyDescent="0.2">
      <c r="A779">
        <v>778</v>
      </c>
      <c r="B779">
        <v>3877705053</v>
      </c>
      <c r="C779" t="s">
        <v>6</v>
      </c>
      <c r="D779" t="s">
        <v>21</v>
      </c>
      <c r="E779" t="s">
        <v>8</v>
      </c>
      <c r="F779" t="s">
        <v>16</v>
      </c>
      <c r="G779" s="2">
        <f>VLOOKUP(F779,mappings!$G$2:$H$6,2,FALSE)</f>
        <v>3</v>
      </c>
      <c r="H779" t="s">
        <v>161</v>
      </c>
      <c r="I779" s="2">
        <f>VLOOKUP(H779,mappings!$D$2:$E$6,2,FALSE)</f>
        <v>2</v>
      </c>
      <c r="J779" t="s">
        <v>36</v>
      </c>
      <c r="K779" t="s">
        <v>32</v>
      </c>
      <c r="L779" s="2">
        <f>VLOOKUP(K779,mappings!$A$2:$B$13,2,FALSE)</f>
        <v>2</v>
      </c>
      <c r="M779" t="s">
        <v>30</v>
      </c>
      <c r="N779" t="str">
        <f>VLOOKUP(E779,mappings!$L$1:$M$110,2,FALSE)</f>
        <v>No answer provided</v>
      </c>
      <c r="O779" t="str">
        <f>VLOOKUP(E779,mappings!L:O,3,FALSE)</f>
        <v>No answer provided</v>
      </c>
      <c r="P779" t="str">
        <f>VLOOKUP(E779,mappings!L:P,4,FALSE)</f>
        <v>No answer provided</v>
      </c>
    </row>
    <row r="780" spans="1:16" x14ac:dyDescent="0.2">
      <c r="A780">
        <v>779</v>
      </c>
      <c r="B780">
        <v>3877703334</v>
      </c>
      <c r="C780" t="s">
        <v>6</v>
      </c>
      <c r="D780" t="s">
        <v>21</v>
      </c>
      <c r="E780" t="s">
        <v>8</v>
      </c>
      <c r="F780" t="s">
        <v>28</v>
      </c>
      <c r="G780" s="2">
        <f>VLOOKUP(F780,mappings!$G$2:$H$6,2,FALSE)</f>
        <v>2</v>
      </c>
      <c r="H780" t="s">
        <v>162</v>
      </c>
      <c r="I780" s="2">
        <f>VLOOKUP(H780,mappings!$D$2:$E$6,2,FALSE)</f>
        <v>1</v>
      </c>
      <c r="J780" t="s">
        <v>36</v>
      </c>
      <c r="K780" t="s">
        <v>32</v>
      </c>
      <c r="L780" s="2">
        <f>VLOOKUP(K780,mappings!$A$2:$B$13,2,FALSE)</f>
        <v>2</v>
      </c>
      <c r="M780" t="s">
        <v>34</v>
      </c>
      <c r="N780" t="str">
        <f>VLOOKUP(E780,mappings!$L$1:$M$110,2,FALSE)</f>
        <v>No answer provided</v>
      </c>
      <c r="O780" t="str">
        <f>VLOOKUP(E780,mappings!L:O,3,FALSE)</f>
        <v>No answer provided</v>
      </c>
      <c r="P780" t="str">
        <f>VLOOKUP(E780,mappings!L:P,4,FALSE)</f>
        <v>No answer provided</v>
      </c>
    </row>
    <row r="781" spans="1:16" x14ac:dyDescent="0.2">
      <c r="A781">
        <v>780</v>
      </c>
      <c r="B781">
        <v>3877702652</v>
      </c>
      <c r="C781" t="s">
        <v>6</v>
      </c>
      <c r="D781" t="s">
        <v>1</v>
      </c>
      <c r="E781" t="s">
        <v>147</v>
      </c>
      <c r="F781" t="s">
        <v>9</v>
      </c>
      <c r="G781" s="2">
        <f>VLOOKUP(F781,mappings!$G$2:$H$6,2,FALSE)</f>
        <v>4</v>
      </c>
      <c r="H781" t="s">
        <v>162</v>
      </c>
      <c r="I781" s="2">
        <f>VLOOKUP(H781,mappings!$D$2:$E$6,2,FALSE)</f>
        <v>1</v>
      </c>
      <c r="J781" t="s">
        <v>36</v>
      </c>
      <c r="K781" t="s">
        <v>13</v>
      </c>
      <c r="L781" s="2">
        <f>VLOOKUP(K781,mappings!$A$2:$B$13,2,FALSE)</f>
        <v>11</v>
      </c>
      <c r="M781" t="s">
        <v>20</v>
      </c>
      <c r="N781" t="str">
        <f>VLOOKUP(E781,mappings!$L$1:$M$110,2,FALSE)</f>
        <v>Yahoo</v>
      </c>
      <c r="O781" t="str">
        <f>VLOOKUP(E781,mappings!L:O,3,FALSE)</f>
        <v>App</v>
      </c>
      <c r="P781" t="str">
        <f>VLOOKUP(E781,mappings!L:P,4,FALSE)</f>
        <v>Apple</v>
      </c>
    </row>
    <row r="782" spans="1:16" x14ac:dyDescent="0.2">
      <c r="A782">
        <v>781</v>
      </c>
      <c r="B782">
        <v>3877699575</v>
      </c>
      <c r="C782" t="s">
        <v>6</v>
      </c>
      <c r="D782" t="s">
        <v>31</v>
      </c>
      <c r="E782" t="s">
        <v>8</v>
      </c>
      <c r="F782" t="s">
        <v>16</v>
      </c>
      <c r="G782" s="2">
        <f>VLOOKUP(F782,mappings!$G$2:$H$6,2,FALSE)</f>
        <v>3</v>
      </c>
      <c r="H782" t="s">
        <v>163</v>
      </c>
      <c r="I782" s="2">
        <f>VLOOKUP(H782,mappings!$D$2:$E$6,2,FALSE)</f>
        <v>3</v>
      </c>
      <c r="J782" t="s">
        <v>36</v>
      </c>
      <c r="K782" t="s">
        <v>39</v>
      </c>
      <c r="L782" s="2">
        <f>VLOOKUP(K782,mappings!$A$2:$B$13,2,FALSE)</f>
        <v>10</v>
      </c>
      <c r="M782" t="s">
        <v>25</v>
      </c>
      <c r="N782" t="str">
        <f>VLOOKUP(E782,mappings!$L$1:$M$110,2,FALSE)</f>
        <v>No answer provided</v>
      </c>
      <c r="O782" t="str">
        <f>VLOOKUP(E782,mappings!L:O,3,FALSE)</f>
        <v>No answer provided</v>
      </c>
      <c r="P782" t="str">
        <f>VLOOKUP(E782,mappings!L:P,4,FALSE)</f>
        <v>No answer provided</v>
      </c>
    </row>
    <row r="783" spans="1:16" x14ac:dyDescent="0.2">
      <c r="A783">
        <v>782</v>
      </c>
      <c r="B783">
        <v>3877698507</v>
      </c>
      <c r="C783" t="s">
        <v>26</v>
      </c>
      <c r="D783" t="s">
        <v>7</v>
      </c>
      <c r="E783" t="s">
        <v>8</v>
      </c>
      <c r="F783" t="s">
        <v>22</v>
      </c>
      <c r="G783" s="2">
        <f>VLOOKUP(F783,mappings!$G$2:$H$6,2,FALSE)</f>
        <v>1</v>
      </c>
      <c r="H783" t="s">
        <v>162</v>
      </c>
      <c r="I783" s="2">
        <f>VLOOKUP(H783,mappings!$D$2:$E$6,2,FALSE)</f>
        <v>1</v>
      </c>
      <c r="J783" t="s">
        <v>36</v>
      </c>
      <c r="K783" t="s">
        <v>13</v>
      </c>
      <c r="L783" s="2">
        <f>VLOOKUP(K783,mappings!$A$2:$B$13,2,FALSE)</f>
        <v>11</v>
      </c>
      <c r="M783" t="s">
        <v>12</v>
      </c>
      <c r="N783" t="str">
        <f>VLOOKUP(E783,mappings!$L$1:$M$110,2,FALSE)</f>
        <v>No answer provided</v>
      </c>
      <c r="O783" t="str">
        <f>VLOOKUP(E783,mappings!L:O,3,FALSE)</f>
        <v>No answer provided</v>
      </c>
      <c r="P783" t="str">
        <f>VLOOKUP(E783,mappings!L:P,4,FALSE)</f>
        <v>No answer provided</v>
      </c>
    </row>
    <row r="784" spans="1:16" x14ac:dyDescent="0.2">
      <c r="A784">
        <v>783</v>
      </c>
      <c r="B784">
        <v>3877696556</v>
      </c>
      <c r="C784" t="s">
        <v>6</v>
      </c>
      <c r="D784" t="s">
        <v>41</v>
      </c>
      <c r="E784" t="s">
        <v>8</v>
      </c>
      <c r="F784" t="s">
        <v>22</v>
      </c>
      <c r="G784" s="2">
        <f>VLOOKUP(F784,mappings!$G$2:$H$6,2,FALSE)</f>
        <v>1</v>
      </c>
      <c r="H784" t="s">
        <v>43</v>
      </c>
      <c r="I784" s="2">
        <f>VLOOKUP(H784,mappings!$D$2:$E$6,2,FALSE)</f>
        <v>4</v>
      </c>
      <c r="J784" t="s">
        <v>10</v>
      </c>
      <c r="K784" t="s">
        <v>13</v>
      </c>
      <c r="L784" s="2">
        <f>VLOOKUP(K784,mappings!$A$2:$B$13,2,FALSE)</f>
        <v>11</v>
      </c>
      <c r="M784" t="s">
        <v>30</v>
      </c>
      <c r="N784" t="str">
        <f>VLOOKUP(E784,mappings!$L$1:$M$110,2,FALSE)</f>
        <v>No answer provided</v>
      </c>
      <c r="O784" t="str">
        <f>VLOOKUP(E784,mappings!L:O,3,FALSE)</f>
        <v>No answer provided</v>
      </c>
      <c r="P784" t="str">
        <f>VLOOKUP(E784,mappings!L:P,4,FALSE)</f>
        <v>No answer provided</v>
      </c>
    </row>
    <row r="785" spans="1:16" x14ac:dyDescent="0.2">
      <c r="A785">
        <v>784</v>
      </c>
      <c r="B785">
        <v>3877694816</v>
      </c>
      <c r="C785" t="s">
        <v>6</v>
      </c>
      <c r="D785" t="s">
        <v>1</v>
      </c>
      <c r="E785" t="s">
        <v>115</v>
      </c>
      <c r="F785" t="s">
        <v>28</v>
      </c>
      <c r="G785" s="2">
        <f>VLOOKUP(F785,mappings!$G$2:$H$6,2,FALSE)</f>
        <v>2</v>
      </c>
      <c r="H785" t="s">
        <v>43</v>
      </c>
      <c r="I785" s="2">
        <f>VLOOKUP(H785,mappings!$D$2:$E$6,2,FALSE)</f>
        <v>4</v>
      </c>
      <c r="J785" t="s">
        <v>10</v>
      </c>
      <c r="K785" t="s">
        <v>39</v>
      </c>
      <c r="L785" s="2">
        <f>VLOOKUP(K785,mappings!$A$2:$B$13,2,FALSE)</f>
        <v>10</v>
      </c>
      <c r="M785" t="s">
        <v>42</v>
      </c>
      <c r="N785" t="str">
        <f>VLOOKUP(E785,mappings!$L$1:$M$110,2,FALSE)</f>
        <v>National Weather Service</v>
      </c>
      <c r="O785" t="str">
        <f>VLOOKUP(E785,mappings!L:O,3,FALSE)</f>
        <v>Website</v>
      </c>
      <c r="P785" t="str">
        <f>VLOOKUP(E785,mappings!L:P,4,FALSE)</f>
        <v>Other or unkown</v>
      </c>
    </row>
    <row r="786" spans="1:16" x14ac:dyDescent="0.2">
      <c r="A786">
        <v>785</v>
      </c>
      <c r="B786">
        <v>3877693629</v>
      </c>
      <c r="C786" t="s">
        <v>6</v>
      </c>
      <c r="D786" t="s">
        <v>21</v>
      </c>
      <c r="E786" t="s">
        <v>8</v>
      </c>
      <c r="F786" t="s">
        <v>22</v>
      </c>
      <c r="G786" s="2">
        <f>VLOOKUP(F786,mappings!$G$2:$H$6,2,FALSE)</f>
        <v>1</v>
      </c>
      <c r="H786" t="s">
        <v>43</v>
      </c>
      <c r="I786" s="2">
        <f>VLOOKUP(H786,mappings!$D$2:$E$6,2,FALSE)</f>
        <v>4</v>
      </c>
      <c r="J786" t="s">
        <v>10</v>
      </c>
      <c r="K786" t="s">
        <v>11</v>
      </c>
      <c r="L786" s="2">
        <f>VLOOKUP(K786,mappings!$A$2:$B$13,2,FALSE)</f>
        <v>4</v>
      </c>
      <c r="M786" t="s">
        <v>15</v>
      </c>
      <c r="N786" t="str">
        <f>VLOOKUP(E786,mappings!$L$1:$M$110,2,FALSE)</f>
        <v>No answer provided</v>
      </c>
      <c r="O786" t="str">
        <f>VLOOKUP(E786,mappings!L:O,3,FALSE)</f>
        <v>No answer provided</v>
      </c>
      <c r="P786" t="str">
        <f>VLOOKUP(E786,mappings!L:P,4,FALSE)</f>
        <v>No answer provided</v>
      </c>
    </row>
    <row r="787" spans="1:16" x14ac:dyDescent="0.2">
      <c r="A787">
        <v>786</v>
      </c>
      <c r="B787">
        <v>3877693173</v>
      </c>
      <c r="C787" t="s">
        <v>6</v>
      </c>
      <c r="D787" t="s">
        <v>7</v>
      </c>
      <c r="E787" t="s">
        <v>8</v>
      </c>
      <c r="F787" t="s">
        <v>22</v>
      </c>
      <c r="G787" s="2">
        <f>VLOOKUP(F787,mappings!$G$2:$H$6,2,FALSE)</f>
        <v>1</v>
      </c>
      <c r="H787" t="s">
        <v>161</v>
      </c>
      <c r="I787" s="2">
        <f>VLOOKUP(H787,mappings!$D$2:$E$6,2,FALSE)</f>
        <v>2</v>
      </c>
      <c r="J787" t="s">
        <v>36</v>
      </c>
      <c r="K787" t="s">
        <v>39</v>
      </c>
      <c r="L787" s="2">
        <f>VLOOKUP(K787,mappings!$A$2:$B$13,2,FALSE)</f>
        <v>10</v>
      </c>
      <c r="M787" t="s">
        <v>34</v>
      </c>
      <c r="N787" t="str">
        <f>VLOOKUP(E787,mappings!$L$1:$M$110,2,FALSE)</f>
        <v>No answer provided</v>
      </c>
      <c r="O787" t="str">
        <f>VLOOKUP(E787,mappings!L:O,3,FALSE)</f>
        <v>No answer provided</v>
      </c>
      <c r="P787" t="str">
        <f>VLOOKUP(E787,mappings!L:P,4,FALSE)</f>
        <v>No answer provided</v>
      </c>
    </row>
    <row r="788" spans="1:16" x14ac:dyDescent="0.2">
      <c r="A788">
        <v>787</v>
      </c>
      <c r="B788">
        <v>3877691632</v>
      </c>
      <c r="C788" t="s">
        <v>6</v>
      </c>
      <c r="D788" t="s">
        <v>31</v>
      </c>
      <c r="E788" t="s">
        <v>8</v>
      </c>
      <c r="F788" t="s">
        <v>22</v>
      </c>
      <c r="G788" s="2">
        <f>VLOOKUP(F788,mappings!$G$2:$H$6,2,FALSE)</f>
        <v>1</v>
      </c>
      <c r="H788" t="s">
        <v>161</v>
      </c>
      <c r="I788" s="2">
        <f>VLOOKUP(H788,mappings!$D$2:$E$6,2,FALSE)</f>
        <v>2</v>
      </c>
      <c r="J788" t="s">
        <v>36</v>
      </c>
      <c r="K788" t="s">
        <v>14</v>
      </c>
      <c r="L788" s="2">
        <f>VLOOKUP(K788,mappings!$A$2:$B$13,2,FALSE)</f>
        <v>6</v>
      </c>
      <c r="M788" t="s">
        <v>42</v>
      </c>
      <c r="N788" t="str">
        <f>VLOOKUP(E788,mappings!$L$1:$M$110,2,FALSE)</f>
        <v>No answer provided</v>
      </c>
      <c r="O788" t="str">
        <f>VLOOKUP(E788,mappings!L:O,3,FALSE)</f>
        <v>No answer provided</v>
      </c>
      <c r="P788" t="str">
        <f>VLOOKUP(E788,mappings!L:P,4,FALSE)</f>
        <v>No answer provided</v>
      </c>
    </row>
    <row r="789" spans="1:16" x14ac:dyDescent="0.2">
      <c r="A789">
        <v>788</v>
      </c>
      <c r="B789">
        <v>3877689877</v>
      </c>
      <c r="C789" t="s">
        <v>26</v>
      </c>
      <c r="D789" t="s">
        <v>7</v>
      </c>
      <c r="E789" t="s">
        <v>8</v>
      </c>
      <c r="F789" t="s">
        <v>16</v>
      </c>
      <c r="G789" s="2">
        <f>VLOOKUP(F789,mappings!$G$2:$H$6,2,FALSE)</f>
        <v>3</v>
      </c>
      <c r="H789" t="s">
        <v>162</v>
      </c>
      <c r="I789" s="2">
        <f>VLOOKUP(H789,mappings!$D$2:$E$6,2,FALSE)</f>
        <v>1</v>
      </c>
      <c r="J789" t="s">
        <v>36</v>
      </c>
      <c r="K789" t="s">
        <v>33</v>
      </c>
      <c r="L789" s="2">
        <f>VLOOKUP(K789,mappings!$A$2:$B$13,2,FALSE)</f>
        <v>5</v>
      </c>
      <c r="M789" t="s">
        <v>20</v>
      </c>
      <c r="N789" t="str">
        <f>VLOOKUP(E789,mappings!$L$1:$M$110,2,FALSE)</f>
        <v>No answer provided</v>
      </c>
      <c r="O789" t="str">
        <f>VLOOKUP(E789,mappings!L:O,3,FALSE)</f>
        <v>No answer provided</v>
      </c>
      <c r="P789" t="str">
        <f>VLOOKUP(E789,mappings!L:P,4,FALSE)</f>
        <v>No answer provided</v>
      </c>
    </row>
    <row r="790" spans="1:16" x14ac:dyDescent="0.2">
      <c r="A790">
        <v>789</v>
      </c>
      <c r="B790">
        <v>3877689618</v>
      </c>
      <c r="C790" t="s">
        <v>6</v>
      </c>
      <c r="D790" t="s">
        <v>21</v>
      </c>
      <c r="E790" t="s">
        <v>8</v>
      </c>
      <c r="F790" t="s">
        <v>16</v>
      </c>
      <c r="G790" s="2">
        <f>VLOOKUP(F790,mappings!$G$2:$H$6,2,FALSE)</f>
        <v>3</v>
      </c>
      <c r="H790" t="s">
        <v>43</v>
      </c>
      <c r="I790" s="2">
        <f>VLOOKUP(H790,mappings!$D$2:$E$6,2,FALSE)</f>
        <v>4</v>
      </c>
      <c r="J790" t="s">
        <v>36</v>
      </c>
      <c r="K790" t="s">
        <v>33</v>
      </c>
      <c r="L790" s="2">
        <f>VLOOKUP(K790,mappings!$A$2:$B$13,2,FALSE)</f>
        <v>5</v>
      </c>
      <c r="M790" t="s">
        <v>34</v>
      </c>
      <c r="N790" t="str">
        <f>VLOOKUP(E790,mappings!$L$1:$M$110,2,FALSE)</f>
        <v>No answer provided</v>
      </c>
      <c r="O790" t="str">
        <f>VLOOKUP(E790,mappings!L:O,3,FALSE)</f>
        <v>No answer provided</v>
      </c>
      <c r="P790" t="str">
        <f>VLOOKUP(E790,mappings!L:P,4,FALSE)</f>
        <v>No answer provided</v>
      </c>
    </row>
    <row r="791" spans="1:16" x14ac:dyDescent="0.2">
      <c r="A791">
        <v>790</v>
      </c>
      <c r="B791">
        <v>3877689598</v>
      </c>
      <c r="C791" t="s">
        <v>6</v>
      </c>
      <c r="D791" t="s">
        <v>7</v>
      </c>
      <c r="E791" t="s">
        <v>8</v>
      </c>
      <c r="F791" t="s">
        <v>9</v>
      </c>
      <c r="G791" s="2">
        <f>VLOOKUP(F791,mappings!$G$2:$H$6,2,FALSE)</f>
        <v>4</v>
      </c>
      <c r="H791" t="s">
        <v>163</v>
      </c>
      <c r="I791" s="2">
        <f>VLOOKUP(H791,mappings!$D$2:$E$6,2,FALSE)</f>
        <v>3</v>
      </c>
      <c r="J791" t="s">
        <v>36</v>
      </c>
      <c r="K791" t="s">
        <v>18</v>
      </c>
      <c r="L791" s="2">
        <f>VLOOKUP(K791,mappings!$A$2:$B$13,2,FALSE)</f>
        <v>8</v>
      </c>
      <c r="M791" t="s">
        <v>12</v>
      </c>
      <c r="N791" t="str">
        <f>VLOOKUP(E791,mappings!$L$1:$M$110,2,FALSE)</f>
        <v>No answer provided</v>
      </c>
      <c r="O791" t="str">
        <f>VLOOKUP(E791,mappings!L:O,3,FALSE)</f>
        <v>No answer provided</v>
      </c>
      <c r="P791" t="str">
        <f>VLOOKUP(E791,mappings!L:P,4,FALSE)</f>
        <v>No answer provided</v>
      </c>
    </row>
    <row r="792" spans="1:16" x14ac:dyDescent="0.2">
      <c r="A792">
        <v>791</v>
      </c>
      <c r="B792">
        <v>3877688523</v>
      </c>
      <c r="C792" t="s">
        <v>6</v>
      </c>
      <c r="D792" t="s">
        <v>21</v>
      </c>
      <c r="E792" t="s">
        <v>8</v>
      </c>
      <c r="F792" t="s">
        <v>9</v>
      </c>
      <c r="G792" s="2">
        <f>VLOOKUP(F792,mappings!$G$2:$H$6,2,FALSE)</f>
        <v>4</v>
      </c>
      <c r="H792" t="s">
        <v>161</v>
      </c>
      <c r="I792" s="2">
        <f>VLOOKUP(H792,mappings!$D$2:$E$6,2,FALSE)</f>
        <v>2</v>
      </c>
      <c r="J792" t="s">
        <v>36</v>
      </c>
      <c r="K792" t="s">
        <v>48</v>
      </c>
      <c r="L792" s="2">
        <f>VLOOKUP(K792,mappings!$A$2:$B$13,2,FALSE)</f>
        <v>7</v>
      </c>
      <c r="M792" t="s">
        <v>24</v>
      </c>
      <c r="N792" t="str">
        <f>VLOOKUP(E792,mappings!$L$1:$M$110,2,FALSE)</f>
        <v>No answer provided</v>
      </c>
      <c r="O792" t="str">
        <f>VLOOKUP(E792,mappings!L:O,3,FALSE)</f>
        <v>No answer provided</v>
      </c>
      <c r="P792" t="str">
        <f>VLOOKUP(E792,mappings!L:P,4,FALSE)</f>
        <v>No answer provided</v>
      </c>
    </row>
    <row r="793" spans="1:16" x14ac:dyDescent="0.2">
      <c r="A793">
        <v>792</v>
      </c>
      <c r="B793">
        <v>3877686918</v>
      </c>
      <c r="C793" t="s">
        <v>26</v>
      </c>
      <c r="D793" t="s">
        <v>31</v>
      </c>
      <c r="E793" t="s">
        <v>8</v>
      </c>
      <c r="F793" t="s">
        <v>16</v>
      </c>
      <c r="G793" s="2">
        <f>VLOOKUP(F793,mappings!$G$2:$H$6,2,FALSE)</f>
        <v>3</v>
      </c>
      <c r="H793" t="s">
        <v>163</v>
      </c>
      <c r="I793" s="2">
        <f>VLOOKUP(H793,mappings!$D$2:$E$6,2,FALSE)</f>
        <v>3</v>
      </c>
      <c r="J793" t="s">
        <v>36</v>
      </c>
      <c r="K793" t="s">
        <v>23</v>
      </c>
      <c r="L793" s="2">
        <f>VLOOKUP(K793,mappings!$A$2:$B$13,2,FALSE)</f>
        <v>3</v>
      </c>
      <c r="M793" t="s">
        <v>20</v>
      </c>
      <c r="N793" t="str">
        <f>VLOOKUP(E793,mappings!$L$1:$M$110,2,FALSE)</f>
        <v>No answer provided</v>
      </c>
      <c r="O793" t="str">
        <f>VLOOKUP(E793,mappings!L:O,3,FALSE)</f>
        <v>No answer provided</v>
      </c>
      <c r="P793" t="str">
        <f>VLOOKUP(E793,mappings!L:P,4,FALSE)</f>
        <v>No answer provided</v>
      </c>
    </row>
    <row r="794" spans="1:16" x14ac:dyDescent="0.2">
      <c r="A794">
        <v>793</v>
      </c>
      <c r="B794">
        <v>3877686413</v>
      </c>
      <c r="C794" t="s">
        <v>6</v>
      </c>
      <c r="D794" t="s">
        <v>21</v>
      </c>
      <c r="E794" t="s">
        <v>8</v>
      </c>
      <c r="F794" t="s">
        <v>16</v>
      </c>
      <c r="G794" s="2">
        <f>VLOOKUP(F794,mappings!$G$2:$H$6,2,FALSE)</f>
        <v>3</v>
      </c>
      <c r="H794" t="s">
        <v>162</v>
      </c>
      <c r="I794" s="2">
        <f>VLOOKUP(H794,mappings!$D$2:$E$6,2,FALSE)</f>
        <v>1</v>
      </c>
      <c r="J794" t="s">
        <v>36</v>
      </c>
      <c r="K794" t="s">
        <v>33</v>
      </c>
      <c r="L794" s="2">
        <f>VLOOKUP(K794,mappings!$A$2:$B$13,2,FALSE)</f>
        <v>5</v>
      </c>
      <c r="M794" t="s">
        <v>34</v>
      </c>
      <c r="N794" t="str">
        <f>VLOOKUP(E794,mappings!$L$1:$M$110,2,FALSE)</f>
        <v>No answer provided</v>
      </c>
      <c r="O794" t="str">
        <f>VLOOKUP(E794,mappings!L:O,3,FALSE)</f>
        <v>No answer provided</v>
      </c>
      <c r="P794" t="str">
        <f>VLOOKUP(E794,mappings!L:P,4,FALSE)</f>
        <v>No answer provided</v>
      </c>
    </row>
    <row r="795" spans="1:16" x14ac:dyDescent="0.2">
      <c r="A795">
        <v>794</v>
      </c>
      <c r="B795">
        <v>3877685833</v>
      </c>
      <c r="C795" t="s">
        <v>6</v>
      </c>
      <c r="D795" t="s">
        <v>31</v>
      </c>
      <c r="E795" t="s">
        <v>8</v>
      </c>
      <c r="F795" t="s">
        <v>9</v>
      </c>
      <c r="G795" s="2">
        <f>VLOOKUP(F795,mappings!$G$2:$H$6,2,FALSE)</f>
        <v>4</v>
      </c>
      <c r="H795" t="s">
        <v>163</v>
      </c>
      <c r="I795" s="2">
        <f>VLOOKUP(H795,mappings!$D$2:$E$6,2,FALSE)</f>
        <v>3</v>
      </c>
      <c r="J795" t="s">
        <v>10</v>
      </c>
      <c r="K795" t="s">
        <v>14</v>
      </c>
      <c r="L795" s="2">
        <f>VLOOKUP(K795,mappings!$A$2:$B$13,2,FALSE)</f>
        <v>6</v>
      </c>
      <c r="M795" t="s">
        <v>12</v>
      </c>
      <c r="N795" t="str">
        <f>VLOOKUP(E795,mappings!$L$1:$M$110,2,FALSE)</f>
        <v>No answer provided</v>
      </c>
      <c r="O795" t="str">
        <f>VLOOKUP(E795,mappings!L:O,3,FALSE)</f>
        <v>No answer provided</v>
      </c>
      <c r="P795" t="str">
        <f>VLOOKUP(E795,mappings!L:P,4,FALSE)</f>
        <v>No answer provided</v>
      </c>
    </row>
    <row r="796" spans="1:16" x14ac:dyDescent="0.2">
      <c r="A796">
        <v>795</v>
      </c>
      <c r="B796">
        <v>3877685611</v>
      </c>
      <c r="C796" t="s">
        <v>26</v>
      </c>
      <c r="D796" t="s">
        <v>27</v>
      </c>
      <c r="E796" t="s">
        <v>8</v>
      </c>
      <c r="F796" t="s">
        <v>9</v>
      </c>
      <c r="G796" s="2">
        <f>VLOOKUP(F796,mappings!$G$2:$H$6,2,FALSE)</f>
        <v>4</v>
      </c>
      <c r="H796" t="s">
        <v>162</v>
      </c>
      <c r="I796" s="2">
        <f>VLOOKUP(H796,mappings!$D$2:$E$6,2,FALSE)</f>
        <v>1</v>
      </c>
      <c r="J796" t="s">
        <v>36</v>
      </c>
      <c r="K796" t="s">
        <v>32</v>
      </c>
      <c r="L796" s="2">
        <f>VLOOKUP(K796,mappings!$A$2:$B$13,2,FALSE)</f>
        <v>2</v>
      </c>
      <c r="M796" t="s">
        <v>12</v>
      </c>
      <c r="N796" t="str">
        <f>VLOOKUP(E796,mappings!$L$1:$M$110,2,FALSE)</f>
        <v>No answer provided</v>
      </c>
      <c r="O796" t="str">
        <f>VLOOKUP(E796,mappings!L:O,3,FALSE)</f>
        <v>No answer provided</v>
      </c>
      <c r="P796" t="str">
        <f>VLOOKUP(E796,mappings!L:P,4,FALSE)</f>
        <v>No answer provided</v>
      </c>
    </row>
    <row r="797" spans="1:16" x14ac:dyDescent="0.2">
      <c r="A797">
        <v>796</v>
      </c>
      <c r="B797">
        <v>3877685103</v>
      </c>
      <c r="C797" t="s">
        <v>26</v>
      </c>
      <c r="D797" t="s">
        <v>7</v>
      </c>
      <c r="E797" t="s">
        <v>8</v>
      </c>
      <c r="F797" t="s">
        <v>16</v>
      </c>
      <c r="G797" s="2">
        <f>VLOOKUP(F797,mappings!$G$2:$H$6,2,FALSE)</f>
        <v>3</v>
      </c>
      <c r="H797" t="s">
        <v>161</v>
      </c>
      <c r="I797" s="2">
        <f>VLOOKUP(H797,mappings!$D$2:$E$6,2,FALSE)</f>
        <v>2</v>
      </c>
      <c r="J797" t="s">
        <v>36</v>
      </c>
      <c r="K797" t="s">
        <v>14</v>
      </c>
      <c r="L797" s="2">
        <f>VLOOKUP(K797,mappings!$A$2:$B$13,2,FALSE)</f>
        <v>6</v>
      </c>
      <c r="M797" t="s">
        <v>34</v>
      </c>
      <c r="N797" t="str">
        <f>VLOOKUP(E797,mappings!$L$1:$M$110,2,FALSE)</f>
        <v>No answer provided</v>
      </c>
      <c r="O797" t="str">
        <f>VLOOKUP(E797,mappings!L:O,3,FALSE)</f>
        <v>No answer provided</v>
      </c>
      <c r="P797" t="str">
        <f>VLOOKUP(E797,mappings!L:P,4,FALSE)</f>
        <v>No answer provided</v>
      </c>
    </row>
    <row r="798" spans="1:16" x14ac:dyDescent="0.2">
      <c r="A798">
        <v>797</v>
      </c>
      <c r="B798">
        <v>3877684867</v>
      </c>
      <c r="C798" t="s">
        <v>6</v>
      </c>
      <c r="D798" t="s">
        <v>7</v>
      </c>
      <c r="E798" t="s">
        <v>8</v>
      </c>
      <c r="F798" t="s">
        <v>9</v>
      </c>
      <c r="G798" s="2">
        <f>VLOOKUP(F798,mappings!$G$2:$H$6,2,FALSE)</f>
        <v>4</v>
      </c>
      <c r="H798" t="s">
        <v>162</v>
      </c>
      <c r="I798" s="2">
        <f>VLOOKUP(H798,mappings!$D$2:$E$6,2,FALSE)</f>
        <v>1</v>
      </c>
      <c r="J798" t="s">
        <v>36</v>
      </c>
      <c r="K798" t="s">
        <v>11</v>
      </c>
      <c r="L798" s="2">
        <f>VLOOKUP(K798,mappings!$A$2:$B$13,2,FALSE)</f>
        <v>4</v>
      </c>
      <c r="M798" t="s">
        <v>12</v>
      </c>
      <c r="N798" t="str">
        <f>VLOOKUP(E798,mappings!$L$1:$M$110,2,FALSE)</f>
        <v>No answer provided</v>
      </c>
      <c r="O798" t="str">
        <f>VLOOKUP(E798,mappings!L:O,3,FALSE)</f>
        <v>No answer provided</v>
      </c>
      <c r="P798" t="str">
        <f>VLOOKUP(E798,mappings!L:P,4,FALSE)</f>
        <v>No answer provided</v>
      </c>
    </row>
    <row r="799" spans="1:16" x14ac:dyDescent="0.2">
      <c r="A799">
        <v>798</v>
      </c>
      <c r="B799">
        <v>3877682778</v>
      </c>
      <c r="C799" t="s">
        <v>6</v>
      </c>
      <c r="D799" t="s">
        <v>21</v>
      </c>
      <c r="E799" t="s">
        <v>8</v>
      </c>
      <c r="F799" t="s">
        <v>9</v>
      </c>
      <c r="G799" s="2">
        <f>VLOOKUP(F799,mappings!$G$2:$H$6,2,FALSE)</f>
        <v>4</v>
      </c>
      <c r="H799" t="s">
        <v>162</v>
      </c>
      <c r="I799" s="2">
        <f>VLOOKUP(H799,mappings!$D$2:$E$6,2,FALSE)</f>
        <v>1</v>
      </c>
      <c r="J799" t="s">
        <v>10</v>
      </c>
      <c r="K799" t="s">
        <v>13</v>
      </c>
      <c r="L799" s="2">
        <f>VLOOKUP(K799,mappings!$A$2:$B$13,2,FALSE)</f>
        <v>11</v>
      </c>
      <c r="M799" t="s">
        <v>20</v>
      </c>
      <c r="N799" t="str">
        <f>VLOOKUP(E799,mappings!$L$1:$M$110,2,FALSE)</f>
        <v>No answer provided</v>
      </c>
      <c r="O799" t="str">
        <f>VLOOKUP(E799,mappings!L:O,3,FALSE)</f>
        <v>No answer provided</v>
      </c>
      <c r="P799" t="str">
        <f>VLOOKUP(E799,mappings!L:P,4,FALSE)</f>
        <v>No answer provided</v>
      </c>
    </row>
    <row r="800" spans="1:16" x14ac:dyDescent="0.2">
      <c r="A800">
        <v>799</v>
      </c>
      <c r="B800">
        <v>3877682733</v>
      </c>
      <c r="C800" t="s">
        <v>26</v>
      </c>
      <c r="D800" t="s">
        <v>40</v>
      </c>
      <c r="E800" t="s">
        <v>8</v>
      </c>
      <c r="F800" t="s">
        <v>16</v>
      </c>
      <c r="G800" s="2">
        <f>VLOOKUP(F800,mappings!$G$2:$H$6,2,FALSE)</f>
        <v>3</v>
      </c>
      <c r="H800" t="s">
        <v>163</v>
      </c>
      <c r="I800" s="2">
        <f>VLOOKUP(H800,mappings!$D$2:$E$6,2,FALSE)</f>
        <v>3</v>
      </c>
      <c r="J800" t="s">
        <v>10</v>
      </c>
      <c r="K800" t="s">
        <v>11</v>
      </c>
      <c r="L800" s="2">
        <f>VLOOKUP(K800,mappings!$A$2:$B$13,2,FALSE)</f>
        <v>4</v>
      </c>
      <c r="M800" t="s">
        <v>12</v>
      </c>
      <c r="N800" t="str">
        <f>VLOOKUP(E800,mappings!$L$1:$M$110,2,FALSE)</f>
        <v>No answer provided</v>
      </c>
      <c r="O800" t="str">
        <f>VLOOKUP(E800,mappings!L:O,3,FALSE)</f>
        <v>No answer provided</v>
      </c>
      <c r="P800" t="str">
        <f>VLOOKUP(E800,mappings!L:P,4,FALSE)</f>
        <v>No answer provided</v>
      </c>
    </row>
    <row r="801" spans="1:16" x14ac:dyDescent="0.2">
      <c r="A801">
        <v>800</v>
      </c>
      <c r="B801">
        <v>3877679711</v>
      </c>
      <c r="C801" t="s">
        <v>6</v>
      </c>
      <c r="D801" t="s">
        <v>31</v>
      </c>
      <c r="E801" t="s">
        <v>8</v>
      </c>
      <c r="F801" t="s">
        <v>16</v>
      </c>
      <c r="G801" s="2">
        <f>VLOOKUP(F801,mappings!$G$2:$H$6,2,FALSE)</f>
        <v>3</v>
      </c>
      <c r="H801" t="s">
        <v>43</v>
      </c>
      <c r="I801" s="2">
        <f>VLOOKUP(H801,mappings!$D$2:$E$6,2,FALSE)</f>
        <v>4</v>
      </c>
      <c r="J801" t="s">
        <v>10</v>
      </c>
      <c r="K801" t="s">
        <v>11</v>
      </c>
      <c r="L801" s="2">
        <f>VLOOKUP(K801,mappings!$A$2:$B$13,2,FALSE)</f>
        <v>4</v>
      </c>
      <c r="M801" t="s">
        <v>42</v>
      </c>
      <c r="N801" t="str">
        <f>VLOOKUP(E801,mappings!$L$1:$M$110,2,FALSE)</f>
        <v>No answer provided</v>
      </c>
      <c r="O801" t="str">
        <f>VLOOKUP(E801,mappings!L:O,3,FALSE)</f>
        <v>No answer provided</v>
      </c>
      <c r="P801" t="str">
        <f>VLOOKUP(E801,mappings!L:P,4,FALSE)</f>
        <v>No answer provided</v>
      </c>
    </row>
    <row r="802" spans="1:16" x14ac:dyDescent="0.2">
      <c r="A802">
        <v>801</v>
      </c>
      <c r="B802">
        <v>3877679528</v>
      </c>
      <c r="C802" t="s">
        <v>6</v>
      </c>
      <c r="D802" t="s">
        <v>31</v>
      </c>
      <c r="E802" t="s">
        <v>8</v>
      </c>
      <c r="F802" t="s">
        <v>9</v>
      </c>
      <c r="G802" s="2">
        <f>VLOOKUP(F802,mappings!$G$2:$H$6,2,FALSE)</f>
        <v>4</v>
      </c>
      <c r="H802" t="s">
        <v>43</v>
      </c>
      <c r="I802" s="2">
        <f>VLOOKUP(H802,mappings!$D$2:$E$6,2,FALSE)</f>
        <v>4</v>
      </c>
      <c r="J802" t="s">
        <v>36</v>
      </c>
      <c r="K802" t="s">
        <v>23</v>
      </c>
      <c r="L802" s="2">
        <f>VLOOKUP(K802,mappings!$A$2:$B$13,2,FALSE)</f>
        <v>3</v>
      </c>
      <c r="M802" t="s">
        <v>42</v>
      </c>
      <c r="N802" t="str">
        <f>VLOOKUP(E802,mappings!$L$1:$M$110,2,FALSE)</f>
        <v>No answer provided</v>
      </c>
      <c r="O802" t="str">
        <f>VLOOKUP(E802,mappings!L:O,3,FALSE)</f>
        <v>No answer provided</v>
      </c>
      <c r="P802" t="str">
        <f>VLOOKUP(E802,mappings!L:P,4,FALSE)</f>
        <v>No answer provided</v>
      </c>
    </row>
    <row r="803" spans="1:16" x14ac:dyDescent="0.2">
      <c r="A803">
        <v>802</v>
      </c>
      <c r="B803">
        <v>3877675285</v>
      </c>
      <c r="C803" t="s">
        <v>6</v>
      </c>
      <c r="D803" t="s">
        <v>31</v>
      </c>
      <c r="E803" t="s">
        <v>8</v>
      </c>
      <c r="F803" t="s">
        <v>16</v>
      </c>
      <c r="G803" s="2">
        <f>VLOOKUP(F803,mappings!$G$2:$H$6,2,FALSE)</f>
        <v>3</v>
      </c>
      <c r="H803" t="s">
        <v>43</v>
      </c>
      <c r="I803" s="2">
        <f>VLOOKUP(H803,mappings!$D$2:$E$6,2,FALSE)</f>
        <v>4</v>
      </c>
      <c r="J803" t="s">
        <v>10</v>
      </c>
      <c r="K803" t="s">
        <v>33</v>
      </c>
      <c r="L803" s="2">
        <f>VLOOKUP(K803,mappings!$A$2:$B$13,2,FALSE)</f>
        <v>5</v>
      </c>
      <c r="M803" t="s">
        <v>25</v>
      </c>
      <c r="N803" t="str">
        <f>VLOOKUP(E803,mappings!$L$1:$M$110,2,FALSE)</f>
        <v>No answer provided</v>
      </c>
      <c r="O803" t="str">
        <f>VLOOKUP(E803,mappings!L:O,3,FALSE)</f>
        <v>No answer provided</v>
      </c>
      <c r="P803" t="str">
        <f>VLOOKUP(E803,mappings!L:P,4,FALSE)</f>
        <v>No answer provided</v>
      </c>
    </row>
    <row r="804" spans="1:16" x14ac:dyDescent="0.2">
      <c r="A804">
        <v>803</v>
      </c>
      <c r="B804">
        <v>3877674431</v>
      </c>
      <c r="C804" t="s">
        <v>26</v>
      </c>
      <c r="D804" t="s">
        <v>7</v>
      </c>
      <c r="E804" t="s">
        <v>8</v>
      </c>
      <c r="F804" t="s">
        <v>22</v>
      </c>
      <c r="G804" s="2">
        <f>VLOOKUP(F804,mappings!$G$2:$H$6,2,FALSE)</f>
        <v>1</v>
      </c>
      <c r="H804" t="s">
        <v>162</v>
      </c>
      <c r="I804" s="2">
        <f>VLOOKUP(H804,mappings!$D$2:$E$6,2,FALSE)</f>
        <v>1</v>
      </c>
      <c r="J804" t="s">
        <v>36</v>
      </c>
      <c r="K804" t="s">
        <v>47</v>
      </c>
      <c r="L804" s="2">
        <f>VLOOKUP(K804,mappings!$A$2:$B$13,2,FALSE)</f>
        <v>9</v>
      </c>
      <c r="M804" t="s">
        <v>38</v>
      </c>
      <c r="N804" t="str">
        <f>VLOOKUP(E804,mappings!$L$1:$M$110,2,FALSE)</f>
        <v>No answer provided</v>
      </c>
      <c r="O804" t="str">
        <f>VLOOKUP(E804,mappings!L:O,3,FALSE)</f>
        <v>No answer provided</v>
      </c>
      <c r="P804" t="str">
        <f>VLOOKUP(E804,mappings!L:P,4,FALSE)</f>
        <v>No answer provided</v>
      </c>
    </row>
    <row r="805" spans="1:16" x14ac:dyDescent="0.2">
      <c r="A805">
        <v>804</v>
      </c>
      <c r="B805">
        <v>3877673406</v>
      </c>
      <c r="C805" t="s">
        <v>6</v>
      </c>
      <c r="D805" t="s">
        <v>1</v>
      </c>
      <c r="E805" t="s">
        <v>148</v>
      </c>
      <c r="F805" t="s">
        <v>16</v>
      </c>
      <c r="G805" s="2">
        <f>VLOOKUP(F805,mappings!$G$2:$H$6,2,FALSE)</f>
        <v>3</v>
      </c>
      <c r="H805" t="s">
        <v>162</v>
      </c>
      <c r="I805" s="2">
        <f>VLOOKUP(H805,mappings!$D$2:$E$6,2,FALSE)</f>
        <v>1</v>
      </c>
      <c r="J805" t="s">
        <v>36</v>
      </c>
      <c r="K805" t="s">
        <v>23</v>
      </c>
      <c r="L805" s="2">
        <f>VLOOKUP(K805,mappings!$A$2:$B$13,2,FALSE)</f>
        <v>3</v>
      </c>
      <c r="M805" t="s">
        <v>20</v>
      </c>
      <c r="N805" t="str">
        <f>VLOOKUP(E805,mappings!$L$1:$M$110,2,FALSE)</f>
        <v>Yahoo</v>
      </c>
      <c r="O805" t="str">
        <f>VLOOKUP(E805,mappings!L:O,3,FALSE)</f>
        <v>App</v>
      </c>
      <c r="P805" t="str">
        <f>VLOOKUP(E805,mappings!L:P,4,FALSE)</f>
        <v>Apple</v>
      </c>
    </row>
    <row r="806" spans="1:16" x14ac:dyDescent="0.2">
      <c r="A806">
        <v>805</v>
      </c>
      <c r="B806">
        <v>3877673386</v>
      </c>
      <c r="C806" t="s">
        <v>6</v>
      </c>
      <c r="D806" t="s">
        <v>31</v>
      </c>
      <c r="E806" t="s">
        <v>8</v>
      </c>
      <c r="F806" t="s">
        <v>9</v>
      </c>
      <c r="G806" s="2">
        <f>VLOOKUP(F806,mappings!$G$2:$H$6,2,FALSE)</f>
        <v>4</v>
      </c>
      <c r="H806" t="s">
        <v>43</v>
      </c>
      <c r="I806" s="2">
        <f>VLOOKUP(H806,mappings!$D$2:$E$6,2,FALSE)</f>
        <v>4</v>
      </c>
      <c r="J806" t="s">
        <v>36</v>
      </c>
      <c r="K806" t="s">
        <v>47</v>
      </c>
      <c r="L806" s="2">
        <f>VLOOKUP(K806,mappings!$A$2:$B$13,2,FALSE)</f>
        <v>9</v>
      </c>
      <c r="M806" t="s">
        <v>24</v>
      </c>
      <c r="N806" t="str">
        <f>VLOOKUP(E806,mappings!$L$1:$M$110,2,FALSE)</f>
        <v>No answer provided</v>
      </c>
      <c r="O806" t="str">
        <f>VLOOKUP(E806,mappings!L:O,3,FALSE)</f>
        <v>No answer provided</v>
      </c>
      <c r="P806" t="str">
        <f>VLOOKUP(E806,mappings!L:P,4,FALSE)</f>
        <v>No answer provided</v>
      </c>
    </row>
    <row r="807" spans="1:16" x14ac:dyDescent="0.2">
      <c r="A807">
        <v>806</v>
      </c>
      <c r="B807">
        <v>3877671160</v>
      </c>
      <c r="C807" t="s">
        <v>26</v>
      </c>
      <c r="D807" t="s">
        <v>1</v>
      </c>
      <c r="E807" t="s">
        <v>149</v>
      </c>
      <c r="F807" t="s">
        <v>16</v>
      </c>
      <c r="G807" s="2">
        <f>VLOOKUP(F807,mappings!$G$2:$H$6,2,FALSE)</f>
        <v>3</v>
      </c>
      <c r="H807" t="s">
        <v>163</v>
      </c>
      <c r="I807" s="2">
        <f>VLOOKUP(H807,mappings!$D$2:$E$6,2,FALSE)</f>
        <v>3</v>
      </c>
      <c r="J807" t="s">
        <v>36</v>
      </c>
      <c r="K807" t="s">
        <v>23</v>
      </c>
      <c r="L807" s="2">
        <f>VLOOKUP(K807,mappings!$A$2:$B$13,2,FALSE)</f>
        <v>3</v>
      </c>
      <c r="M807" t="s">
        <v>24</v>
      </c>
      <c r="N807" t="str">
        <f>VLOOKUP(E807,mappings!$L$1:$M$110,2,FALSE)</f>
        <v>Other or unknown</v>
      </c>
      <c r="O807" t="str">
        <f>VLOOKUP(E807,mappings!L:O,3,FALSE)</f>
        <v>App</v>
      </c>
      <c r="P807" t="str">
        <f>VLOOKUP(E807,mappings!L:P,4,FALSE)</f>
        <v>Other or unkown</v>
      </c>
    </row>
    <row r="808" spans="1:16" x14ac:dyDescent="0.2">
      <c r="A808">
        <v>807</v>
      </c>
      <c r="B808">
        <v>3877668804</v>
      </c>
      <c r="C808" t="s">
        <v>6</v>
      </c>
      <c r="D808" t="s">
        <v>7</v>
      </c>
      <c r="E808" t="s">
        <v>8</v>
      </c>
      <c r="F808" t="s">
        <v>16</v>
      </c>
      <c r="G808" s="2">
        <f>VLOOKUP(F808,mappings!$G$2:$H$6,2,FALSE)</f>
        <v>3</v>
      </c>
      <c r="H808" t="s">
        <v>162</v>
      </c>
      <c r="I808" s="2">
        <f>VLOOKUP(H808,mappings!$D$2:$E$6,2,FALSE)</f>
        <v>1</v>
      </c>
      <c r="J808" t="s">
        <v>36</v>
      </c>
      <c r="K808" t="s">
        <v>32</v>
      </c>
      <c r="L808" s="2">
        <f>VLOOKUP(K808,mappings!$A$2:$B$13,2,FALSE)</f>
        <v>2</v>
      </c>
      <c r="M808" t="s">
        <v>8</v>
      </c>
      <c r="N808" t="str">
        <f>VLOOKUP(E808,mappings!$L$1:$M$110,2,FALSE)</f>
        <v>No answer provided</v>
      </c>
      <c r="O808" t="str">
        <f>VLOOKUP(E808,mappings!L:O,3,FALSE)</f>
        <v>No answer provided</v>
      </c>
      <c r="P808" t="str">
        <f>VLOOKUP(E808,mappings!L:P,4,FALSE)</f>
        <v>No answer provided</v>
      </c>
    </row>
    <row r="809" spans="1:16" x14ac:dyDescent="0.2">
      <c r="A809">
        <v>808</v>
      </c>
      <c r="B809">
        <v>3877668573</v>
      </c>
      <c r="C809" t="s">
        <v>6</v>
      </c>
      <c r="D809" t="s">
        <v>1</v>
      </c>
      <c r="E809" t="s">
        <v>150</v>
      </c>
      <c r="F809" t="s">
        <v>9</v>
      </c>
      <c r="G809" s="2">
        <f>VLOOKUP(F809,mappings!$G$2:$H$6,2,FALSE)</f>
        <v>4</v>
      </c>
      <c r="H809" t="s">
        <v>162</v>
      </c>
      <c r="I809" s="2">
        <f>VLOOKUP(H809,mappings!$D$2:$E$6,2,FALSE)</f>
        <v>1</v>
      </c>
      <c r="J809" t="s">
        <v>36</v>
      </c>
      <c r="K809" t="s">
        <v>29</v>
      </c>
      <c r="L809" s="2">
        <f>VLOOKUP(K809,mappings!$A$2:$B$13,2,FALSE)</f>
        <v>1</v>
      </c>
      <c r="M809" t="s">
        <v>38</v>
      </c>
      <c r="N809" t="str">
        <f>VLOOKUP(E809,mappings!$L$1:$M$110,2,FALSE)</f>
        <v>Yahoo</v>
      </c>
      <c r="O809" t="str">
        <f>VLOOKUP(E809,mappings!L:O,3,FALSE)</f>
        <v>App</v>
      </c>
      <c r="P809" t="str">
        <f>VLOOKUP(E809,mappings!L:P,4,FALSE)</f>
        <v>Apple</v>
      </c>
    </row>
    <row r="810" spans="1:16" x14ac:dyDescent="0.2">
      <c r="A810">
        <v>809</v>
      </c>
      <c r="B810">
        <v>3877668518</v>
      </c>
      <c r="C810" t="s">
        <v>6</v>
      </c>
      <c r="D810" t="s">
        <v>7</v>
      </c>
      <c r="E810" t="s">
        <v>8</v>
      </c>
      <c r="F810" t="s">
        <v>9</v>
      </c>
      <c r="G810" s="2">
        <f>VLOOKUP(F810,mappings!$G$2:$H$6,2,FALSE)</f>
        <v>4</v>
      </c>
      <c r="H810" t="s">
        <v>162</v>
      </c>
      <c r="I810" s="2">
        <f>VLOOKUP(H810,mappings!$D$2:$E$6,2,FALSE)</f>
        <v>1</v>
      </c>
      <c r="J810" t="s">
        <v>36</v>
      </c>
      <c r="K810" t="s">
        <v>48</v>
      </c>
      <c r="L810" s="2">
        <f>VLOOKUP(K810,mappings!$A$2:$B$13,2,FALSE)</f>
        <v>7</v>
      </c>
      <c r="M810" t="s">
        <v>38</v>
      </c>
      <c r="N810" t="str">
        <f>VLOOKUP(E810,mappings!$L$1:$M$110,2,FALSE)</f>
        <v>No answer provided</v>
      </c>
      <c r="O810" t="str">
        <f>VLOOKUP(E810,mappings!L:O,3,FALSE)</f>
        <v>No answer provided</v>
      </c>
      <c r="P810" t="str">
        <f>VLOOKUP(E810,mappings!L:P,4,FALSE)</f>
        <v>No answer provided</v>
      </c>
    </row>
    <row r="811" spans="1:16" x14ac:dyDescent="0.2">
      <c r="A811">
        <v>810</v>
      </c>
      <c r="B811">
        <v>3877668411</v>
      </c>
      <c r="C811" t="s">
        <v>6</v>
      </c>
      <c r="D811" t="s">
        <v>21</v>
      </c>
      <c r="E811" t="s">
        <v>8</v>
      </c>
      <c r="F811" t="s">
        <v>16</v>
      </c>
      <c r="G811" s="2">
        <f>VLOOKUP(F811,mappings!$G$2:$H$6,2,FALSE)</f>
        <v>3</v>
      </c>
      <c r="H811" t="s">
        <v>161</v>
      </c>
      <c r="I811" s="2">
        <f>VLOOKUP(H811,mappings!$D$2:$E$6,2,FALSE)</f>
        <v>2</v>
      </c>
      <c r="J811" t="s">
        <v>36</v>
      </c>
      <c r="K811" t="s">
        <v>18</v>
      </c>
      <c r="L811" s="2">
        <f>VLOOKUP(K811,mappings!$A$2:$B$13,2,FALSE)</f>
        <v>8</v>
      </c>
      <c r="M811" t="s">
        <v>38</v>
      </c>
      <c r="N811" t="str">
        <f>VLOOKUP(E811,mappings!$L$1:$M$110,2,FALSE)</f>
        <v>No answer provided</v>
      </c>
      <c r="O811" t="str">
        <f>VLOOKUP(E811,mappings!L:O,3,FALSE)</f>
        <v>No answer provided</v>
      </c>
      <c r="P811" t="str">
        <f>VLOOKUP(E811,mappings!L:P,4,FALSE)</f>
        <v>No answer provided</v>
      </c>
    </row>
    <row r="812" spans="1:16" x14ac:dyDescent="0.2">
      <c r="A812">
        <v>811</v>
      </c>
      <c r="B812">
        <v>3877666795</v>
      </c>
      <c r="C812" t="s">
        <v>6</v>
      </c>
      <c r="D812" t="s">
        <v>31</v>
      </c>
      <c r="E812" t="s">
        <v>8</v>
      </c>
      <c r="F812" t="s">
        <v>16</v>
      </c>
      <c r="G812" s="2">
        <f>VLOOKUP(F812,mappings!$G$2:$H$6,2,FALSE)</f>
        <v>3</v>
      </c>
      <c r="H812" t="s">
        <v>163</v>
      </c>
      <c r="I812" s="2">
        <f>VLOOKUP(H812,mappings!$D$2:$E$6,2,FALSE)</f>
        <v>3</v>
      </c>
      <c r="J812" t="s">
        <v>36</v>
      </c>
      <c r="K812" t="s">
        <v>23</v>
      </c>
      <c r="L812" s="2">
        <f>VLOOKUP(K812,mappings!$A$2:$B$13,2,FALSE)</f>
        <v>3</v>
      </c>
      <c r="M812" t="s">
        <v>30</v>
      </c>
      <c r="N812" t="str">
        <f>VLOOKUP(E812,mappings!$L$1:$M$110,2,FALSE)</f>
        <v>No answer provided</v>
      </c>
      <c r="O812" t="str">
        <f>VLOOKUP(E812,mappings!L:O,3,FALSE)</f>
        <v>No answer provided</v>
      </c>
      <c r="P812" t="str">
        <f>VLOOKUP(E812,mappings!L:P,4,FALSE)</f>
        <v>No answer provided</v>
      </c>
    </row>
    <row r="813" spans="1:16" x14ac:dyDescent="0.2">
      <c r="A813">
        <v>812</v>
      </c>
      <c r="B813">
        <v>3877666179</v>
      </c>
      <c r="C813" t="s">
        <v>6</v>
      </c>
      <c r="D813" t="s">
        <v>27</v>
      </c>
      <c r="E813" t="s">
        <v>8</v>
      </c>
      <c r="F813" t="s">
        <v>16</v>
      </c>
      <c r="G813" s="2">
        <f>VLOOKUP(F813,mappings!$G$2:$H$6,2,FALSE)</f>
        <v>3</v>
      </c>
      <c r="H813" t="s">
        <v>43</v>
      </c>
      <c r="I813" s="2">
        <f>VLOOKUP(H813,mappings!$D$2:$E$6,2,FALSE)</f>
        <v>4</v>
      </c>
      <c r="J813" t="s">
        <v>36</v>
      </c>
      <c r="K813" t="s">
        <v>13</v>
      </c>
      <c r="L813" s="2">
        <f>VLOOKUP(K813,mappings!$A$2:$B$13,2,FALSE)</f>
        <v>11</v>
      </c>
      <c r="M813" t="s">
        <v>20</v>
      </c>
      <c r="N813" t="str">
        <f>VLOOKUP(E813,mappings!$L$1:$M$110,2,FALSE)</f>
        <v>No answer provided</v>
      </c>
      <c r="O813" t="str">
        <f>VLOOKUP(E813,mappings!L:O,3,FALSE)</f>
        <v>No answer provided</v>
      </c>
      <c r="P813" t="str">
        <f>VLOOKUP(E813,mappings!L:P,4,FALSE)</f>
        <v>No answer provided</v>
      </c>
    </row>
    <row r="814" spans="1:16" x14ac:dyDescent="0.2">
      <c r="A814">
        <v>813</v>
      </c>
      <c r="B814">
        <v>3877665489</v>
      </c>
      <c r="C814" t="s">
        <v>6</v>
      </c>
      <c r="D814" t="s">
        <v>1</v>
      </c>
      <c r="E814" t="s">
        <v>61</v>
      </c>
      <c r="F814" t="s">
        <v>16</v>
      </c>
      <c r="G814" s="2">
        <f>VLOOKUP(F814,mappings!$G$2:$H$6,2,FALSE)</f>
        <v>3</v>
      </c>
      <c r="H814" t="s">
        <v>163</v>
      </c>
      <c r="I814" s="2">
        <f>VLOOKUP(H814,mappings!$D$2:$E$6,2,FALSE)</f>
        <v>3</v>
      </c>
      <c r="J814" t="s">
        <v>36</v>
      </c>
      <c r="K814" t="s">
        <v>23</v>
      </c>
      <c r="L814" s="2">
        <f>VLOOKUP(K814,mappings!$A$2:$B$13,2,FALSE)</f>
        <v>3</v>
      </c>
      <c r="M814" t="s">
        <v>30</v>
      </c>
      <c r="N814" t="str">
        <f>VLOOKUP(E814,mappings!$L$1:$M$110,2,FALSE)</f>
        <v>Weatherbug</v>
      </c>
      <c r="O814" t="str">
        <f>VLOOKUP(E814,mappings!L:O,3,FALSE)</f>
        <v>Website</v>
      </c>
      <c r="P814" t="str">
        <f>VLOOKUP(E814,mappings!L:P,4,FALSE)</f>
        <v>Other or unkown</v>
      </c>
    </row>
    <row r="815" spans="1:16" x14ac:dyDescent="0.2">
      <c r="A815">
        <v>814</v>
      </c>
      <c r="B815">
        <v>3877661347</v>
      </c>
      <c r="C815" t="s">
        <v>6</v>
      </c>
      <c r="D815" t="s">
        <v>41</v>
      </c>
      <c r="E815" t="s">
        <v>8</v>
      </c>
      <c r="F815" t="s">
        <v>16</v>
      </c>
      <c r="G815" s="2">
        <f>VLOOKUP(F815,mappings!$G$2:$H$6,2,FALSE)</f>
        <v>3</v>
      </c>
      <c r="H815" t="s">
        <v>43</v>
      </c>
      <c r="I815" s="2">
        <f>VLOOKUP(H815,mappings!$D$2:$E$6,2,FALSE)</f>
        <v>4</v>
      </c>
      <c r="J815" t="s">
        <v>10</v>
      </c>
      <c r="K815" t="s">
        <v>33</v>
      </c>
      <c r="L815" s="2">
        <f>VLOOKUP(K815,mappings!$A$2:$B$13,2,FALSE)</f>
        <v>5</v>
      </c>
      <c r="M815" t="s">
        <v>34</v>
      </c>
      <c r="N815" t="str">
        <f>VLOOKUP(E815,mappings!$L$1:$M$110,2,FALSE)</f>
        <v>No answer provided</v>
      </c>
      <c r="O815" t="str">
        <f>VLOOKUP(E815,mappings!L:O,3,FALSE)</f>
        <v>No answer provided</v>
      </c>
      <c r="P815" t="str">
        <f>VLOOKUP(E815,mappings!L:P,4,FALSE)</f>
        <v>No answer provided</v>
      </c>
    </row>
    <row r="816" spans="1:16" x14ac:dyDescent="0.2">
      <c r="A816">
        <v>815</v>
      </c>
      <c r="B816">
        <v>3877660370</v>
      </c>
      <c r="C816" t="s">
        <v>6</v>
      </c>
      <c r="D816" t="s">
        <v>1</v>
      </c>
      <c r="E816" t="s">
        <v>151</v>
      </c>
      <c r="F816" t="s">
        <v>9</v>
      </c>
      <c r="G816" s="2">
        <f>VLOOKUP(F816,mappings!$G$2:$H$6,2,FALSE)</f>
        <v>4</v>
      </c>
      <c r="H816" t="s">
        <v>43</v>
      </c>
      <c r="I816" s="2">
        <f>VLOOKUP(H816,mappings!$D$2:$E$6,2,FALSE)</f>
        <v>4</v>
      </c>
      <c r="J816" t="s">
        <v>36</v>
      </c>
      <c r="K816" t="s">
        <v>39</v>
      </c>
      <c r="L816" s="2">
        <f>VLOOKUP(K816,mappings!$A$2:$B$13,2,FALSE)</f>
        <v>10</v>
      </c>
      <c r="M816" t="s">
        <v>20</v>
      </c>
      <c r="N816" t="str">
        <f>VLOOKUP(E816,mappings!$L$1:$M$110,2,FALSE)</f>
        <v>The Weather Channel</v>
      </c>
      <c r="O816" t="str">
        <f>VLOOKUP(E816,mappings!L:O,3,FALSE)</f>
        <v>Website</v>
      </c>
      <c r="P816" t="str">
        <f>VLOOKUP(E816,mappings!L:P,4,FALSE)</f>
        <v>Other or unkown</v>
      </c>
    </row>
    <row r="817" spans="1:16" x14ac:dyDescent="0.2">
      <c r="A817">
        <v>816</v>
      </c>
      <c r="B817">
        <v>3877660042</v>
      </c>
      <c r="C817" t="s">
        <v>6</v>
      </c>
      <c r="D817" t="s">
        <v>7</v>
      </c>
      <c r="E817" t="s">
        <v>8</v>
      </c>
      <c r="F817" t="s">
        <v>28</v>
      </c>
      <c r="G817" s="2">
        <f>VLOOKUP(F817,mappings!$G$2:$H$6,2,FALSE)</f>
        <v>2</v>
      </c>
      <c r="H817" t="s">
        <v>162</v>
      </c>
      <c r="I817" s="2">
        <f>VLOOKUP(H817,mappings!$D$2:$E$6,2,FALSE)</f>
        <v>1</v>
      </c>
      <c r="J817" t="s">
        <v>36</v>
      </c>
      <c r="K817" t="s">
        <v>23</v>
      </c>
      <c r="L817" s="2">
        <f>VLOOKUP(K817,mappings!$A$2:$B$13,2,FALSE)</f>
        <v>3</v>
      </c>
      <c r="M817" t="s">
        <v>20</v>
      </c>
      <c r="N817" t="str">
        <f>VLOOKUP(E817,mappings!$L$1:$M$110,2,FALSE)</f>
        <v>No answer provided</v>
      </c>
      <c r="O817" t="str">
        <f>VLOOKUP(E817,mappings!L:O,3,FALSE)</f>
        <v>No answer provided</v>
      </c>
      <c r="P817" t="str">
        <f>VLOOKUP(E817,mappings!L:P,4,FALSE)</f>
        <v>No answer provided</v>
      </c>
    </row>
    <row r="818" spans="1:16" x14ac:dyDescent="0.2">
      <c r="A818">
        <v>817</v>
      </c>
      <c r="B818">
        <v>3877656203</v>
      </c>
      <c r="C818" t="s">
        <v>6</v>
      </c>
      <c r="D818" t="s">
        <v>21</v>
      </c>
      <c r="E818" t="s">
        <v>8</v>
      </c>
      <c r="F818" t="s">
        <v>16</v>
      </c>
      <c r="G818" s="2">
        <f>VLOOKUP(F818,mappings!$G$2:$H$6,2,FALSE)</f>
        <v>3</v>
      </c>
      <c r="H818" t="s">
        <v>163</v>
      </c>
      <c r="I818" s="2">
        <f>VLOOKUP(H818,mappings!$D$2:$E$6,2,FALSE)</f>
        <v>3</v>
      </c>
      <c r="J818" t="s">
        <v>10</v>
      </c>
      <c r="K818" t="s">
        <v>11</v>
      </c>
      <c r="L818" s="2">
        <f>VLOOKUP(K818,mappings!$A$2:$B$13,2,FALSE)</f>
        <v>4</v>
      </c>
      <c r="M818" t="s">
        <v>24</v>
      </c>
      <c r="N818" t="str">
        <f>VLOOKUP(E818,mappings!$L$1:$M$110,2,FALSE)</f>
        <v>No answer provided</v>
      </c>
      <c r="O818" t="str">
        <f>VLOOKUP(E818,mappings!L:O,3,FALSE)</f>
        <v>No answer provided</v>
      </c>
      <c r="P818" t="str">
        <f>VLOOKUP(E818,mappings!L:P,4,FALSE)</f>
        <v>No answer provided</v>
      </c>
    </row>
    <row r="819" spans="1:16" x14ac:dyDescent="0.2">
      <c r="A819">
        <v>818</v>
      </c>
      <c r="B819">
        <v>3877654524</v>
      </c>
      <c r="C819" t="s">
        <v>6</v>
      </c>
      <c r="D819" t="s">
        <v>27</v>
      </c>
      <c r="E819" t="s">
        <v>8</v>
      </c>
      <c r="F819" t="s">
        <v>22</v>
      </c>
      <c r="G819" s="2">
        <f>VLOOKUP(F819,mappings!$G$2:$H$6,2,FALSE)</f>
        <v>1</v>
      </c>
      <c r="H819" t="s">
        <v>162</v>
      </c>
      <c r="I819" s="2">
        <f>VLOOKUP(H819,mappings!$D$2:$E$6,2,FALSE)</f>
        <v>1</v>
      </c>
      <c r="J819" t="s">
        <v>36</v>
      </c>
      <c r="K819" t="s">
        <v>13</v>
      </c>
      <c r="L819" s="2">
        <f>VLOOKUP(K819,mappings!$A$2:$B$13,2,FALSE)</f>
        <v>11</v>
      </c>
      <c r="M819" t="s">
        <v>8</v>
      </c>
      <c r="N819" t="str">
        <f>VLOOKUP(E819,mappings!$L$1:$M$110,2,FALSE)</f>
        <v>No answer provided</v>
      </c>
      <c r="O819" t="str">
        <f>VLOOKUP(E819,mappings!L:O,3,FALSE)</f>
        <v>No answer provided</v>
      </c>
      <c r="P819" t="str">
        <f>VLOOKUP(E819,mappings!L:P,4,FALSE)</f>
        <v>No answer provided</v>
      </c>
    </row>
    <row r="820" spans="1:16" x14ac:dyDescent="0.2">
      <c r="A820">
        <v>819</v>
      </c>
      <c r="B820">
        <v>3877654523</v>
      </c>
      <c r="C820" t="s">
        <v>6</v>
      </c>
      <c r="D820" t="s">
        <v>1</v>
      </c>
      <c r="E820" t="s">
        <v>70</v>
      </c>
      <c r="F820" t="s">
        <v>9</v>
      </c>
      <c r="G820" s="2">
        <f>VLOOKUP(F820,mappings!$G$2:$H$6,2,FALSE)</f>
        <v>4</v>
      </c>
      <c r="H820" t="s">
        <v>163</v>
      </c>
      <c r="I820" s="2">
        <f>VLOOKUP(H820,mappings!$D$2:$E$6,2,FALSE)</f>
        <v>3</v>
      </c>
      <c r="J820" t="s">
        <v>10</v>
      </c>
      <c r="K820" t="s">
        <v>33</v>
      </c>
      <c r="L820" s="2">
        <f>VLOOKUP(K820,mappings!$A$2:$B$13,2,FALSE)</f>
        <v>5</v>
      </c>
      <c r="M820" t="s">
        <v>12</v>
      </c>
      <c r="N820" t="str">
        <f>VLOOKUP(E820,mappings!$L$1:$M$110,2,FALSE)</f>
        <v>AccuWeather</v>
      </c>
      <c r="O820" t="str">
        <f>VLOOKUP(E820,mappings!L:O,3,FALSE)</f>
        <v>Website</v>
      </c>
      <c r="P820" t="str">
        <f>VLOOKUP(E820,mappings!L:P,4,FALSE)</f>
        <v>Other or unkown</v>
      </c>
    </row>
    <row r="821" spans="1:16" x14ac:dyDescent="0.2">
      <c r="A821">
        <v>820</v>
      </c>
      <c r="B821">
        <v>3877653871</v>
      </c>
      <c r="C821" t="s">
        <v>6</v>
      </c>
      <c r="D821" t="s">
        <v>1</v>
      </c>
      <c r="E821" t="s">
        <v>61</v>
      </c>
      <c r="F821" t="s">
        <v>9</v>
      </c>
      <c r="G821" s="2">
        <f>VLOOKUP(F821,mappings!$G$2:$H$6,2,FALSE)</f>
        <v>4</v>
      </c>
      <c r="H821" t="s">
        <v>163</v>
      </c>
      <c r="I821" s="2">
        <f>VLOOKUP(H821,mappings!$D$2:$E$6,2,FALSE)</f>
        <v>3</v>
      </c>
      <c r="J821" t="s">
        <v>36</v>
      </c>
      <c r="K821" t="s">
        <v>39</v>
      </c>
      <c r="L821" s="2">
        <f>VLOOKUP(K821,mappings!$A$2:$B$13,2,FALSE)</f>
        <v>10</v>
      </c>
      <c r="M821" t="s">
        <v>12</v>
      </c>
      <c r="N821" t="str">
        <f>VLOOKUP(E821,mappings!$L$1:$M$110,2,FALSE)</f>
        <v>Weatherbug</v>
      </c>
      <c r="O821" t="str">
        <f>VLOOKUP(E821,mappings!L:O,3,FALSE)</f>
        <v>Website</v>
      </c>
      <c r="P821" t="str">
        <f>VLOOKUP(E821,mappings!L:P,4,FALSE)</f>
        <v>Other or unkown</v>
      </c>
    </row>
    <row r="822" spans="1:16" x14ac:dyDescent="0.2">
      <c r="A822">
        <v>821</v>
      </c>
      <c r="B822">
        <v>3877653260</v>
      </c>
      <c r="C822" t="s">
        <v>6</v>
      </c>
      <c r="D822" t="s">
        <v>31</v>
      </c>
      <c r="E822" t="s">
        <v>8</v>
      </c>
      <c r="F822" t="s">
        <v>16</v>
      </c>
      <c r="G822" s="2">
        <f>VLOOKUP(F822,mappings!$G$2:$H$6,2,FALSE)</f>
        <v>3</v>
      </c>
      <c r="H822" t="s">
        <v>43</v>
      </c>
      <c r="I822" s="2">
        <f>VLOOKUP(H822,mappings!$D$2:$E$6,2,FALSE)</f>
        <v>4</v>
      </c>
      <c r="J822" t="s">
        <v>36</v>
      </c>
      <c r="K822" t="s">
        <v>39</v>
      </c>
      <c r="L822" s="2">
        <f>VLOOKUP(K822,mappings!$A$2:$B$13,2,FALSE)</f>
        <v>10</v>
      </c>
      <c r="M822" t="s">
        <v>20</v>
      </c>
      <c r="N822" t="str">
        <f>VLOOKUP(E822,mappings!$L$1:$M$110,2,FALSE)</f>
        <v>No answer provided</v>
      </c>
      <c r="O822" t="str">
        <f>VLOOKUP(E822,mappings!L:O,3,FALSE)</f>
        <v>No answer provided</v>
      </c>
      <c r="P822" t="str">
        <f>VLOOKUP(E822,mappings!L:P,4,FALSE)</f>
        <v>No answer provided</v>
      </c>
    </row>
    <row r="823" spans="1:16" x14ac:dyDescent="0.2">
      <c r="A823">
        <v>822</v>
      </c>
      <c r="B823">
        <v>3877652718</v>
      </c>
      <c r="C823" t="s">
        <v>6</v>
      </c>
      <c r="D823" t="s">
        <v>31</v>
      </c>
      <c r="E823" t="s">
        <v>8</v>
      </c>
      <c r="F823" t="s">
        <v>22</v>
      </c>
      <c r="G823" s="2">
        <f>VLOOKUP(F823,mappings!$G$2:$H$6,2,FALSE)</f>
        <v>1</v>
      </c>
      <c r="H823" t="s">
        <v>43</v>
      </c>
      <c r="I823" s="2">
        <f>VLOOKUP(H823,mappings!$D$2:$E$6,2,FALSE)</f>
        <v>4</v>
      </c>
      <c r="J823" t="s">
        <v>36</v>
      </c>
      <c r="K823" t="s">
        <v>13</v>
      </c>
      <c r="L823" s="2">
        <f>VLOOKUP(K823,mappings!$A$2:$B$13,2,FALSE)</f>
        <v>11</v>
      </c>
      <c r="M823" t="s">
        <v>34</v>
      </c>
      <c r="N823" t="str">
        <f>VLOOKUP(E823,mappings!$L$1:$M$110,2,FALSE)</f>
        <v>No answer provided</v>
      </c>
      <c r="O823" t="str">
        <f>VLOOKUP(E823,mappings!L:O,3,FALSE)</f>
        <v>No answer provided</v>
      </c>
      <c r="P823" t="str">
        <f>VLOOKUP(E823,mappings!L:P,4,FALSE)</f>
        <v>No answer provided</v>
      </c>
    </row>
    <row r="824" spans="1:16" x14ac:dyDescent="0.2">
      <c r="A824">
        <v>823</v>
      </c>
      <c r="B824">
        <v>3877652362</v>
      </c>
      <c r="C824" t="s">
        <v>6</v>
      </c>
      <c r="D824" t="s">
        <v>1</v>
      </c>
      <c r="E824" t="s">
        <v>152</v>
      </c>
      <c r="F824" t="s">
        <v>9</v>
      </c>
      <c r="G824" s="2">
        <f>VLOOKUP(F824,mappings!$G$2:$H$6,2,FALSE)</f>
        <v>4</v>
      </c>
      <c r="H824" t="s">
        <v>43</v>
      </c>
      <c r="I824" s="2">
        <f>VLOOKUP(H824,mappings!$D$2:$E$6,2,FALSE)</f>
        <v>4</v>
      </c>
      <c r="J824" t="s">
        <v>36</v>
      </c>
      <c r="K824" t="s">
        <v>23</v>
      </c>
      <c r="L824" s="2">
        <f>VLOOKUP(K824,mappings!$A$2:$B$13,2,FALSE)</f>
        <v>3</v>
      </c>
      <c r="M824" t="s">
        <v>24</v>
      </c>
      <c r="N824" t="str">
        <f>VLOOKUP(E824,mappings!$L$1:$M$110,2,FALSE)</f>
        <v>Weather Underground</v>
      </c>
      <c r="O824" t="str">
        <f>VLOOKUP(E824,mappings!L:O,3,FALSE)</f>
        <v>Website</v>
      </c>
      <c r="P824" t="str">
        <f>VLOOKUP(E824,mappings!L:P,4,FALSE)</f>
        <v>Other or unkown</v>
      </c>
    </row>
    <row r="825" spans="1:16" x14ac:dyDescent="0.2">
      <c r="A825">
        <v>824</v>
      </c>
      <c r="B825">
        <v>3877651261</v>
      </c>
      <c r="C825" t="s">
        <v>6</v>
      </c>
      <c r="D825" t="s">
        <v>7</v>
      </c>
      <c r="E825" t="s">
        <v>8</v>
      </c>
      <c r="F825" t="s">
        <v>9</v>
      </c>
      <c r="G825" s="2">
        <f>VLOOKUP(F825,mappings!$G$2:$H$6,2,FALSE)</f>
        <v>4</v>
      </c>
      <c r="H825" t="s">
        <v>163</v>
      </c>
      <c r="I825" s="2">
        <f>VLOOKUP(H825,mappings!$D$2:$E$6,2,FALSE)</f>
        <v>3</v>
      </c>
      <c r="J825" t="s">
        <v>36</v>
      </c>
      <c r="K825" t="s">
        <v>39</v>
      </c>
      <c r="L825" s="2">
        <f>VLOOKUP(K825,mappings!$A$2:$B$13,2,FALSE)</f>
        <v>10</v>
      </c>
      <c r="M825" t="s">
        <v>12</v>
      </c>
      <c r="N825" t="str">
        <f>VLOOKUP(E825,mappings!$L$1:$M$110,2,FALSE)</f>
        <v>No answer provided</v>
      </c>
      <c r="O825" t="str">
        <f>VLOOKUP(E825,mappings!L:O,3,FALSE)</f>
        <v>No answer provided</v>
      </c>
      <c r="P825" t="str">
        <f>VLOOKUP(E825,mappings!L:P,4,FALSE)</f>
        <v>No answer provided</v>
      </c>
    </row>
    <row r="826" spans="1:16" x14ac:dyDescent="0.2">
      <c r="A826">
        <v>825</v>
      </c>
      <c r="B826">
        <v>3877650432</v>
      </c>
      <c r="C826" t="s">
        <v>26</v>
      </c>
      <c r="D826" t="s">
        <v>7</v>
      </c>
      <c r="E826" t="s">
        <v>8</v>
      </c>
      <c r="F826" t="s">
        <v>22</v>
      </c>
      <c r="G826" s="2">
        <f>VLOOKUP(F826,mappings!$G$2:$H$6,2,FALSE)</f>
        <v>1</v>
      </c>
      <c r="H826" t="s">
        <v>162</v>
      </c>
      <c r="I826" s="2">
        <f>VLOOKUP(H826,mappings!$D$2:$E$6,2,FALSE)</f>
        <v>1</v>
      </c>
      <c r="J826" t="s">
        <v>36</v>
      </c>
      <c r="K826" t="s">
        <v>13</v>
      </c>
      <c r="L826" s="2">
        <f>VLOOKUP(K826,mappings!$A$2:$B$13,2,FALSE)</f>
        <v>11</v>
      </c>
      <c r="M826" t="s">
        <v>12</v>
      </c>
      <c r="N826" t="str">
        <f>VLOOKUP(E826,mappings!$L$1:$M$110,2,FALSE)</f>
        <v>No answer provided</v>
      </c>
      <c r="O826" t="str">
        <f>VLOOKUP(E826,mappings!L:O,3,FALSE)</f>
        <v>No answer provided</v>
      </c>
      <c r="P826" t="str">
        <f>VLOOKUP(E826,mappings!L:P,4,FALSE)</f>
        <v>No answer provided</v>
      </c>
    </row>
    <row r="827" spans="1:16" x14ac:dyDescent="0.2">
      <c r="A827">
        <v>826</v>
      </c>
      <c r="B827">
        <v>3877649523</v>
      </c>
      <c r="C827" t="s">
        <v>6</v>
      </c>
      <c r="D827" t="s">
        <v>1</v>
      </c>
      <c r="E827" t="s">
        <v>66</v>
      </c>
      <c r="F827" t="s">
        <v>22</v>
      </c>
      <c r="G827" s="2">
        <f>VLOOKUP(F827,mappings!$G$2:$H$6,2,FALSE)</f>
        <v>1</v>
      </c>
      <c r="H827" t="s">
        <v>162</v>
      </c>
      <c r="I827" s="2">
        <f>VLOOKUP(H827,mappings!$D$2:$E$6,2,FALSE)</f>
        <v>1</v>
      </c>
      <c r="J827" t="s">
        <v>36</v>
      </c>
      <c r="K827" t="s">
        <v>32</v>
      </c>
      <c r="L827" s="2">
        <f>VLOOKUP(K827,mappings!$A$2:$B$13,2,FALSE)</f>
        <v>2</v>
      </c>
      <c r="M827" t="s">
        <v>30</v>
      </c>
      <c r="N827" t="str">
        <f>VLOOKUP(E827,mappings!$L$1:$M$110,2,FALSE)</f>
        <v>Weatherbug</v>
      </c>
      <c r="O827" t="str">
        <f>VLOOKUP(E827,mappings!L:O,3,FALSE)</f>
        <v>Website</v>
      </c>
      <c r="P827" t="str">
        <f>VLOOKUP(E827,mappings!L:P,4,FALSE)</f>
        <v>Other or unkown</v>
      </c>
    </row>
    <row r="828" spans="1:16" x14ac:dyDescent="0.2">
      <c r="A828">
        <v>827</v>
      </c>
      <c r="B828">
        <v>3877649260</v>
      </c>
      <c r="C828" t="s">
        <v>6</v>
      </c>
      <c r="D828" t="s">
        <v>31</v>
      </c>
      <c r="E828" t="s">
        <v>8</v>
      </c>
      <c r="F828" t="s">
        <v>22</v>
      </c>
      <c r="G828" s="2">
        <f>VLOOKUP(F828,mappings!$G$2:$H$6,2,FALSE)</f>
        <v>1</v>
      </c>
      <c r="H828" t="s">
        <v>163</v>
      </c>
      <c r="I828" s="2">
        <f>VLOOKUP(H828,mappings!$D$2:$E$6,2,FALSE)</f>
        <v>3</v>
      </c>
      <c r="J828" t="s">
        <v>36</v>
      </c>
      <c r="K828" t="s">
        <v>11</v>
      </c>
      <c r="L828" s="2">
        <f>VLOOKUP(K828,mappings!$A$2:$B$13,2,FALSE)</f>
        <v>4</v>
      </c>
      <c r="M828" t="s">
        <v>24</v>
      </c>
      <c r="N828" t="str">
        <f>VLOOKUP(E828,mappings!$L$1:$M$110,2,FALSE)</f>
        <v>No answer provided</v>
      </c>
      <c r="O828" t="str">
        <f>VLOOKUP(E828,mappings!L:O,3,FALSE)</f>
        <v>No answer provided</v>
      </c>
      <c r="P828" t="str">
        <f>VLOOKUP(E828,mappings!L:P,4,FALSE)</f>
        <v>No answer provided</v>
      </c>
    </row>
    <row r="829" spans="1:16" x14ac:dyDescent="0.2">
      <c r="A829">
        <v>828</v>
      </c>
      <c r="B829">
        <v>3877648807</v>
      </c>
      <c r="C829" t="s">
        <v>26</v>
      </c>
      <c r="D829" t="s">
        <v>7</v>
      </c>
      <c r="E829" t="s">
        <v>8</v>
      </c>
      <c r="F829" t="s">
        <v>16</v>
      </c>
      <c r="G829" s="2">
        <f>VLOOKUP(F829,mappings!$G$2:$H$6,2,FALSE)</f>
        <v>3</v>
      </c>
      <c r="H829" t="s">
        <v>161</v>
      </c>
      <c r="I829" s="2">
        <f>VLOOKUP(H829,mappings!$D$2:$E$6,2,FALSE)</f>
        <v>2</v>
      </c>
      <c r="J829" t="s">
        <v>36</v>
      </c>
      <c r="K829" t="s">
        <v>39</v>
      </c>
      <c r="L829" s="2">
        <f>VLOOKUP(K829,mappings!$A$2:$B$13,2,FALSE)</f>
        <v>10</v>
      </c>
      <c r="M829" t="s">
        <v>12</v>
      </c>
      <c r="N829" t="str">
        <f>VLOOKUP(E829,mappings!$L$1:$M$110,2,FALSE)</f>
        <v>No answer provided</v>
      </c>
      <c r="O829" t="str">
        <f>VLOOKUP(E829,mappings!L:O,3,FALSE)</f>
        <v>No answer provided</v>
      </c>
      <c r="P829" t="str">
        <f>VLOOKUP(E829,mappings!L:P,4,FALSE)</f>
        <v>No answer provided</v>
      </c>
    </row>
    <row r="830" spans="1:16" x14ac:dyDescent="0.2">
      <c r="A830">
        <v>829</v>
      </c>
      <c r="B830">
        <v>3877648261</v>
      </c>
      <c r="C830" t="s">
        <v>6</v>
      </c>
      <c r="D830" t="s">
        <v>40</v>
      </c>
      <c r="E830" t="s">
        <v>8</v>
      </c>
      <c r="F830" t="s">
        <v>16</v>
      </c>
      <c r="G830" s="2">
        <f>VLOOKUP(F830,mappings!$G$2:$H$6,2,FALSE)</f>
        <v>3</v>
      </c>
      <c r="H830" t="s">
        <v>163</v>
      </c>
      <c r="I830" s="2">
        <f>VLOOKUP(H830,mappings!$D$2:$E$6,2,FALSE)</f>
        <v>3</v>
      </c>
      <c r="J830" t="s">
        <v>36</v>
      </c>
      <c r="K830" t="s">
        <v>48</v>
      </c>
      <c r="L830" s="2">
        <f>VLOOKUP(K830,mappings!$A$2:$B$13,2,FALSE)</f>
        <v>7</v>
      </c>
      <c r="M830" t="s">
        <v>38</v>
      </c>
      <c r="N830" t="str">
        <f>VLOOKUP(E830,mappings!$L$1:$M$110,2,FALSE)</f>
        <v>No answer provided</v>
      </c>
      <c r="O830" t="str">
        <f>VLOOKUP(E830,mappings!L:O,3,FALSE)</f>
        <v>No answer provided</v>
      </c>
      <c r="P830" t="str">
        <f>VLOOKUP(E830,mappings!L:P,4,FALSE)</f>
        <v>No answer provided</v>
      </c>
    </row>
    <row r="831" spans="1:16" x14ac:dyDescent="0.2">
      <c r="A831">
        <v>830</v>
      </c>
      <c r="B831">
        <v>3877648193</v>
      </c>
      <c r="C831" t="s">
        <v>6</v>
      </c>
      <c r="D831" t="s">
        <v>27</v>
      </c>
      <c r="E831" t="s">
        <v>8</v>
      </c>
      <c r="F831" t="s">
        <v>9</v>
      </c>
      <c r="G831" s="2">
        <f>VLOOKUP(F831,mappings!$G$2:$H$6,2,FALSE)</f>
        <v>4</v>
      </c>
      <c r="H831" t="s">
        <v>161</v>
      </c>
      <c r="I831" s="2">
        <f>VLOOKUP(H831,mappings!$D$2:$E$6,2,FALSE)</f>
        <v>2</v>
      </c>
      <c r="J831" t="s">
        <v>36</v>
      </c>
      <c r="K831" t="s">
        <v>23</v>
      </c>
      <c r="L831" s="2">
        <f>VLOOKUP(K831,mappings!$A$2:$B$13,2,FALSE)</f>
        <v>3</v>
      </c>
      <c r="M831" t="s">
        <v>20</v>
      </c>
      <c r="N831" t="str">
        <f>VLOOKUP(E831,mappings!$L$1:$M$110,2,FALSE)</f>
        <v>No answer provided</v>
      </c>
      <c r="O831" t="str">
        <f>VLOOKUP(E831,mappings!L:O,3,FALSE)</f>
        <v>No answer provided</v>
      </c>
      <c r="P831" t="str">
        <f>VLOOKUP(E831,mappings!L:P,4,FALSE)</f>
        <v>No answer provided</v>
      </c>
    </row>
    <row r="832" spans="1:16" x14ac:dyDescent="0.2">
      <c r="A832">
        <v>831</v>
      </c>
      <c r="B832">
        <v>3877647762</v>
      </c>
      <c r="C832" t="s">
        <v>6</v>
      </c>
      <c r="D832" t="s">
        <v>31</v>
      </c>
      <c r="E832" t="s">
        <v>8</v>
      </c>
      <c r="F832" t="s">
        <v>9</v>
      </c>
      <c r="G832" s="2">
        <f>VLOOKUP(F832,mappings!$G$2:$H$6,2,FALSE)</f>
        <v>4</v>
      </c>
      <c r="H832" t="s">
        <v>161</v>
      </c>
      <c r="I832" s="2">
        <f>VLOOKUP(H832,mappings!$D$2:$E$6,2,FALSE)</f>
        <v>2</v>
      </c>
      <c r="J832" t="s">
        <v>36</v>
      </c>
      <c r="K832" t="s">
        <v>33</v>
      </c>
      <c r="L832" s="2">
        <f>VLOOKUP(K832,mappings!$A$2:$B$13,2,FALSE)</f>
        <v>5</v>
      </c>
      <c r="M832" t="s">
        <v>30</v>
      </c>
      <c r="N832" t="str">
        <f>VLOOKUP(E832,mappings!$L$1:$M$110,2,FALSE)</f>
        <v>No answer provided</v>
      </c>
      <c r="O832" t="str">
        <f>VLOOKUP(E832,mappings!L:O,3,FALSE)</f>
        <v>No answer provided</v>
      </c>
      <c r="P832" t="str">
        <f>VLOOKUP(E832,mappings!L:P,4,FALSE)</f>
        <v>No answer provided</v>
      </c>
    </row>
    <row r="833" spans="1:16" x14ac:dyDescent="0.2">
      <c r="A833">
        <v>832</v>
      </c>
      <c r="B833">
        <v>3877647733</v>
      </c>
      <c r="C833" t="s">
        <v>6</v>
      </c>
      <c r="D833" t="s">
        <v>7</v>
      </c>
      <c r="E833" t="s">
        <v>8</v>
      </c>
      <c r="F833" t="s">
        <v>9</v>
      </c>
      <c r="G833" s="2">
        <f>VLOOKUP(F833,mappings!$G$2:$H$6,2,FALSE)</f>
        <v>4</v>
      </c>
      <c r="H833" t="s">
        <v>43</v>
      </c>
      <c r="I833" s="2">
        <f>VLOOKUP(H833,mappings!$D$2:$E$6,2,FALSE)</f>
        <v>4</v>
      </c>
      <c r="J833" t="s">
        <v>10</v>
      </c>
      <c r="K833" t="s">
        <v>39</v>
      </c>
      <c r="L833" s="2">
        <f>VLOOKUP(K833,mappings!$A$2:$B$13,2,FALSE)</f>
        <v>10</v>
      </c>
      <c r="M833" t="s">
        <v>24</v>
      </c>
      <c r="N833" t="str">
        <f>VLOOKUP(E833,mappings!$L$1:$M$110,2,FALSE)</f>
        <v>No answer provided</v>
      </c>
      <c r="O833" t="str">
        <f>VLOOKUP(E833,mappings!L:O,3,FALSE)</f>
        <v>No answer provided</v>
      </c>
      <c r="P833" t="str">
        <f>VLOOKUP(E833,mappings!L:P,4,FALSE)</f>
        <v>No answer provided</v>
      </c>
    </row>
    <row r="834" spans="1:16" x14ac:dyDescent="0.2">
      <c r="A834">
        <v>833</v>
      </c>
      <c r="B834">
        <v>3877647589</v>
      </c>
      <c r="C834" t="s">
        <v>6</v>
      </c>
      <c r="D834" t="s">
        <v>27</v>
      </c>
      <c r="E834" t="s">
        <v>8</v>
      </c>
      <c r="F834" t="s">
        <v>9</v>
      </c>
      <c r="G834" s="2">
        <f>VLOOKUP(F834,mappings!$G$2:$H$6,2,FALSE)</f>
        <v>4</v>
      </c>
      <c r="H834" t="s">
        <v>162</v>
      </c>
      <c r="I834" s="2">
        <f>VLOOKUP(H834,mappings!$D$2:$E$6,2,FALSE)</f>
        <v>1</v>
      </c>
      <c r="J834" t="s">
        <v>36</v>
      </c>
      <c r="K834" t="s">
        <v>23</v>
      </c>
      <c r="L834" s="2">
        <f>VLOOKUP(K834,mappings!$A$2:$B$13,2,FALSE)</f>
        <v>3</v>
      </c>
      <c r="M834" t="s">
        <v>30</v>
      </c>
      <c r="N834" t="str">
        <f>VLOOKUP(E834,mappings!$L$1:$M$110,2,FALSE)</f>
        <v>No answer provided</v>
      </c>
      <c r="O834" t="str">
        <f>VLOOKUP(E834,mappings!L:O,3,FALSE)</f>
        <v>No answer provided</v>
      </c>
      <c r="P834" t="str">
        <f>VLOOKUP(E834,mappings!L:P,4,FALSE)</f>
        <v>No answer provided</v>
      </c>
    </row>
    <row r="835" spans="1:16" x14ac:dyDescent="0.2">
      <c r="A835">
        <v>834</v>
      </c>
      <c r="B835">
        <v>3877647198</v>
      </c>
      <c r="C835" t="s">
        <v>6</v>
      </c>
      <c r="D835" t="s">
        <v>31</v>
      </c>
      <c r="E835" t="s">
        <v>8</v>
      </c>
      <c r="F835" t="s">
        <v>22</v>
      </c>
      <c r="G835" s="2">
        <f>VLOOKUP(F835,mappings!$G$2:$H$6,2,FALSE)</f>
        <v>1</v>
      </c>
      <c r="H835" t="s">
        <v>163</v>
      </c>
      <c r="I835" s="2">
        <f>VLOOKUP(H835,mappings!$D$2:$E$6,2,FALSE)</f>
        <v>3</v>
      </c>
      <c r="J835" t="s">
        <v>36</v>
      </c>
      <c r="K835" t="s">
        <v>23</v>
      </c>
      <c r="L835" s="2">
        <f>VLOOKUP(K835,mappings!$A$2:$B$13,2,FALSE)</f>
        <v>3</v>
      </c>
      <c r="M835" t="s">
        <v>15</v>
      </c>
      <c r="N835" t="str">
        <f>VLOOKUP(E835,mappings!$L$1:$M$110,2,FALSE)</f>
        <v>No answer provided</v>
      </c>
      <c r="O835" t="str">
        <f>VLOOKUP(E835,mappings!L:O,3,FALSE)</f>
        <v>No answer provided</v>
      </c>
      <c r="P835" t="str">
        <f>VLOOKUP(E835,mappings!L:P,4,FALSE)</f>
        <v>No answer provided</v>
      </c>
    </row>
    <row r="836" spans="1:16" x14ac:dyDescent="0.2">
      <c r="A836">
        <v>835</v>
      </c>
      <c r="B836">
        <v>3877646688</v>
      </c>
      <c r="C836" t="s">
        <v>6</v>
      </c>
      <c r="D836" t="s">
        <v>7</v>
      </c>
      <c r="E836" t="s">
        <v>8</v>
      </c>
      <c r="F836" t="s">
        <v>22</v>
      </c>
      <c r="G836" s="2">
        <f>VLOOKUP(F836,mappings!$G$2:$H$6,2,FALSE)</f>
        <v>1</v>
      </c>
      <c r="H836" t="s">
        <v>161</v>
      </c>
      <c r="I836" s="2">
        <f>VLOOKUP(H836,mappings!$D$2:$E$6,2,FALSE)</f>
        <v>2</v>
      </c>
      <c r="J836" t="s">
        <v>36</v>
      </c>
      <c r="K836" t="s">
        <v>13</v>
      </c>
      <c r="L836" s="2">
        <f>VLOOKUP(K836,mappings!$A$2:$B$13,2,FALSE)</f>
        <v>11</v>
      </c>
      <c r="M836" t="s">
        <v>12</v>
      </c>
      <c r="N836" t="str">
        <f>VLOOKUP(E836,mappings!$L$1:$M$110,2,FALSE)</f>
        <v>No answer provided</v>
      </c>
      <c r="O836" t="str">
        <f>VLOOKUP(E836,mappings!L:O,3,FALSE)</f>
        <v>No answer provided</v>
      </c>
      <c r="P836" t="str">
        <f>VLOOKUP(E836,mappings!L:P,4,FALSE)</f>
        <v>No answer provided</v>
      </c>
    </row>
    <row r="837" spans="1:16" x14ac:dyDescent="0.2">
      <c r="A837">
        <v>836</v>
      </c>
      <c r="B837">
        <v>3877646493</v>
      </c>
      <c r="C837" t="s">
        <v>6</v>
      </c>
      <c r="D837" t="s">
        <v>40</v>
      </c>
      <c r="E837" t="s">
        <v>8</v>
      </c>
      <c r="F837" t="s">
        <v>22</v>
      </c>
      <c r="G837" s="2">
        <f>VLOOKUP(F837,mappings!$G$2:$H$6,2,FALSE)</f>
        <v>1</v>
      </c>
      <c r="H837" t="s">
        <v>163</v>
      </c>
      <c r="I837" s="2">
        <f>VLOOKUP(H837,mappings!$D$2:$E$6,2,FALSE)</f>
        <v>3</v>
      </c>
      <c r="J837" t="s">
        <v>36</v>
      </c>
      <c r="K837" t="s">
        <v>33</v>
      </c>
      <c r="L837" s="2">
        <f>VLOOKUP(K837,mappings!$A$2:$B$13,2,FALSE)</f>
        <v>5</v>
      </c>
      <c r="M837" t="s">
        <v>25</v>
      </c>
      <c r="N837" t="str">
        <f>VLOOKUP(E837,mappings!$L$1:$M$110,2,FALSE)</f>
        <v>No answer provided</v>
      </c>
      <c r="O837" t="str">
        <f>VLOOKUP(E837,mappings!L:O,3,FALSE)</f>
        <v>No answer provided</v>
      </c>
      <c r="P837" t="str">
        <f>VLOOKUP(E837,mappings!L:P,4,FALSE)</f>
        <v>No answer provided</v>
      </c>
    </row>
    <row r="838" spans="1:16" x14ac:dyDescent="0.2">
      <c r="A838">
        <v>837</v>
      </c>
      <c r="B838">
        <v>3877646443</v>
      </c>
      <c r="C838" t="s">
        <v>6</v>
      </c>
      <c r="D838" t="s">
        <v>31</v>
      </c>
      <c r="E838" t="s">
        <v>8</v>
      </c>
      <c r="F838" t="s">
        <v>16</v>
      </c>
      <c r="G838" s="2">
        <f>VLOOKUP(F838,mappings!$G$2:$H$6,2,FALSE)</f>
        <v>3</v>
      </c>
      <c r="H838" t="s">
        <v>163</v>
      </c>
      <c r="I838" s="2">
        <f>VLOOKUP(H838,mappings!$D$2:$E$6,2,FALSE)</f>
        <v>3</v>
      </c>
      <c r="J838" t="s">
        <v>36</v>
      </c>
      <c r="K838" t="s">
        <v>47</v>
      </c>
      <c r="L838" s="2">
        <f>VLOOKUP(K838,mappings!$A$2:$B$13,2,FALSE)</f>
        <v>9</v>
      </c>
      <c r="M838" t="s">
        <v>12</v>
      </c>
      <c r="N838" t="str">
        <f>VLOOKUP(E838,mappings!$L$1:$M$110,2,FALSE)</f>
        <v>No answer provided</v>
      </c>
      <c r="O838" t="str">
        <f>VLOOKUP(E838,mappings!L:O,3,FALSE)</f>
        <v>No answer provided</v>
      </c>
      <c r="P838" t="str">
        <f>VLOOKUP(E838,mappings!L:P,4,FALSE)</f>
        <v>No answer provided</v>
      </c>
    </row>
    <row r="839" spans="1:16" x14ac:dyDescent="0.2">
      <c r="A839">
        <v>838</v>
      </c>
      <c r="B839">
        <v>3877644027</v>
      </c>
      <c r="C839" t="s">
        <v>6</v>
      </c>
      <c r="D839" t="s">
        <v>21</v>
      </c>
      <c r="E839" t="s">
        <v>8</v>
      </c>
      <c r="F839" t="s">
        <v>22</v>
      </c>
      <c r="G839" s="2">
        <f>VLOOKUP(F839,mappings!$G$2:$H$6,2,FALSE)</f>
        <v>1</v>
      </c>
      <c r="H839" t="s">
        <v>163</v>
      </c>
      <c r="I839" s="2">
        <f>VLOOKUP(H839,mappings!$D$2:$E$6,2,FALSE)</f>
        <v>3</v>
      </c>
      <c r="J839" t="s">
        <v>10</v>
      </c>
      <c r="K839" t="s">
        <v>33</v>
      </c>
      <c r="L839" s="2">
        <f>VLOOKUP(K839,mappings!$A$2:$B$13,2,FALSE)</f>
        <v>5</v>
      </c>
      <c r="M839" t="s">
        <v>12</v>
      </c>
      <c r="N839" t="str">
        <f>VLOOKUP(E839,mappings!$L$1:$M$110,2,FALSE)</f>
        <v>No answer provided</v>
      </c>
      <c r="O839" t="str">
        <f>VLOOKUP(E839,mappings!L:O,3,FALSE)</f>
        <v>No answer provided</v>
      </c>
      <c r="P839" t="str">
        <f>VLOOKUP(E839,mappings!L:P,4,FALSE)</f>
        <v>No answer provided</v>
      </c>
    </row>
    <row r="840" spans="1:16" x14ac:dyDescent="0.2">
      <c r="A840">
        <v>839</v>
      </c>
      <c r="B840">
        <v>3877642069</v>
      </c>
      <c r="C840" t="s">
        <v>6</v>
      </c>
      <c r="D840" t="s">
        <v>7</v>
      </c>
      <c r="E840" t="s">
        <v>8</v>
      </c>
      <c r="F840" t="s">
        <v>16</v>
      </c>
      <c r="G840" s="2">
        <f>VLOOKUP(F840,mappings!$G$2:$H$6,2,FALSE)</f>
        <v>3</v>
      </c>
      <c r="H840" t="s">
        <v>161</v>
      </c>
      <c r="I840" s="2">
        <f>VLOOKUP(H840,mappings!$D$2:$E$6,2,FALSE)</f>
        <v>2</v>
      </c>
      <c r="J840" t="s">
        <v>36</v>
      </c>
      <c r="K840" t="s">
        <v>13</v>
      </c>
      <c r="L840" s="2">
        <f>VLOOKUP(K840,mappings!$A$2:$B$13,2,FALSE)</f>
        <v>11</v>
      </c>
      <c r="M840" t="s">
        <v>12</v>
      </c>
      <c r="N840" t="str">
        <f>VLOOKUP(E840,mappings!$L$1:$M$110,2,FALSE)</f>
        <v>No answer provided</v>
      </c>
      <c r="O840" t="str">
        <f>VLOOKUP(E840,mappings!L:O,3,FALSE)</f>
        <v>No answer provided</v>
      </c>
      <c r="P840" t="str">
        <f>VLOOKUP(E840,mappings!L:P,4,FALSE)</f>
        <v>No answer provided</v>
      </c>
    </row>
    <row r="841" spans="1:16" x14ac:dyDescent="0.2">
      <c r="A841">
        <v>840</v>
      </c>
      <c r="B841">
        <v>3877640956</v>
      </c>
      <c r="C841" t="s">
        <v>6</v>
      </c>
      <c r="D841" t="s">
        <v>1</v>
      </c>
      <c r="E841" t="s">
        <v>95</v>
      </c>
      <c r="F841" t="s">
        <v>9</v>
      </c>
      <c r="G841" s="2">
        <f>VLOOKUP(F841,mappings!$G$2:$H$6,2,FALSE)</f>
        <v>4</v>
      </c>
      <c r="H841" t="s">
        <v>163</v>
      </c>
      <c r="I841" s="2">
        <f>VLOOKUP(H841,mappings!$D$2:$E$6,2,FALSE)</f>
        <v>3</v>
      </c>
      <c r="J841" t="s">
        <v>36</v>
      </c>
      <c r="K841" t="s">
        <v>13</v>
      </c>
      <c r="L841" s="2">
        <f>VLOOKUP(K841,mappings!$A$2:$B$13,2,FALSE)</f>
        <v>11</v>
      </c>
      <c r="M841" t="s">
        <v>30</v>
      </c>
      <c r="N841" t="str">
        <f>VLOOKUP(E841,mappings!$L$1:$M$110,2,FALSE)</f>
        <v>AccuWeather</v>
      </c>
      <c r="O841" t="str">
        <f>VLOOKUP(E841,mappings!L:O,3,FALSE)</f>
        <v>Website</v>
      </c>
      <c r="P841" t="str">
        <f>VLOOKUP(E841,mappings!L:P,4,FALSE)</f>
        <v>Other or unkown</v>
      </c>
    </row>
    <row r="842" spans="1:16" x14ac:dyDescent="0.2">
      <c r="A842">
        <v>841</v>
      </c>
      <c r="B842">
        <v>3877640569</v>
      </c>
      <c r="C842" t="s">
        <v>6</v>
      </c>
      <c r="D842" t="s">
        <v>1</v>
      </c>
      <c r="E842" t="s">
        <v>133</v>
      </c>
      <c r="F842" t="s">
        <v>22</v>
      </c>
      <c r="G842" s="2">
        <f>VLOOKUP(F842,mappings!$G$2:$H$6,2,FALSE)</f>
        <v>1</v>
      </c>
      <c r="H842" t="s">
        <v>162</v>
      </c>
      <c r="I842" s="2">
        <f>VLOOKUP(H842,mappings!$D$2:$E$6,2,FALSE)</f>
        <v>1</v>
      </c>
      <c r="J842" t="s">
        <v>36</v>
      </c>
      <c r="K842" t="s">
        <v>29</v>
      </c>
      <c r="L842" s="2">
        <f>VLOOKUP(K842,mappings!$A$2:$B$13,2,FALSE)</f>
        <v>1</v>
      </c>
      <c r="M842" t="s">
        <v>15</v>
      </c>
      <c r="N842" t="str">
        <f>VLOOKUP(E842,mappings!$L$1:$M$110,2,FALSE)</f>
        <v>The Weather Channel</v>
      </c>
      <c r="O842" t="str">
        <f>VLOOKUP(E842,mappings!L:O,3,FALSE)</f>
        <v>App</v>
      </c>
      <c r="P842" t="str">
        <f>VLOOKUP(E842,mappings!L:P,4,FALSE)</f>
        <v>Other or unkown</v>
      </c>
    </row>
    <row r="843" spans="1:16" x14ac:dyDescent="0.2">
      <c r="A843">
        <v>842</v>
      </c>
      <c r="B843">
        <v>3877640059</v>
      </c>
      <c r="C843" t="s">
        <v>6</v>
      </c>
      <c r="D843" t="s">
        <v>31</v>
      </c>
      <c r="E843" t="s">
        <v>8</v>
      </c>
      <c r="F843" t="s">
        <v>28</v>
      </c>
      <c r="G843" s="2">
        <f>VLOOKUP(F843,mappings!$G$2:$H$6,2,FALSE)</f>
        <v>2</v>
      </c>
      <c r="H843" t="s">
        <v>43</v>
      </c>
      <c r="I843" s="2">
        <f>VLOOKUP(H843,mappings!$D$2:$E$6,2,FALSE)</f>
        <v>4</v>
      </c>
      <c r="J843" t="s">
        <v>36</v>
      </c>
      <c r="K843" t="s">
        <v>32</v>
      </c>
      <c r="L843" s="2">
        <f>VLOOKUP(K843,mappings!$A$2:$B$13,2,FALSE)</f>
        <v>2</v>
      </c>
      <c r="M843" t="s">
        <v>42</v>
      </c>
      <c r="N843" t="str">
        <f>VLOOKUP(E843,mappings!$L$1:$M$110,2,FALSE)</f>
        <v>No answer provided</v>
      </c>
      <c r="O843" t="str">
        <f>VLOOKUP(E843,mappings!L:O,3,FALSE)</f>
        <v>No answer provided</v>
      </c>
      <c r="P843" t="str">
        <f>VLOOKUP(E843,mappings!L:P,4,FALSE)</f>
        <v>No answer provided</v>
      </c>
    </row>
    <row r="844" spans="1:16" x14ac:dyDescent="0.2">
      <c r="A844">
        <v>843</v>
      </c>
      <c r="B844">
        <v>3877639651</v>
      </c>
      <c r="C844" t="s">
        <v>6</v>
      </c>
      <c r="D844" t="s">
        <v>7</v>
      </c>
      <c r="E844" t="s">
        <v>8</v>
      </c>
      <c r="F844" t="s">
        <v>9</v>
      </c>
      <c r="G844" s="2">
        <f>VLOOKUP(F844,mappings!$G$2:$H$6,2,FALSE)</f>
        <v>4</v>
      </c>
      <c r="H844" t="s">
        <v>161</v>
      </c>
      <c r="I844" s="2">
        <f>VLOOKUP(H844,mappings!$D$2:$E$6,2,FALSE)</f>
        <v>2</v>
      </c>
      <c r="J844" t="s">
        <v>36</v>
      </c>
      <c r="K844" t="s">
        <v>48</v>
      </c>
      <c r="L844" s="2">
        <f>VLOOKUP(K844,mappings!$A$2:$B$13,2,FALSE)</f>
        <v>7</v>
      </c>
      <c r="M844" t="s">
        <v>24</v>
      </c>
      <c r="N844" t="str">
        <f>VLOOKUP(E844,mappings!$L$1:$M$110,2,FALSE)</f>
        <v>No answer provided</v>
      </c>
      <c r="O844" t="str">
        <f>VLOOKUP(E844,mappings!L:O,3,FALSE)</f>
        <v>No answer provided</v>
      </c>
      <c r="P844" t="str">
        <f>VLOOKUP(E844,mappings!L:P,4,FALSE)</f>
        <v>No answer provided</v>
      </c>
    </row>
    <row r="845" spans="1:16" x14ac:dyDescent="0.2">
      <c r="A845">
        <v>844</v>
      </c>
      <c r="B845">
        <v>3877639599</v>
      </c>
      <c r="C845" t="s">
        <v>6</v>
      </c>
      <c r="D845" t="s">
        <v>27</v>
      </c>
      <c r="E845" t="s">
        <v>8</v>
      </c>
      <c r="F845" t="s">
        <v>16</v>
      </c>
      <c r="G845" s="2">
        <f>VLOOKUP(F845,mappings!$G$2:$H$6,2,FALSE)</f>
        <v>3</v>
      </c>
      <c r="H845" t="s">
        <v>43</v>
      </c>
      <c r="I845" s="2">
        <f>VLOOKUP(H845,mappings!$D$2:$E$6,2,FALSE)</f>
        <v>4</v>
      </c>
      <c r="J845" t="s">
        <v>10</v>
      </c>
      <c r="K845" t="s">
        <v>23</v>
      </c>
      <c r="L845" s="2">
        <f>VLOOKUP(K845,mappings!$A$2:$B$13,2,FALSE)</f>
        <v>3</v>
      </c>
      <c r="M845" t="s">
        <v>20</v>
      </c>
      <c r="N845" t="str">
        <f>VLOOKUP(E845,mappings!$L$1:$M$110,2,FALSE)</f>
        <v>No answer provided</v>
      </c>
      <c r="O845" t="str">
        <f>VLOOKUP(E845,mappings!L:O,3,FALSE)</f>
        <v>No answer provided</v>
      </c>
      <c r="P845" t="str">
        <f>VLOOKUP(E845,mappings!L:P,4,FALSE)</f>
        <v>No answer provided</v>
      </c>
    </row>
    <row r="846" spans="1:16" x14ac:dyDescent="0.2">
      <c r="A846">
        <v>845</v>
      </c>
      <c r="B846">
        <v>3877639207</v>
      </c>
      <c r="C846" t="s">
        <v>6</v>
      </c>
      <c r="D846" t="s">
        <v>21</v>
      </c>
      <c r="E846" t="s">
        <v>8</v>
      </c>
      <c r="F846" t="s">
        <v>9</v>
      </c>
      <c r="G846" s="2">
        <f>VLOOKUP(F846,mappings!$G$2:$H$6,2,FALSE)</f>
        <v>4</v>
      </c>
      <c r="H846" t="s">
        <v>163</v>
      </c>
      <c r="I846" s="2">
        <f>VLOOKUP(H846,mappings!$D$2:$E$6,2,FALSE)</f>
        <v>3</v>
      </c>
      <c r="J846" t="s">
        <v>36</v>
      </c>
      <c r="K846" t="s">
        <v>18</v>
      </c>
      <c r="L846" s="2">
        <f>VLOOKUP(K846,mappings!$A$2:$B$13,2,FALSE)</f>
        <v>8</v>
      </c>
      <c r="M846" t="s">
        <v>15</v>
      </c>
      <c r="N846" t="str">
        <f>VLOOKUP(E846,mappings!$L$1:$M$110,2,FALSE)</f>
        <v>No answer provided</v>
      </c>
      <c r="O846" t="str">
        <f>VLOOKUP(E846,mappings!L:O,3,FALSE)</f>
        <v>No answer provided</v>
      </c>
      <c r="P846" t="str">
        <f>VLOOKUP(E846,mappings!L:P,4,FALSE)</f>
        <v>No answer provided</v>
      </c>
    </row>
    <row r="847" spans="1:16" x14ac:dyDescent="0.2">
      <c r="A847">
        <v>846</v>
      </c>
      <c r="B847">
        <v>3877638685</v>
      </c>
      <c r="C847" t="s">
        <v>6</v>
      </c>
      <c r="D847" t="s">
        <v>1</v>
      </c>
      <c r="E847" t="s">
        <v>153</v>
      </c>
      <c r="F847" t="s">
        <v>9</v>
      </c>
      <c r="G847" s="2">
        <f>VLOOKUP(F847,mappings!$G$2:$H$6,2,FALSE)</f>
        <v>4</v>
      </c>
      <c r="H847" t="s">
        <v>163</v>
      </c>
      <c r="I847" s="2">
        <f>VLOOKUP(H847,mappings!$D$2:$E$6,2,FALSE)</f>
        <v>3</v>
      </c>
      <c r="J847" t="s">
        <v>10</v>
      </c>
      <c r="K847" t="s">
        <v>23</v>
      </c>
      <c r="L847" s="2">
        <f>VLOOKUP(K847,mappings!$A$2:$B$13,2,FALSE)</f>
        <v>3</v>
      </c>
      <c r="M847" t="s">
        <v>38</v>
      </c>
      <c r="N847" t="str">
        <f>VLOOKUP(E847,mappings!$L$1:$M$110,2,FALSE)</f>
        <v>Intellicast</v>
      </c>
      <c r="O847" t="str">
        <f>VLOOKUP(E847,mappings!L:O,3,FALSE)</f>
        <v>Website</v>
      </c>
      <c r="P847" t="str">
        <f>VLOOKUP(E847,mappings!L:P,4,FALSE)</f>
        <v>Other or unkown</v>
      </c>
    </row>
    <row r="848" spans="1:16" x14ac:dyDescent="0.2">
      <c r="A848">
        <v>847</v>
      </c>
      <c r="B848">
        <v>3877638200</v>
      </c>
      <c r="C848" t="s">
        <v>26</v>
      </c>
      <c r="D848" t="s">
        <v>7</v>
      </c>
      <c r="E848" t="s">
        <v>8</v>
      </c>
      <c r="F848" t="s">
        <v>28</v>
      </c>
      <c r="G848" s="2">
        <f>VLOOKUP(F848,mappings!$G$2:$H$6,2,FALSE)</f>
        <v>2</v>
      </c>
      <c r="H848" t="s">
        <v>162</v>
      </c>
      <c r="I848" s="2">
        <f>VLOOKUP(H848,mappings!$D$2:$E$6,2,FALSE)</f>
        <v>1</v>
      </c>
      <c r="J848" t="s">
        <v>36</v>
      </c>
      <c r="K848" t="s">
        <v>13</v>
      </c>
      <c r="L848" s="2">
        <f>VLOOKUP(K848,mappings!$A$2:$B$13,2,FALSE)</f>
        <v>11</v>
      </c>
      <c r="M848" t="s">
        <v>25</v>
      </c>
      <c r="N848" t="str">
        <f>VLOOKUP(E848,mappings!$L$1:$M$110,2,FALSE)</f>
        <v>No answer provided</v>
      </c>
      <c r="O848" t="str">
        <f>VLOOKUP(E848,mappings!L:O,3,FALSE)</f>
        <v>No answer provided</v>
      </c>
      <c r="P848" t="str">
        <f>VLOOKUP(E848,mappings!L:P,4,FALSE)</f>
        <v>No answer provided</v>
      </c>
    </row>
    <row r="849" spans="1:16" x14ac:dyDescent="0.2">
      <c r="A849">
        <v>848</v>
      </c>
      <c r="B849">
        <v>3877637740</v>
      </c>
      <c r="C849" t="s">
        <v>6</v>
      </c>
      <c r="D849" t="s">
        <v>1</v>
      </c>
      <c r="E849" t="s">
        <v>75</v>
      </c>
      <c r="F849" t="s">
        <v>9</v>
      </c>
      <c r="G849" s="2">
        <f>VLOOKUP(F849,mappings!$G$2:$H$6,2,FALSE)</f>
        <v>4</v>
      </c>
      <c r="H849" t="s">
        <v>162</v>
      </c>
      <c r="I849" s="2">
        <f>VLOOKUP(H849,mappings!$D$2:$E$6,2,FALSE)</f>
        <v>1</v>
      </c>
      <c r="J849" t="s">
        <v>36</v>
      </c>
      <c r="K849" t="s">
        <v>32</v>
      </c>
      <c r="L849" s="2">
        <f>VLOOKUP(K849,mappings!$A$2:$B$13,2,FALSE)</f>
        <v>2</v>
      </c>
      <c r="M849" t="s">
        <v>42</v>
      </c>
      <c r="N849" t="str">
        <f>VLOOKUP(E849,mappings!$L$1:$M$110,2,FALSE)</f>
        <v>Weatherbug</v>
      </c>
      <c r="O849" t="str">
        <f>VLOOKUP(E849,mappings!L:O,3,FALSE)</f>
        <v>App</v>
      </c>
      <c r="P849" t="str">
        <f>VLOOKUP(E849,mappings!L:P,4,FALSE)</f>
        <v>Other or unkown</v>
      </c>
    </row>
    <row r="850" spans="1:16" x14ac:dyDescent="0.2">
      <c r="A850">
        <v>849</v>
      </c>
      <c r="B850">
        <v>3877637463</v>
      </c>
      <c r="C850" t="s">
        <v>6</v>
      </c>
      <c r="D850" t="s">
        <v>7</v>
      </c>
      <c r="E850" t="s">
        <v>8</v>
      </c>
      <c r="F850" t="s">
        <v>22</v>
      </c>
      <c r="G850" s="2">
        <f>VLOOKUP(F850,mappings!$G$2:$H$6,2,FALSE)</f>
        <v>1</v>
      </c>
      <c r="H850" t="s">
        <v>163</v>
      </c>
      <c r="I850" s="2">
        <f>VLOOKUP(H850,mappings!$D$2:$E$6,2,FALSE)</f>
        <v>3</v>
      </c>
      <c r="J850" t="s">
        <v>10</v>
      </c>
      <c r="K850" t="s">
        <v>39</v>
      </c>
      <c r="L850" s="2">
        <f>VLOOKUP(K850,mappings!$A$2:$B$13,2,FALSE)</f>
        <v>10</v>
      </c>
      <c r="M850" t="s">
        <v>38</v>
      </c>
      <c r="N850" t="str">
        <f>VLOOKUP(E850,mappings!$L$1:$M$110,2,FALSE)</f>
        <v>No answer provided</v>
      </c>
      <c r="O850" t="str">
        <f>VLOOKUP(E850,mappings!L:O,3,FALSE)</f>
        <v>No answer provided</v>
      </c>
      <c r="P850" t="str">
        <f>VLOOKUP(E850,mappings!L:P,4,FALSE)</f>
        <v>No answer provided</v>
      </c>
    </row>
    <row r="851" spans="1:16" x14ac:dyDescent="0.2">
      <c r="A851">
        <v>850</v>
      </c>
      <c r="B851">
        <v>3877637448</v>
      </c>
      <c r="C851" t="s">
        <v>6</v>
      </c>
      <c r="D851" t="s">
        <v>1</v>
      </c>
      <c r="E851" t="s">
        <v>154</v>
      </c>
      <c r="F851" t="s">
        <v>22</v>
      </c>
      <c r="G851" s="2">
        <f>VLOOKUP(F851,mappings!$G$2:$H$6,2,FALSE)</f>
        <v>1</v>
      </c>
      <c r="H851" t="s">
        <v>43</v>
      </c>
      <c r="I851" s="2">
        <f>VLOOKUP(H851,mappings!$D$2:$E$6,2,FALSE)</f>
        <v>4</v>
      </c>
      <c r="J851" t="s">
        <v>36</v>
      </c>
      <c r="K851" t="s">
        <v>13</v>
      </c>
      <c r="L851" s="2">
        <f>VLOOKUP(K851,mappings!$A$2:$B$13,2,FALSE)</f>
        <v>11</v>
      </c>
      <c r="M851" t="s">
        <v>20</v>
      </c>
      <c r="N851" t="str">
        <f>VLOOKUP(E851,mappings!$L$1:$M$110,2,FALSE)</f>
        <v>Other or unknown</v>
      </c>
      <c r="O851" t="str">
        <f>VLOOKUP(E851,mappings!L:O,3,FALSE)</f>
        <v>App</v>
      </c>
      <c r="P851" t="str">
        <f>VLOOKUP(E851,mappings!L:P,4,FALSE)</f>
        <v>Other or unkown</v>
      </c>
    </row>
    <row r="852" spans="1:16" x14ac:dyDescent="0.2">
      <c r="A852">
        <v>851</v>
      </c>
      <c r="B852">
        <v>3877637119</v>
      </c>
      <c r="C852" t="s">
        <v>26</v>
      </c>
      <c r="D852" t="s">
        <v>7</v>
      </c>
      <c r="E852" t="s">
        <v>8</v>
      </c>
      <c r="F852" t="s">
        <v>22</v>
      </c>
      <c r="G852" s="2">
        <f>VLOOKUP(F852,mappings!$G$2:$H$6,2,FALSE)</f>
        <v>1</v>
      </c>
      <c r="H852" t="s">
        <v>162</v>
      </c>
      <c r="I852" s="2">
        <f>VLOOKUP(H852,mappings!$D$2:$E$6,2,FALSE)</f>
        <v>1</v>
      </c>
      <c r="J852" t="s">
        <v>36</v>
      </c>
      <c r="K852" t="s">
        <v>47</v>
      </c>
      <c r="L852" s="2">
        <f>VLOOKUP(K852,mappings!$A$2:$B$13,2,FALSE)</f>
        <v>9</v>
      </c>
      <c r="M852" t="s">
        <v>8</v>
      </c>
      <c r="N852" t="str">
        <f>VLOOKUP(E852,mappings!$L$1:$M$110,2,FALSE)</f>
        <v>No answer provided</v>
      </c>
      <c r="O852" t="str">
        <f>VLOOKUP(E852,mappings!L:O,3,FALSE)</f>
        <v>No answer provided</v>
      </c>
      <c r="P852" t="str">
        <f>VLOOKUP(E852,mappings!L:P,4,FALSE)</f>
        <v>No answer provided</v>
      </c>
    </row>
    <row r="853" spans="1:16" x14ac:dyDescent="0.2">
      <c r="A853">
        <v>852</v>
      </c>
      <c r="B853">
        <v>3877635198</v>
      </c>
      <c r="C853" t="s">
        <v>6</v>
      </c>
      <c r="D853" t="s">
        <v>7</v>
      </c>
      <c r="E853" t="s">
        <v>8</v>
      </c>
      <c r="F853" t="s">
        <v>9</v>
      </c>
      <c r="G853" s="2">
        <f>VLOOKUP(F853,mappings!$G$2:$H$6,2,FALSE)</f>
        <v>4</v>
      </c>
      <c r="H853" t="s">
        <v>161</v>
      </c>
      <c r="I853" s="2">
        <f>VLOOKUP(H853,mappings!$D$2:$E$6,2,FALSE)</f>
        <v>2</v>
      </c>
      <c r="J853" t="s">
        <v>36</v>
      </c>
      <c r="K853" t="s">
        <v>13</v>
      </c>
      <c r="L853" s="2">
        <f>VLOOKUP(K853,mappings!$A$2:$B$13,2,FALSE)</f>
        <v>11</v>
      </c>
      <c r="M853" t="s">
        <v>30</v>
      </c>
      <c r="N853" t="str">
        <f>VLOOKUP(E853,mappings!$L$1:$M$110,2,FALSE)</f>
        <v>No answer provided</v>
      </c>
      <c r="O853" t="str">
        <f>VLOOKUP(E853,mappings!L:O,3,FALSE)</f>
        <v>No answer provided</v>
      </c>
      <c r="P853" t="str">
        <f>VLOOKUP(E853,mappings!L:P,4,FALSE)</f>
        <v>No answer provided</v>
      </c>
    </row>
    <row r="854" spans="1:16" x14ac:dyDescent="0.2">
      <c r="A854">
        <v>853</v>
      </c>
      <c r="B854">
        <v>3877635161</v>
      </c>
      <c r="C854" t="s">
        <v>6</v>
      </c>
      <c r="D854" t="s">
        <v>27</v>
      </c>
      <c r="E854" t="s">
        <v>8</v>
      </c>
      <c r="F854" t="s">
        <v>9</v>
      </c>
      <c r="G854" s="2">
        <f>VLOOKUP(F854,mappings!$G$2:$H$6,2,FALSE)</f>
        <v>4</v>
      </c>
      <c r="H854" t="s">
        <v>161</v>
      </c>
      <c r="I854" s="2">
        <f>VLOOKUP(H854,mappings!$D$2:$E$6,2,FALSE)</f>
        <v>2</v>
      </c>
      <c r="J854" t="s">
        <v>36</v>
      </c>
      <c r="K854" t="s">
        <v>32</v>
      </c>
      <c r="L854" s="2">
        <f>VLOOKUP(K854,mappings!$A$2:$B$13,2,FALSE)</f>
        <v>2</v>
      </c>
      <c r="M854" t="s">
        <v>38</v>
      </c>
      <c r="N854" t="str">
        <f>VLOOKUP(E854,mappings!$L$1:$M$110,2,FALSE)</f>
        <v>No answer provided</v>
      </c>
      <c r="O854" t="str">
        <f>VLOOKUP(E854,mappings!L:O,3,FALSE)</f>
        <v>No answer provided</v>
      </c>
      <c r="P854" t="str">
        <f>VLOOKUP(E854,mappings!L:P,4,FALSE)</f>
        <v>No answer provided</v>
      </c>
    </row>
    <row r="855" spans="1:16" x14ac:dyDescent="0.2">
      <c r="A855">
        <v>854</v>
      </c>
      <c r="B855">
        <v>3877633592</v>
      </c>
      <c r="C855" t="s">
        <v>26</v>
      </c>
      <c r="D855" t="s">
        <v>31</v>
      </c>
      <c r="E855" t="s">
        <v>8</v>
      </c>
      <c r="F855" t="s">
        <v>16</v>
      </c>
      <c r="G855" s="2">
        <f>VLOOKUP(F855,mappings!$G$2:$H$6,2,FALSE)</f>
        <v>3</v>
      </c>
      <c r="H855" t="s">
        <v>162</v>
      </c>
      <c r="I855" s="2">
        <f>VLOOKUP(H855,mappings!$D$2:$E$6,2,FALSE)</f>
        <v>1</v>
      </c>
      <c r="J855" t="s">
        <v>36</v>
      </c>
      <c r="K855" t="s">
        <v>13</v>
      </c>
      <c r="L855" s="2">
        <f>VLOOKUP(K855,mappings!$A$2:$B$13,2,FALSE)</f>
        <v>11</v>
      </c>
      <c r="M855" t="s">
        <v>30</v>
      </c>
      <c r="N855" t="str">
        <f>VLOOKUP(E855,mappings!$L$1:$M$110,2,FALSE)</f>
        <v>No answer provided</v>
      </c>
      <c r="O855" t="str">
        <f>VLOOKUP(E855,mappings!L:O,3,FALSE)</f>
        <v>No answer provided</v>
      </c>
      <c r="P855" t="str">
        <f>VLOOKUP(E855,mappings!L:P,4,FALSE)</f>
        <v>No answer provided</v>
      </c>
    </row>
    <row r="856" spans="1:16" x14ac:dyDescent="0.2">
      <c r="A856">
        <v>855</v>
      </c>
      <c r="B856">
        <v>3877633421</v>
      </c>
      <c r="C856" t="s">
        <v>6</v>
      </c>
      <c r="D856" t="s">
        <v>1</v>
      </c>
      <c r="E856" t="s">
        <v>85</v>
      </c>
      <c r="F856" t="s">
        <v>22</v>
      </c>
      <c r="G856" s="2">
        <f>VLOOKUP(F856,mappings!$G$2:$H$6,2,FALSE)</f>
        <v>1</v>
      </c>
      <c r="H856" t="s">
        <v>161</v>
      </c>
      <c r="I856" s="2">
        <f>VLOOKUP(H856,mappings!$D$2:$E$6,2,FALSE)</f>
        <v>2</v>
      </c>
      <c r="J856" t="s">
        <v>36</v>
      </c>
      <c r="K856" t="s">
        <v>14</v>
      </c>
      <c r="L856" s="2">
        <f>VLOOKUP(K856,mappings!$A$2:$B$13,2,FALSE)</f>
        <v>6</v>
      </c>
      <c r="M856" t="s">
        <v>34</v>
      </c>
      <c r="N856" t="str">
        <f>VLOOKUP(E856,mappings!$L$1:$M$110,2,FALSE)</f>
        <v>The Weather Channel</v>
      </c>
      <c r="O856" t="str">
        <f>VLOOKUP(E856,mappings!L:O,3,FALSE)</f>
        <v>Website</v>
      </c>
      <c r="P856" t="str">
        <f>VLOOKUP(E856,mappings!L:P,4,FALSE)</f>
        <v>Other or unkown</v>
      </c>
    </row>
    <row r="857" spans="1:16" x14ac:dyDescent="0.2">
      <c r="A857">
        <v>856</v>
      </c>
      <c r="B857">
        <v>3877632920</v>
      </c>
      <c r="C857" t="s">
        <v>6</v>
      </c>
      <c r="D857" t="s">
        <v>1</v>
      </c>
      <c r="E857" t="s">
        <v>155</v>
      </c>
      <c r="F857" t="s">
        <v>16</v>
      </c>
      <c r="G857" s="2">
        <f>VLOOKUP(F857,mappings!$G$2:$H$6,2,FALSE)</f>
        <v>3</v>
      </c>
      <c r="H857" t="s">
        <v>161</v>
      </c>
      <c r="I857" s="2">
        <f>VLOOKUP(H857,mappings!$D$2:$E$6,2,FALSE)</f>
        <v>2</v>
      </c>
      <c r="J857" t="s">
        <v>36</v>
      </c>
      <c r="K857" t="s">
        <v>11</v>
      </c>
      <c r="L857" s="2">
        <f>VLOOKUP(K857,mappings!$A$2:$B$13,2,FALSE)</f>
        <v>4</v>
      </c>
      <c r="M857" t="s">
        <v>25</v>
      </c>
      <c r="N857" t="str">
        <f>VLOOKUP(E857,mappings!$L$1:$M$110,2,FALSE)</f>
        <v>National Weather Service</v>
      </c>
      <c r="O857" t="str">
        <f>VLOOKUP(E857,mappings!L:O,3,FALSE)</f>
        <v>Website</v>
      </c>
      <c r="P857" t="str">
        <f>VLOOKUP(E857,mappings!L:P,4,FALSE)</f>
        <v>Other or unkown</v>
      </c>
    </row>
    <row r="858" spans="1:16" x14ac:dyDescent="0.2">
      <c r="A858">
        <v>857</v>
      </c>
      <c r="B858">
        <v>3877632727</v>
      </c>
      <c r="C858" t="s">
        <v>6</v>
      </c>
      <c r="D858" t="s">
        <v>21</v>
      </c>
      <c r="E858" t="s">
        <v>8</v>
      </c>
      <c r="F858" t="s">
        <v>16</v>
      </c>
      <c r="G858" s="2">
        <f>VLOOKUP(F858,mappings!$G$2:$H$6,2,FALSE)</f>
        <v>3</v>
      </c>
      <c r="H858" t="s">
        <v>163</v>
      </c>
      <c r="I858" s="2">
        <f>VLOOKUP(H858,mappings!$D$2:$E$6,2,FALSE)</f>
        <v>3</v>
      </c>
      <c r="J858" t="s">
        <v>36</v>
      </c>
      <c r="K858" t="s">
        <v>13</v>
      </c>
      <c r="L858" s="2">
        <f>VLOOKUP(K858,mappings!$A$2:$B$13,2,FALSE)</f>
        <v>11</v>
      </c>
      <c r="M858" t="s">
        <v>24</v>
      </c>
      <c r="N858" t="str">
        <f>VLOOKUP(E858,mappings!$L$1:$M$110,2,FALSE)</f>
        <v>No answer provided</v>
      </c>
      <c r="O858" t="str">
        <f>VLOOKUP(E858,mappings!L:O,3,FALSE)</f>
        <v>No answer provided</v>
      </c>
      <c r="P858" t="str">
        <f>VLOOKUP(E858,mappings!L:P,4,FALSE)</f>
        <v>No answer provided</v>
      </c>
    </row>
    <row r="859" spans="1:16" x14ac:dyDescent="0.2">
      <c r="A859">
        <v>858</v>
      </c>
      <c r="B859">
        <v>3877631626</v>
      </c>
      <c r="C859" t="s">
        <v>6</v>
      </c>
      <c r="D859" t="s">
        <v>21</v>
      </c>
      <c r="E859" t="s">
        <v>8</v>
      </c>
      <c r="F859" t="s">
        <v>16</v>
      </c>
      <c r="G859" s="2">
        <f>VLOOKUP(F859,mappings!$G$2:$H$6,2,FALSE)</f>
        <v>3</v>
      </c>
      <c r="H859" t="s">
        <v>161</v>
      </c>
      <c r="I859" s="2">
        <f>VLOOKUP(H859,mappings!$D$2:$E$6,2,FALSE)</f>
        <v>2</v>
      </c>
      <c r="J859" t="s">
        <v>36</v>
      </c>
      <c r="K859" t="s">
        <v>14</v>
      </c>
      <c r="L859" s="2">
        <f>VLOOKUP(K859,mappings!$A$2:$B$13,2,FALSE)</f>
        <v>6</v>
      </c>
      <c r="M859" t="s">
        <v>24</v>
      </c>
      <c r="N859" t="str">
        <f>VLOOKUP(E859,mappings!$L$1:$M$110,2,FALSE)</f>
        <v>No answer provided</v>
      </c>
      <c r="O859" t="str">
        <f>VLOOKUP(E859,mappings!L:O,3,FALSE)</f>
        <v>No answer provided</v>
      </c>
      <c r="P859" t="str">
        <f>VLOOKUP(E859,mappings!L:P,4,FALSE)</f>
        <v>No answer provided</v>
      </c>
    </row>
    <row r="860" spans="1:16" x14ac:dyDescent="0.2">
      <c r="A860">
        <v>859</v>
      </c>
      <c r="B860">
        <v>3877630928</v>
      </c>
      <c r="C860" t="s">
        <v>6</v>
      </c>
      <c r="D860" t="s">
        <v>41</v>
      </c>
      <c r="E860" t="s">
        <v>8</v>
      </c>
      <c r="F860" t="s">
        <v>9</v>
      </c>
      <c r="G860" s="2">
        <f>VLOOKUP(F860,mappings!$G$2:$H$6,2,FALSE)</f>
        <v>4</v>
      </c>
      <c r="H860" t="s">
        <v>162</v>
      </c>
      <c r="I860" s="2">
        <f>VLOOKUP(H860,mappings!$D$2:$E$6,2,FALSE)</f>
        <v>1</v>
      </c>
      <c r="J860" t="s">
        <v>36</v>
      </c>
      <c r="K860" t="s">
        <v>13</v>
      </c>
      <c r="L860" s="2">
        <f>VLOOKUP(K860,mappings!$A$2:$B$13,2,FALSE)</f>
        <v>11</v>
      </c>
      <c r="M860" t="s">
        <v>20</v>
      </c>
      <c r="N860" t="str">
        <f>VLOOKUP(E860,mappings!$L$1:$M$110,2,FALSE)</f>
        <v>No answer provided</v>
      </c>
      <c r="O860" t="str">
        <f>VLOOKUP(E860,mappings!L:O,3,FALSE)</f>
        <v>No answer provided</v>
      </c>
      <c r="P860" t="str">
        <f>VLOOKUP(E860,mappings!L:P,4,FALSE)</f>
        <v>No answer provided</v>
      </c>
    </row>
    <row r="861" spans="1:16" x14ac:dyDescent="0.2">
      <c r="A861">
        <v>860</v>
      </c>
      <c r="B861">
        <v>3877627989</v>
      </c>
      <c r="C861" t="s">
        <v>6</v>
      </c>
      <c r="D861" t="s">
        <v>31</v>
      </c>
      <c r="E861" t="s">
        <v>8</v>
      </c>
      <c r="F861" t="s">
        <v>9</v>
      </c>
      <c r="G861" s="2">
        <f>VLOOKUP(F861,mappings!$G$2:$H$6,2,FALSE)</f>
        <v>4</v>
      </c>
      <c r="H861" t="s">
        <v>43</v>
      </c>
      <c r="I861" s="2">
        <f>VLOOKUP(H861,mappings!$D$2:$E$6,2,FALSE)</f>
        <v>4</v>
      </c>
      <c r="J861" t="s">
        <v>10</v>
      </c>
      <c r="K861" t="s">
        <v>13</v>
      </c>
      <c r="L861" s="2">
        <f>VLOOKUP(K861,mappings!$A$2:$B$13,2,FALSE)</f>
        <v>11</v>
      </c>
      <c r="M861" t="s">
        <v>34</v>
      </c>
      <c r="N861" t="str">
        <f>VLOOKUP(E861,mappings!$L$1:$M$110,2,FALSE)</f>
        <v>No answer provided</v>
      </c>
      <c r="O861" t="str">
        <f>VLOOKUP(E861,mappings!L:O,3,FALSE)</f>
        <v>No answer provided</v>
      </c>
      <c r="P861" t="str">
        <f>VLOOKUP(E861,mappings!L:P,4,FALSE)</f>
        <v>No answer provided</v>
      </c>
    </row>
    <row r="862" spans="1:16" x14ac:dyDescent="0.2">
      <c r="A862">
        <v>861</v>
      </c>
      <c r="B862">
        <v>3877627031</v>
      </c>
      <c r="C862" t="s">
        <v>6</v>
      </c>
      <c r="D862" t="s">
        <v>27</v>
      </c>
      <c r="E862" t="s">
        <v>8</v>
      </c>
      <c r="F862" t="s">
        <v>9</v>
      </c>
      <c r="G862" s="2">
        <f>VLOOKUP(F862,mappings!$G$2:$H$6,2,FALSE)</f>
        <v>4</v>
      </c>
      <c r="H862" t="s">
        <v>162</v>
      </c>
      <c r="I862" s="2">
        <f>VLOOKUP(H862,mappings!$D$2:$E$6,2,FALSE)</f>
        <v>1</v>
      </c>
      <c r="J862" t="s">
        <v>36</v>
      </c>
      <c r="K862" t="s">
        <v>13</v>
      </c>
      <c r="L862" s="2">
        <f>VLOOKUP(K862,mappings!$A$2:$B$13,2,FALSE)</f>
        <v>11</v>
      </c>
      <c r="M862" t="s">
        <v>38</v>
      </c>
      <c r="N862" t="str">
        <f>VLOOKUP(E862,mappings!$L$1:$M$110,2,FALSE)</f>
        <v>No answer provided</v>
      </c>
      <c r="O862" t="str">
        <f>VLOOKUP(E862,mappings!L:O,3,FALSE)</f>
        <v>No answer provided</v>
      </c>
      <c r="P862" t="str">
        <f>VLOOKUP(E862,mappings!L:P,4,FALSE)</f>
        <v>No answer provided</v>
      </c>
    </row>
    <row r="863" spans="1:16" x14ac:dyDescent="0.2">
      <c r="A863">
        <v>862</v>
      </c>
      <c r="B863">
        <v>3877626831</v>
      </c>
      <c r="C863" t="s">
        <v>6</v>
      </c>
      <c r="D863" t="s">
        <v>51</v>
      </c>
      <c r="E863" t="s">
        <v>8</v>
      </c>
      <c r="F863" t="s">
        <v>28</v>
      </c>
      <c r="G863" s="2">
        <f>VLOOKUP(F863,mappings!$G$2:$H$6,2,FALSE)</f>
        <v>2</v>
      </c>
      <c r="H863" t="s">
        <v>163</v>
      </c>
      <c r="I863" s="2">
        <f>VLOOKUP(H863,mappings!$D$2:$E$6,2,FALSE)</f>
        <v>3</v>
      </c>
      <c r="J863" t="s">
        <v>36</v>
      </c>
      <c r="K863" t="s">
        <v>13</v>
      </c>
      <c r="L863" s="2">
        <f>VLOOKUP(K863,mappings!$A$2:$B$13,2,FALSE)</f>
        <v>11</v>
      </c>
      <c r="M863" t="s">
        <v>24</v>
      </c>
      <c r="N863" t="str">
        <f>VLOOKUP(E863,mappings!$L$1:$M$110,2,FALSE)</f>
        <v>No answer provided</v>
      </c>
      <c r="O863" t="str">
        <f>VLOOKUP(E863,mappings!L:O,3,FALSE)</f>
        <v>No answer provided</v>
      </c>
      <c r="P863" t="str">
        <f>VLOOKUP(E863,mappings!L:P,4,FALSE)</f>
        <v>No answer provided</v>
      </c>
    </row>
    <row r="864" spans="1:16" x14ac:dyDescent="0.2">
      <c r="A864">
        <v>863</v>
      </c>
      <c r="B864">
        <v>3877626301</v>
      </c>
      <c r="C864" t="s">
        <v>26</v>
      </c>
      <c r="D864" t="s">
        <v>1</v>
      </c>
      <c r="E864" t="s">
        <v>95</v>
      </c>
      <c r="F864" t="s">
        <v>16</v>
      </c>
      <c r="G864" s="2">
        <f>VLOOKUP(F864,mappings!$G$2:$H$6,2,FALSE)</f>
        <v>3</v>
      </c>
      <c r="H864" t="s">
        <v>162</v>
      </c>
      <c r="I864" s="2">
        <f>VLOOKUP(H864,mappings!$D$2:$E$6,2,FALSE)</f>
        <v>1</v>
      </c>
      <c r="J864" t="s">
        <v>36</v>
      </c>
      <c r="K864" t="s">
        <v>13</v>
      </c>
      <c r="L864" s="2">
        <f>VLOOKUP(K864,mappings!$A$2:$B$13,2,FALSE)</f>
        <v>11</v>
      </c>
      <c r="M864" t="s">
        <v>34</v>
      </c>
      <c r="N864" t="str">
        <f>VLOOKUP(E864,mappings!$L$1:$M$110,2,FALSE)</f>
        <v>AccuWeather</v>
      </c>
      <c r="O864" t="str">
        <f>VLOOKUP(E864,mappings!L:O,3,FALSE)</f>
        <v>Website</v>
      </c>
      <c r="P864" t="str">
        <f>VLOOKUP(E864,mappings!L:P,4,FALSE)</f>
        <v>Other or unkown</v>
      </c>
    </row>
    <row r="865" spans="1:16" x14ac:dyDescent="0.2">
      <c r="A865">
        <v>864</v>
      </c>
      <c r="B865">
        <v>3877625001</v>
      </c>
      <c r="C865" t="s">
        <v>6</v>
      </c>
      <c r="D865" t="s">
        <v>27</v>
      </c>
      <c r="E865" t="s">
        <v>8</v>
      </c>
      <c r="F865" t="s">
        <v>9</v>
      </c>
      <c r="G865" s="2">
        <f>VLOOKUP(F865,mappings!$G$2:$H$6,2,FALSE)</f>
        <v>4</v>
      </c>
      <c r="H865" t="s">
        <v>161</v>
      </c>
      <c r="I865" s="2">
        <f>VLOOKUP(H865,mappings!$D$2:$E$6,2,FALSE)</f>
        <v>2</v>
      </c>
      <c r="J865" t="s">
        <v>36</v>
      </c>
      <c r="K865" t="s">
        <v>33</v>
      </c>
      <c r="L865" s="2">
        <f>VLOOKUP(K865,mappings!$A$2:$B$13,2,FALSE)</f>
        <v>5</v>
      </c>
      <c r="M865" t="s">
        <v>24</v>
      </c>
      <c r="N865" t="str">
        <f>VLOOKUP(E865,mappings!$L$1:$M$110,2,FALSE)</f>
        <v>No answer provided</v>
      </c>
      <c r="O865" t="str">
        <f>VLOOKUP(E865,mappings!L:O,3,FALSE)</f>
        <v>No answer provided</v>
      </c>
      <c r="P865" t="str">
        <f>VLOOKUP(E865,mappings!L:P,4,FALSE)</f>
        <v>No answer provided</v>
      </c>
    </row>
    <row r="866" spans="1:16" x14ac:dyDescent="0.2">
      <c r="A866">
        <v>865</v>
      </c>
      <c r="B866">
        <v>3877624927</v>
      </c>
      <c r="C866" t="s">
        <v>6</v>
      </c>
      <c r="D866" t="s">
        <v>27</v>
      </c>
      <c r="E866" t="s">
        <v>8</v>
      </c>
      <c r="F866" t="s">
        <v>16</v>
      </c>
      <c r="G866" s="2">
        <f>VLOOKUP(F866,mappings!$G$2:$H$6,2,FALSE)</f>
        <v>3</v>
      </c>
      <c r="H866" t="s">
        <v>161</v>
      </c>
      <c r="I866" s="2">
        <f>VLOOKUP(H866,mappings!$D$2:$E$6,2,FALSE)</f>
        <v>2</v>
      </c>
      <c r="J866" t="s">
        <v>36</v>
      </c>
      <c r="K866" t="s">
        <v>13</v>
      </c>
      <c r="L866" s="2">
        <f>VLOOKUP(K866,mappings!$A$2:$B$13,2,FALSE)</f>
        <v>11</v>
      </c>
      <c r="M866" t="s">
        <v>24</v>
      </c>
      <c r="N866" t="str">
        <f>VLOOKUP(E866,mappings!$L$1:$M$110,2,FALSE)</f>
        <v>No answer provided</v>
      </c>
      <c r="O866" t="str">
        <f>VLOOKUP(E866,mappings!L:O,3,FALSE)</f>
        <v>No answer provided</v>
      </c>
      <c r="P866" t="str">
        <f>VLOOKUP(E866,mappings!L:P,4,FALSE)</f>
        <v>No answer provided</v>
      </c>
    </row>
    <row r="867" spans="1:16" x14ac:dyDescent="0.2">
      <c r="A867">
        <v>866</v>
      </c>
      <c r="B867">
        <v>3877623695</v>
      </c>
      <c r="C867" t="s">
        <v>6</v>
      </c>
      <c r="D867" t="s">
        <v>7</v>
      </c>
      <c r="E867" t="s">
        <v>8</v>
      </c>
      <c r="F867" t="s">
        <v>9</v>
      </c>
      <c r="G867" s="2">
        <f>VLOOKUP(F867,mappings!$G$2:$H$6,2,FALSE)</f>
        <v>4</v>
      </c>
      <c r="H867" t="s">
        <v>162</v>
      </c>
      <c r="I867" s="2">
        <f>VLOOKUP(H867,mappings!$D$2:$E$6,2,FALSE)</f>
        <v>1</v>
      </c>
      <c r="J867" t="s">
        <v>36</v>
      </c>
      <c r="K867" t="s">
        <v>13</v>
      </c>
      <c r="L867" s="2">
        <f>VLOOKUP(K867,mappings!$A$2:$B$13,2,FALSE)</f>
        <v>11</v>
      </c>
      <c r="M867" t="s">
        <v>15</v>
      </c>
      <c r="N867" t="str">
        <f>VLOOKUP(E867,mappings!$L$1:$M$110,2,FALSE)</f>
        <v>No answer provided</v>
      </c>
      <c r="O867" t="str">
        <f>VLOOKUP(E867,mappings!L:O,3,FALSE)</f>
        <v>No answer provided</v>
      </c>
      <c r="P867" t="str">
        <f>VLOOKUP(E867,mappings!L:P,4,FALSE)</f>
        <v>No answer provided</v>
      </c>
    </row>
    <row r="868" spans="1:16" x14ac:dyDescent="0.2">
      <c r="A868">
        <v>867</v>
      </c>
      <c r="B868">
        <v>3877623020</v>
      </c>
      <c r="C868" t="s">
        <v>26</v>
      </c>
      <c r="D868" t="s">
        <v>7</v>
      </c>
      <c r="E868" t="s">
        <v>8</v>
      </c>
      <c r="F868" t="s">
        <v>16</v>
      </c>
      <c r="G868" s="2">
        <f>VLOOKUP(F868,mappings!$G$2:$H$6,2,FALSE)</f>
        <v>3</v>
      </c>
      <c r="H868" t="s">
        <v>161</v>
      </c>
      <c r="I868" s="2">
        <f>VLOOKUP(H868,mappings!$D$2:$E$6,2,FALSE)</f>
        <v>2</v>
      </c>
      <c r="J868" t="s">
        <v>36</v>
      </c>
      <c r="K868" t="s">
        <v>11</v>
      </c>
      <c r="L868" s="2">
        <f>VLOOKUP(K868,mappings!$A$2:$B$13,2,FALSE)</f>
        <v>4</v>
      </c>
      <c r="M868" t="s">
        <v>20</v>
      </c>
      <c r="N868" t="str">
        <f>VLOOKUP(E868,mappings!$L$1:$M$110,2,FALSE)</f>
        <v>No answer provided</v>
      </c>
      <c r="O868" t="str">
        <f>VLOOKUP(E868,mappings!L:O,3,FALSE)</f>
        <v>No answer provided</v>
      </c>
      <c r="P868" t="str">
        <f>VLOOKUP(E868,mappings!L:P,4,FALSE)</f>
        <v>No answer provided</v>
      </c>
    </row>
    <row r="869" spans="1:16" x14ac:dyDescent="0.2">
      <c r="A869">
        <v>868</v>
      </c>
      <c r="B869">
        <v>3877622336</v>
      </c>
      <c r="C869" t="s">
        <v>26</v>
      </c>
      <c r="D869" t="s">
        <v>1</v>
      </c>
      <c r="E869" t="s">
        <v>178</v>
      </c>
      <c r="F869" t="s">
        <v>9</v>
      </c>
      <c r="G869" s="2">
        <f>VLOOKUP(F869,mappings!$G$2:$H$6,2,FALSE)</f>
        <v>4</v>
      </c>
      <c r="H869" t="s">
        <v>163</v>
      </c>
      <c r="I869" s="2">
        <f>VLOOKUP(H869,mappings!$D$2:$E$6,2,FALSE)</f>
        <v>3</v>
      </c>
      <c r="J869" t="s">
        <v>36</v>
      </c>
      <c r="K869" t="s">
        <v>39</v>
      </c>
      <c r="L869" s="2">
        <f>VLOOKUP(K869,mappings!$A$2:$B$13,2,FALSE)</f>
        <v>10</v>
      </c>
      <c r="M869" t="s">
        <v>24</v>
      </c>
      <c r="N869" t="str">
        <f>VLOOKUP(E869,mappings!$L$1:$M$110,2,FALSE)</f>
        <v>Other or unknown</v>
      </c>
      <c r="O869" t="str">
        <f>VLOOKUP(E869,mappings!L:O,3,FALSE)</f>
        <v>App</v>
      </c>
      <c r="P869" t="str">
        <f>VLOOKUP(E869,mappings!L:P,4,FALSE)</f>
        <v>Other or unkown</v>
      </c>
    </row>
    <row r="870" spans="1:16" x14ac:dyDescent="0.2">
      <c r="A870">
        <v>869</v>
      </c>
      <c r="B870">
        <v>3877622039</v>
      </c>
      <c r="C870" t="s">
        <v>6</v>
      </c>
      <c r="D870" t="s">
        <v>21</v>
      </c>
      <c r="E870" t="s">
        <v>8</v>
      </c>
      <c r="F870" t="s">
        <v>16</v>
      </c>
      <c r="G870" s="2">
        <f>VLOOKUP(F870,mappings!$G$2:$H$6,2,FALSE)</f>
        <v>3</v>
      </c>
      <c r="H870" t="s">
        <v>162</v>
      </c>
      <c r="I870" s="2">
        <f>VLOOKUP(H870,mappings!$D$2:$E$6,2,FALSE)</f>
        <v>1</v>
      </c>
      <c r="J870" t="s">
        <v>36</v>
      </c>
      <c r="K870" t="s">
        <v>13</v>
      </c>
      <c r="L870" s="2">
        <f>VLOOKUP(K870,mappings!$A$2:$B$13,2,FALSE)</f>
        <v>11</v>
      </c>
      <c r="M870" t="s">
        <v>25</v>
      </c>
      <c r="N870" t="str">
        <f>VLOOKUP(E870,mappings!$L$1:$M$110,2,FALSE)</f>
        <v>No answer provided</v>
      </c>
      <c r="O870" t="str">
        <f>VLOOKUP(E870,mappings!L:O,3,FALSE)</f>
        <v>No answer provided</v>
      </c>
      <c r="P870" t="str">
        <f>VLOOKUP(E870,mappings!L:P,4,FALSE)</f>
        <v>No answer provided</v>
      </c>
    </row>
    <row r="871" spans="1:16" x14ac:dyDescent="0.2">
      <c r="A871">
        <v>870</v>
      </c>
      <c r="B871">
        <v>3877621290</v>
      </c>
      <c r="C871" t="s">
        <v>6</v>
      </c>
      <c r="D871" t="s">
        <v>7</v>
      </c>
      <c r="E871" t="s">
        <v>8</v>
      </c>
      <c r="F871" t="s">
        <v>9</v>
      </c>
      <c r="G871" s="2">
        <f>VLOOKUP(F871,mappings!$G$2:$H$6,2,FALSE)</f>
        <v>4</v>
      </c>
      <c r="H871" t="s">
        <v>43</v>
      </c>
      <c r="I871" s="2">
        <f>VLOOKUP(H871,mappings!$D$2:$E$6,2,FALSE)</f>
        <v>4</v>
      </c>
      <c r="J871" t="s">
        <v>36</v>
      </c>
      <c r="K871" t="s">
        <v>33</v>
      </c>
      <c r="L871" s="2">
        <f>VLOOKUP(K871,mappings!$A$2:$B$13,2,FALSE)</f>
        <v>5</v>
      </c>
      <c r="M871" t="s">
        <v>25</v>
      </c>
      <c r="N871" t="str">
        <f>VLOOKUP(E871,mappings!$L$1:$M$110,2,FALSE)</f>
        <v>No answer provided</v>
      </c>
      <c r="O871" t="str">
        <f>VLOOKUP(E871,mappings!L:O,3,FALSE)</f>
        <v>No answer provided</v>
      </c>
      <c r="P871" t="str">
        <f>VLOOKUP(E871,mappings!L:P,4,FALSE)</f>
        <v>No answer provided</v>
      </c>
    </row>
    <row r="872" spans="1:16" x14ac:dyDescent="0.2">
      <c r="A872">
        <v>871</v>
      </c>
      <c r="B872">
        <v>3877620916</v>
      </c>
      <c r="C872" t="s">
        <v>26</v>
      </c>
      <c r="D872" t="s">
        <v>1</v>
      </c>
      <c r="E872" t="s">
        <v>156</v>
      </c>
      <c r="F872" t="s">
        <v>16</v>
      </c>
      <c r="G872" s="2">
        <f>VLOOKUP(F872,mappings!$G$2:$H$6,2,FALSE)</f>
        <v>3</v>
      </c>
      <c r="H872" t="s">
        <v>161</v>
      </c>
      <c r="I872" s="2">
        <f>VLOOKUP(H872,mappings!$D$2:$E$6,2,FALSE)</f>
        <v>2</v>
      </c>
      <c r="J872" t="s">
        <v>36</v>
      </c>
      <c r="K872" t="s">
        <v>11</v>
      </c>
      <c r="L872" s="2">
        <f>VLOOKUP(K872,mappings!$A$2:$B$13,2,FALSE)</f>
        <v>4</v>
      </c>
      <c r="M872" t="s">
        <v>30</v>
      </c>
      <c r="N872" t="str">
        <f>VLOOKUP(E872,mappings!$L$1:$M$110,2,FALSE)</f>
        <v>National Weather Service</v>
      </c>
      <c r="O872" t="str">
        <f>VLOOKUP(E872,mappings!L:O,3,FALSE)</f>
        <v>Website</v>
      </c>
      <c r="P872" t="str">
        <f>VLOOKUP(E872,mappings!L:P,4,FALSE)</f>
        <v>Other or unkown</v>
      </c>
    </row>
    <row r="873" spans="1:16" x14ac:dyDescent="0.2">
      <c r="A873">
        <v>872</v>
      </c>
      <c r="B873">
        <v>3877620216</v>
      </c>
      <c r="C873" t="s">
        <v>6</v>
      </c>
      <c r="D873" t="s">
        <v>27</v>
      </c>
      <c r="E873" t="s">
        <v>8</v>
      </c>
      <c r="F873" t="s">
        <v>22</v>
      </c>
      <c r="G873" s="2">
        <f>VLOOKUP(F873,mappings!$G$2:$H$6,2,FALSE)</f>
        <v>1</v>
      </c>
      <c r="H873" t="s">
        <v>43</v>
      </c>
      <c r="I873" s="2">
        <f>VLOOKUP(H873,mappings!$D$2:$E$6,2,FALSE)</f>
        <v>4</v>
      </c>
      <c r="J873" t="s">
        <v>36</v>
      </c>
      <c r="K873" t="s">
        <v>39</v>
      </c>
      <c r="L873" s="2">
        <f>VLOOKUP(K873,mappings!$A$2:$B$13,2,FALSE)</f>
        <v>10</v>
      </c>
      <c r="M873" t="s">
        <v>34</v>
      </c>
      <c r="N873" t="str">
        <f>VLOOKUP(E873,mappings!$L$1:$M$110,2,FALSE)</f>
        <v>No answer provided</v>
      </c>
      <c r="O873" t="str">
        <f>VLOOKUP(E873,mappings!L:O,3,FALSE)</f>
        <v>No answer provided</v>
      </c>
      <c r="P873" t="str">
        <f>VLOOKUP(E873,mappings!L:P,4,FALSE)</f>
        <v>No answer provided</v>
      </c>
    </row>
    <row r="874" spans="1:16" x14ac:dyDescent="0.2">
      <c r="A874">
        <v>873</v>
      </c>
      <c r="B874">
        <v>3877619244</v>
      </c>
      <c r="C874" t="s">
        <v>6</v>
      </c>
      <c r="D874" t="s">
        <v>31</v>
      </c>
      <c r="E874" t="s">
        <v>8</v>
      </c>
      <c r="F874" t="s">
        <v>22</v>
      </c>
      <c r="G874" s="2">
        <f>VLOOKUP(F874,mappings!$G$2:$H$6,2,FALSE)</f>
        <v>1</v>
      </c>
      <c r="H874" t="s">
        <v>43</v>
      </c>
      <c r="I874" s="2">
        <f>VLOOKUP(H874,mappings!$D$2:$E$6,2,FALSE)</f>
        <v>4</v>
      </c>
      <c r="J874" t="s">
        <v>36</v>
      </c>
      <c r="K874" t="s">
        <v>23</v>
      </c>
      <c r="L874" s="2">
        <f>VLOOKUP(K874,mappings!$A$2:$B$13,2,FALSE)</f>
        <v>3</v>
      </c>
      <c r="M874" t="s">
        <v>15</v>
      </c>
      <c r="N874" t="str">
        <f>VLOOKUP(E874,mappings!$L$1:$M$110,2,FALSE)</f>
        <v>No answer provided</v>
      </c>
      <c r="O874" t="str">
        <f>VLOOKUP(E874,mappings!L:O,3,FALSE)</f>
        <v>No answer provided</v>
      </c>
      <c r="P874" t="str">
        <f>VLOOKUP(E874,mappings!L:P,4,FALSE)</f>
        <v>No answer provided</v>
      </c>
    </row>
    <row r="875" spans="1:16" x14ac:dyDescent="0.2">
      <c r="A875">
        <v>874</v>
      </c>
      <c r="B875">
        <v>3877618703</v>
      </c>
      <c r="C875" t="s">
        <v>6</v>
      </c>
      <c r="D875" t="s">
        <v>7</v>
      </c>
      <c r="E875" t="s">
        <v>8</v>
      </c>
      <c r="F875" t="s">
        <v>9</v>
      </c>
      <c r="G875" s="2">
        <f>VLOOKUP(F875,mappings!$G$2:$H$6,2,FALSE)</f>
        <v>4</v>
      </c>
      <c r="H875" t="s">
        <v>163</v>
      </c>
      <c r="I875" s="2">
        <f>VLOOKUP(H875,mappings!$D$2:$E$6,2,FALSE)</f>
        <v>3</v>
      </c>
      <c r="J875" t="s">
        <v>36</v>
      </c>
      <c r="K875" t="s">
        <v>39</v>
      </c>
      <c r="L875" s="2">
        <f>VLOOKUP(K875,mappings!$A$2:$B$13,2,FALSE)</f>
        <v>10</v>
      </c>
      <c r="M875" t="s">
        <v>12</v>
      </c>
      <c r="N875" t="str">
        <f>VLOOKUP(E875,mappings!$L$1:$M$110,2,FALSE)</f>
        <v>No answer provided</v>
      </c>
      <c r="O875" t="str">
        <f>VLOOKUP(E875,mappings!L:O,3,FALSE)</f>
        <v>No answer provided</v>
      </c>
      <c r="P875" t="str">
        <f>VLOOKUP(E875,mappings!L:P,4,FALSE)</f>
        <v>No answer provided</v>
      </c>
    </row>
    <row r="876" spans="1:16" x14ac:dyDescent="0.2">
      <c r="A876">
        <v>875</v>
      </c>
      <c r="B876">
        <v>3877617187</v>
      </c>
      <c r="C876" t="s">
        <v>6</v>
      </c>
      <c r="D876" t="s">
        <v>1</v>
      </c>
      <c r="E876" t="s">
        <v>85</v>
      </c>
      <c r="F876" t="s">
        <v>28</v>
      </c>
      <c r="G876" s="2">
        <f>VLOOKUP(F876,mappings!$G$2:$H$6,2,FALSE)</f>
        <v>2</v>
      </c>
      <c r="H876" t="s">
        <v>43</v>
      </c>
      <c r="I876" s="2">
        <f>VLOOKUP(H876,mappings!$D$2:$E$6,2,FALSE)</f>
        <v>4</v>
      </c>
      <c r="J876" t="s">
        <v>36</v>
      </c>
      <c r="K876" t="s">
        <v>33</v>
      </c>
      <c r="L876" s="2">
        <f>VLOOKUP(K876,mappings!$A$2:$B$13,2,FALSE)</f>
        <v>5</v>
      </c>
      <c r="M876" t="s">
        <v>38</v>
      </c>
      <c r="N876" t="str">
        <f>VLOOKUP(E876,mappings!$L$1:$M$110,2,FALSE)</f>
        <v>The Weather Channel</v>
      </c>
      <c r="O876" t="str">
        <f>VLOOKUP(E876,mappings!L:O,3,FALSE)</f>
        <v>Website</v>
      </c>
      <c r="P876" t="str">
        <f>VLOOKUP(E876,mappings!L:P,4,FALSE)</f>
        <v>Other or unkown</v>
      </c>
    </row>
    <row r="877" spans="1:16" x14ac:dyDescent="0.2">
      <c r="A877">
        <v>876</v>
      </c>
      <c r="B877">
        <v>3877617097</v>
      </c>
      <c r="C877" t="s">
        <v>6</v>
      </c>
      <c r="D877" t="s">
        <v>31</v>
      </c>
      <c r="E877" t="s">
        <v>8</v>
      </c>
      <c r="F877" t="s">
        <v>28</v>
      </c>
      <c r="G877" s="2">
        <f>VLOOKUP(F877,mappings!$G$2:$H$6,2,FALSE)</f>
        <v>2</v>
      </c>
      <c r="H877" t="s">
        <v>161</v>
      </c>
      <c r="I877" s="2">
        <f>VLOOKUP(H877,mappings!$D$2:$E$6,2,FALSE)</f>
        <v>2</v>
      </c>
      <c r="J877" t="s">
        <v>36</v>
      </c>
      <c r="K877" t="s">
        <v>11</v>
      </c>
      <c r="L877" s="2">
        <f>VLOOKUP(K877,mappings!$A$2:$B$13,2,FALSE)</f>
        <v>4</v>
      </c>
      <c r="M877" t="s">
        <v>34</v>
      </c>
      <c r="N877" t="str">
        <f>VLOOKUP(E877,mappings!$L$1:$M$110,2,FALSE)</f>
        <v>No answer provided</v>
      </c>
      <c r="O877" t="str">
        <f>VLOOKUP(E877,mappings!L:O,3,FALSE)</f>
        <v>No answer provided</v>
      </c>
      <c r="P877" t="str">
        <f>VLOOKUP(E877,mappings!L:P,4,FALSE)</f>
        <v>No answer provided</v>
      </c>
    </row>
    <row r="878" spans="1:16" x14ac:dyDescent="0.2">
      <c r="A878">
        <v>877</v>
      </c>
      <c r="B878">
        <v>3877615523</v>
      </c>
      <c r="C878" t="s">
        <v>6</v>
      </c>
      <c r="D878" t="s">
        <v>7</v>
      </c>
      <c r="E878" t="s">
        <v>8</v>
      </c>
      <c r="F878" t="s">
        <v>16</v>
      </c>
      <c r="G878" s="2">
        <f>VLOOKUP(F878,mappings!$G$2:$H$6,2,FALSE)</f>
        <v>3</v>
      </c>
      <c r="H878" t="s">
        <v>163</v>
      </c>
      <c r="I878" s="2">
        <f>VLOOKUP(H878,mappings!$D$2:$E$6,2,FALSE)</f>
        <v>3</v>
      </c>
      <c r="J878" t="s">
        <v>36</v>
      </c>
      <c r="K878" t="s">
        <v>11</v>
      </c>
      <c r="L878" s="2">
        <f>VLOOKUP(K878,mappings!$A$2:$B$13,2,FALSE)</f>
        <v>4</v>
      </c>
      <c r="M878" t="s">
        <v>34</v>
      </c>
      <c r="N878" t="str">
        <f>VLOOKUP(E878,mappings!$L$1:$M$110,2,FALSE)</f>
        <v>No answer provided</v>
      </c>
      <c r="O878" t="str">
        <f>VLOOKUP(E878,mappings!L:O,3,FALSE)</f>
        <v>No answer provided</v>
      </c>
      <c r="P878" t="str">
        <f>VLOOKUP(E878,mappings!L:P,4,FALSE)</f>
        <v>No answer provided</v>
      </c>
    </row>
    <row r="879" spans="1:16" x14ac:dyDescent="0.2">
      <c r="A879">
        <v>878</v>
      </c>
      <c r="B879">
        <v>3877614060</v>
      </c>
      <c r="C879" t="s">
        <v>6</v>
      </c>
      <c r="D879" t="s">
        <v>1</v>
      </c>
      <c r="E879" t="s">
        <v>55</v>
      </c>
      <c r="F879" t="s">
        <v>9</v>
      </c>
      <c r="G879" s="2">
        <f>VLOOKUP(F879,mappings!$G$2:$H$6,2,FALSE)</f>
        <v>4</v>
      </c>
      <c r="H879" t="s">
        <v>162</v>
      </c>
      <c r="I879" s="2">
        <f>VLOOKUP(H879,mappings!$D$2:$E$6,2,FALSE)</f>
        <v>1</v>
      </c>
      <c r="J879" t="s">
        <v>36</v>
      </c>
      <c r="K879" t="s">
        <v>13</v>
      </c>
      <c r="L879" s="2">
        <f>VLOOKUP(K879,mappings!$A$2:$B$13,2,FALSE)</f>
        <v>11</v>
      </c>
      <c r="M879" t="s">
        <v>15</v>
      </c>
      <c r="N879" t="str">
        <f>VLOOKUP(E879,mappings!$L$1:$M$110,2,FALSE)</f>
        <v>Weather Underground</v>
      </c>
      <c r="O879" t="str">
        <f>VLOOKUP(E879,mappings!L:O,3,FALSE)</f>
        <v>Website</v>
      </c>
      <c r="P879" t="str">
        <f>VLOOKUP(E879,mappings!L:P,4,FALSE)</f>
        <v>Other or unkown</v>
      </c>
    </row>
    <row r="880" spans="1:16" x14ac:dyDescent="0.2">
      <c r="A880">
        <v>879</v>
      </c>
      <c r="B880">
        <v>3877613803</v>
      </c>
      <c r="C880" t="s">
        <v>6</v>
      </c>
      <c r="D880" t="s">
        <v>21</v>
      </c>
      <c r="E880" t="s">
        <v>8</v>
      </c>
      <c r="F880" t="s">
        <v>9</v>
      </c>
      <c r="G880" s="2">
        <f>VLOOKUP(F880,mappings!$G$2:$H$6,2,FALSE)</f>
        <v>4</v>
      </c>
      <c r="H880" t="s">
        <v>162</v>
      </c>
      <c r="I880" s="2">
        <f>VLOOKUP(H880,mappings!$D$2:$E$6,2,FALSE)</f>
        <v>1</v>
      </c>
      <c r="J880" t="s">
        <v>36</v>
      </c>
      <c r="K880" t="s">
        <v>23</v>
      </c>
      <c r="L880" s="2">
        <f>VLOOKUP(K880,mappings!$A$2:$B$13,2,FALSE)</f>
        <v>3</v>
      </c>
      <c r="M880" t="s">
        <v>15</v>
      </c>
      <c r="N880" t="str">
        <f>VLOOKUP(E880,mappings!$L$1:$M$110,2,FALSE)</f>
        <v>No answer provided</v>
      </c>
      <c r="O880" t="str">
        <f>VLOOKUP(E880,mappings!L:O,3,FALSE)</f>
        <v>No answer provided</v>
      </c>
      <c r="P880" t="str">
        <f>VLOOKUP(E880,mappings!L:P,4,FALSE)</f>
        <v>No answer provided</v>
      </c>
    </row>
    <row r="881" spans="1:16" s="6" customFormat="1" x14ac:dyDescent="0.2">
      <c r="A881" s="6">
        <v>880</v>
      </c>
      <c r="B881" s="6">
        <v>3877613602</v>
      </c>
      <c r="C881" s="6" t="s">
        <v>26</v>
      </c>
      <c r="D881" s="6" t="s">
        <v>8</v>
      </c>
      <c r="E881" s="6" t="s">
        <v>8</v>
      </c>
      <c r="F881" s="6" t="s">
        <v>8</v>
      </c>
      <c r="G881" s="7" t="str">
        <f>VLOOKUP(F881,mappings!$G$2:$H$6,2,FALSE)</f>
        <v>na</v>
      </c>
      <c r="H881" s="6" t="s">
        <v>8</v>
      </c>
      <c r="I881" s="7" t="str">
        <f>VLOOKUP(H881,mappings!$D$2:$E$6,2,FALSE)</f>
        <v>na</v>
      </c>
      <c r="J881" s="6" t="s">
        <v>8</v>
      </c>
      <c r="K881" s="6" t="s">
        <v>8</v>
      </c>
      <c r="L881" s="7" t="str">
        <f>VLOOKUP(K881,mappings!$A$2:$B$13,2,FALSE)</f>
        <v>na</v>
      </c>
      <c r="M881" s="6" t="s">
        <v>8</v>
      </c>
      <c r="N881" t="str">
        <f>VLOOKUP(E881,mappings!$L$1:$M$110,2,FALSE)</f>
        <v>No answer provided</v>
      </c>
      <c r="O881" t="str">
        <f>VLOOKUP(E881,mappings!L:O,3,FALSE)</f>
        <v>No answer provided</v>
      </c>
      <c r="P881" t="str">
        <f>VLOOKUP(E881,mappings!L:P,4,FALSE)</f>
        <v>No answer provided</v>
      </c>
    </row>
    <row r="882" spans="1:16" x14ac:dyDescent="0.2">
      <c r="A882">
        <v>881</v>
      </c>
      <c r="B882">
        <v>3877612849</v>
      </c>
      <c r="C882" t="s">
        <v>6</v>
      </c>
      <c r="D882" t="s">
        <v>27</v>
      </c>
      <c r="E882" t="s">
        <v>8</v>
      </c>
      <c r="F882" t="s">
        <v>16</v>
      </c>
      <c r="G882" s="2">
        <f>VLOOKUP(F882,mappings!$G$2:$H$6,2,FALSE)</f>
        <v>3</v>
      </c>
      <c r="H882" t="s">
        <v>43</v>
      </c>
      <c r="I882" s="2">
        <f>VLOOKUP(H882,mappings!$D$2:$E$6,2,FALSE)</f>
        <v>4</v>
      </c>
      <c r="J882" t="s">
        <v>36</v>
      </c>
      <c r="K882" t="s">
        <v>18</v>
      </c>
      <c r="L882" s="2">
        <f>VLOOKUP(K882,mappings!$A$2:$B$13,2,FALSE)</f>
        <v>8</v>
      </c>
      <c r="M882" t="s">
        <v>24</v>
      </c>
      <c r="N882" t="str">
        <f>VLOOKUP(E882,mappings!$L$1:$M$110,2,FALSE)</f>
        <v>No answer provided</v>
      </c>
      <c r="O882" t="str">
        <f>VLOOKUP(E882,mappings!L:O,3,FALSE)</f>
        <v>No answer provided</v>
      </c>
      <c r="P882" t="str">
        <f>VLOOKUP(E882,mappings!L:P,4,FALSE)</f>
        <v>No answer provided</v>
      </c>
    </row>
    <row r="883" spans="1:16" x14ac:dyDescent="0.2">
      <c r="A883">
        <v>882</v>
      </c>
      <c r="B883">
        <v>3877612172</v>
      </c>
      <c r="C883" t="s">
        <v>6</v>
      </c>
      <c r="D883" t="s">
        <v>31</v>
      </c>
      <c r="E883" t="s">
        <v>8</v>
      </c>
      <c r="F883" t="s">
        <v>22</v>
      </c>
      <c r="G883" s="2">
        <f>VLOOKUP(F883,mappings!$G$2:$H$6,2,FALSE)</f>
        <v>1</v>
      </c>
      <c r="H883" t="s">
        <v>163</v>
      </c>
      <c r="I883" s="2">
        <f>VLOOKUP(H883,mappings!$D$2:$E$6,2,FALSE)</f>
        <v>3</v>
      </c>
      <c r="J883" t="s">
        <v>36</v>
      </c>
      <c r="K883" t="s">
        <v>11</v>
      </c>
      <c r="L883" s="2">
        <f>VLOOKUP(K883,mappings!$A$2:$B$13,2,FALSE)</f>
        <v>4</v>
      </c>
      <c r="M883" t="s">
        <v>42</v>
      </c>
      <c r="N883" t="str">
        <f>VLOOKUP(E883,mappings!$L$1:$M$110,2,FALSE)</f>
        <v>No answer provided</v>
      </c>
      <c r="O883" t="str">
        <f>VLOOKUP(E883,mappings!L:O,3,FALSE)</f>
        <v>No answer provided</v>
      </c>
      <c r="P883" t="str">
        <f>VLOOKUP(E883,mappings!L:P,4,FALSE)</f>
        <v>No answer provided</v>
      </c>
    </row>
    <row r="884" spans="1:16" x14ac:dyDescent="0.2">
      <c r="A884">
        <v>883</v>
      </c>
      <c r="B884">
        <v>3877611589</v>
      </c>
      <c r="C884" t="s">
        <v>6</v>
      </c>
      <c r="D884" t="s">
        <v>27</v>
      </c>
      <c r="E884" t="s">
        <v>8</v>
      </c>
      <c r="F884" t="s">
        <v>16</v>
      </c>
      <c r="G884" s="2">
        <f>VLOOKUP(F884,mappings!$G$2:$H$6,2,FALSE)</f>
        <v>3</v>
      </c>
      <c r="H884" t="s">
        <v>43</v>
      </c>
      <c r="I884" s="2">
        <f>VLOOKUP(H884,mappings!$D$2:$E$6,2,FALSE)</f>
        <v>4</v>
      </c>
      <c r="J884" t="s">
        <v>36</v>
      </c>
      <c r="K884" t="s">
        <v>13</v>
      </c>
      <c r="L884" s="2">
        <f>VLOOKUP(K884,mappings!$A$2:$B$13,2,FALSE)</f>
        <v>11</v>
      </c>
      <c r="M884" t="s">
        <v>42</v>
      </c>
      <c r="N884" t="str">
        <f>VLOOKUP(E884,mappings!$L$1:$M$110,2,FALSE)</f>
        <v>No answer provided</v>
      </c>
      <c r="O884" t="str">
        <f>VLOOKUP(E884,mappings!L:O,3,FALSE)</f>
        <v>No answer provided</v>
      </c>
      <c r="P884" t="str">
        <f>VLOOKUP(E884,mappings!L:P,4,FALSE)</f>
        <v>No answer provided</v>
      </c>
    </row>
    <row r="885" spans="1:16" x14ac:dyDescent="0.2">
      <c r="A885">
        <v>884</v>
      </c>
      <c r="B885">
        <v>3877611244</v>
      </c>
      <c r="C885" t="s">
        <v>6</v>
      </c>
      <c r="D885" t="s">
        <v>27</v>
      </c>
      <c r="E885" t="s">
        <v>8</v>
      </c>
      <c r="F885" t="s">
        <v>16</v>
      </c>
      <c r="G885" s="2">
        <f>VLOOKUP(F885,mappings!$G$2:$H$6,2,FALSE)</f>
        <v>3</v>
      </c>
      <c r="H885" t="s">
        <v>163</v>
      </c>
      <c r="I885" s="2">
        <f>VLOOKUP(H885,mappings!$D$2:$E$6,2,FALSE)</f>
        <v>3</v>
      </c>
      <c r="J885" t="s">
        <v>10</v>
      </c>
      <c r="K885" t="s">
        <v>33</v>
      </c>
      <c r="L885" s="2">
        <f>VLOOKUP(K885,mappings!$A$2:$B$13,2,FALSE)</f>
        <v>5</v>
      </c>
      <c r="M885" t="s">
        <v>42</v>
      </c>
      <c r="N885" t="str">
        <f>VLOOKUP(E885,mappings!$L$1:$M$110,2,FALSE)</f>
        <v>No answer provided</v>
      </c>
      <c r="O885" t="str">
        <f>VLOOKUP(E885,mappings!L:O,3,FALSE)</f>
        <v>No answer provided</v>
      </c>
      <c r="P885" t="str">
        <f>VLOOKUP(E885,mappings!L:P,4,FALSE)</f>
        <v>No answer provided</v>
      </c>
    </row>
    <row r="886" spans="1:16" x14ac:dyDescent="0.2">
      <c r="A886">
        <v>885</v>
      </c>
      <c r="B886">
        <v>3877608503</v>
      </c>
      <c r="C886" t="s">
        <v>26</v>
      </c>
      <c r="D886" t="s">
        <v>31</v>
      </c>
      <c r="E886" t="s">
        <v>8</v>
      </c>
      <c r="F886" t="s">
        <v>16</v>
      </c>
      <c r="G886" s="2">
        <f>VLOOKUP(F886,mappings!$G$2:$H$6,2,FALSE)</f>
        <v>3</v>
      </c>
      <c r="H886" t="s">
        <v>163</v>
      </c>
      <c r="I886" s="2">
        <f>VLOOKUP(H886,mappings!$D$2:$E$6,2,FALSE)</f>
        <v>3</v>
      </c>
      <c r="J886" t="s">
        <v>10</v>
      </c>
      <c r="K886" t="s">
        <v>14</v>
      </c>
      <c r="L886" s="2">
        <f>VLOOKUP(K886,mappings!$A$2:$B$13,2,FALSE)</f>
        <v>6</v>
      </c>
      <c r="M886" t="s">
        <v>12</v>
      </c>
      <c r="N886" t="str">
        <f>VLOOKUP(E886,mappings!$L$1:$M$110,2,FALSE)</f>
        <v>No answer provided</v>
      </c>
      <c r="O886" t="str">
        <f>VLOOKUP(E886,mappings!L:O,3,FALSE)</f>
        <v>No answer provided</v>
      </c>
      <c r="P886" t="str">
        <f>VLOOKUP(E886,mappings!L:P,4,FALSE)</f>
        <v>No answer provided</v>
      </c>
    </row>
    <row r="887" spans="1:16" x14ac:dyDescent="0.2">
      <c r="A887">
        <v>886</v>
      </c>
      <c r="B887">
        <v>3877608111</v>
      </c>
      <c r="C887" t="s">
        <v>6</v>
      </c>
      <c r="D887" t="s">
        <v>21</v>
      </c>
      <c r="E887" t="s">
        <v>8</v>
      </c>
      <c r="F887" t="s">
        <v>9</v>
      </c>
      <c r="G887" s="2">
        <f>VLOOKUP(F887,mappings!$G$2:$H$6,2,FALSE)</f>
        <v>4</v>
      </c>
      <c r="H887" t="s">
        <v>163</v>
      </c>
      <c r="I887" s="2">
        <f>VLOOKUP(H887,mappings!$D$2:$E$6,2,FALSE)</f>
        <v>3</v>
      </c>
      <c r="J887" t="s">
        <v>36</v>
      </c>
      <c r="K887" t="s">
        <v>33</v>
      </c>
      <c r="L887" s="2">
        <f>VLOOKUP(K887,mappings!$A$2:$B$13,2,FALSE)</f>
        <v>5</v>
      </c>
      <c r="M887" t="s">
        <v>20</v>
      </c>
      <c r="N887" t="str">
        <f>VLOOKUP(E887,mappings!$L$1:$M$110,2,FALSE)</f>
        <v>No answer provided</v>
      </c>
      <c r="O887" t="str">
        <f>VLOOKUP(E887,mappings!L:O,3,FALSE)</f>
        <v>No answer provided</v>
      </c>
      <c r="P887" t="str">
        <f>VLOOKUP(E887,mappings!L:P,4,FALSE)</f>
        <v>No answer provided</v>
      </c>
    </row>
    <row r="888" spans="1:16" x14ac:dyDescent="0.2">
      <c r="A888">
        <v>887</v>
      </c>
      <c r="B888">
        <v>3877607322</v>
      </c>
      <c r="C888" t="s">
        <v>6</v>
      </c>
      <c r="D888" t="s">
        <v>31</v>
      </c>
      <c r="E888" t="s">
        <v>8</v>
      </c>
      <c r="F888" t="s">
        <v>22</v>
      </c>
      <c r="G888" s="2">
        <f>VLOOKUP(F888,mappings!$G$2:$H$6,2,FALSE)</f>
        <v>1</v>
      </c>
      <c r="H888" t="s">
        <v>163</v>
      </c>
      <c r="I888" s="2">
        <f>VLOOKUP(H888,mappings!$D$2:$E$6,2,FALSE)</f>
        <v>3</v>
      </c>
      <c r="J888" t="s">
        <v>36</v>
      </c>
      <c r="K888" t="s">
        <v>48</v>
      </c>
      <c r="L888" s="2">
        <f>VLOOKUP(K888,mappings!$A$2:$B$13,2,FALSE)</f>
        <v>7</v>
      </c>
      <c r="M888" t="s">
        <v>24</v>
      </c>
      <c r="N888" t="str">
        <f>VLOOKUP(E888,mappings!$L$1:$M$110,2,FALSE)</f>
        <v>No answer provided</v>
      </c>
      <c r="O888" t="str">
        <f>VLOOKUP(E888,mappings!L:O,3,FALSE)</f>
        <v>No answer provided</v>
      </c>
      <c r="P888" t="str">
        <f>VLOOKUP(E888,mappings!L:P,4,FALSE)</f>
        <v>No answer provided</v>
      </c>
    </row>
    <row r="889" spans="1:16" x14ac:dyDescent="0.2">
      <c r="A889">
        <v>888</v>
      </c>
      <c r="B889">
        <v>3877606832</v>
      </c>
      <c r="C889" t="s">
        <v>26</v>
      </c>
      <c r="D889" t="s">
        <v>7</v>
      </c>
      <c r="E889" t="s">
        <v>8</v>
      </c>
      <c r="F889" t="s">
        <v>22</v>
      </c>
      <c r="G889" s="2">
        <f>VLOOKUP(F889,mappings!$G$2:$H$6,2,FALSE)</f>
        <v>1</v>
      </c>
      <c r="H889" t="s">
        <v>162</v>
      </c>
      <c r="I889" s="2">
        <f>VLOOKUP(H889,mappings!$D$2:$E$6,2,FALSE)</f>
        <v>1</v>
      </c>
      <c r="J889" t="s">
        <v>36</v>
      </c>
      <c r="K889" t="s">
        <v>29</v>
      </c>
      <c r="L889" s="2">
        <f>VLOOKUP(K889,mappings!$A$2:$B$13,2,FALSE)</f>
        <v>1</v>
      </c>
      <c r="M889" t="s">
        <v>34</v>
      </c>
      <c r="N889" t="str">
        <f>VLOOKUP(E889,mappings!$L$1:$M$110,2,FALSE)</f>
        <v>No answer provided</v>
      </c>
      <c r="O889" t="str">
        <f>VLOOKUP(E889,mappings!L:O,3,FALSE)</f>
        <v>No answer provided</v>
      </c>
      <c r="P889" t="str">
        <f>VLOOKUP(E889,mappings!L:P,4,FALSE)</f>
        <v>No answer provided</v>
      </c>
    </row>
    <row r="890" spans="1:16" x14ac:dyDescent="0.2">
      <c r="A890">
        <v>889</v>
      </c>
      <c r="B890">
        <v>3877606205</v>
      </c>
      <c r="C890" t="s">
        <v>6</v>
      </c>
      <c r="D890" t="s">
        <v>1</v>
      </c>
      <c r="E890" t="s">
        <v>53</v>
      </c>
      <c r="F890" t="s">
        <v>9</v>
      </c>
      <c r="G890" s="2">
        <f>VLOOKUP(F890,mappings!$G$2:$H$6,2,FALSE)</f>
        <v>4</v>
      </c>
      <c r="H890" t="s">
        <v>163</v>
      </c>
      <c r="I890" s="2">
        <f>VLOOKUP(H890,mappings!$D$2:$E$6,2,FALSE)</f>
        <v>3</v>
      </c>
      <c r="J890" t="s">
        <v>10</v>
      </c>
      <c r="K890" t="s">
        <v>13</v>
      </c>
      <c r="L890" s="2">
        <f>VLOOKUP(K890,mappings!$A$2:$B$13,2,FALSE)</f>
        <v>11</v>
      </c>
      <c r="M890" t="s">
        <v>12</v>
      </c>
      <c r="N890" t="str">
        <f>VLOOKUP(E890,mappings!$L$1:$M$110,2,FALSE)</f>
        <v>The Weather Channel</v>
      </c>
      <c r="O890" t="str">
        <f>VLOOKUP(E890,mappings!L:O,3,FALSE)</f>
        <v>App</v>
      </c>
      <c r="P890" t="str">
        <f>VLOOKUP(E890,mappings!L:P,4,FALSE)</f>
        <v>Other or unkown</v>
      </c>
    </row>
    <row r="891" spans="1:16" x14ac:dyDescent="0.2">
      <c r="A891">
        <v>890</v>
      </c>
      <c r="B891">
        <v>3877606053</v>
      </c>
      <c r="C891" t="s">
        <v>6</v>
      </c>
      <c r="D891" t="s">
        <v>40</v>
      </c>
      <c r="E891" t="s">
        <v>8</v>
      </c>
      <c r="F891" t="s">
        <v>16</v>
      </c>
      <c r="G891" s="2">
        <f>VLOOKUP(F891,mappings!$G$2:$H$6,2,FALSE)</f>
        <v>3</v>
      </c>
      <c r="H891" t="s">
        <v>43</v>
      </c>
      <c r="I891" s="2">
        <f>VLOOKUP(H891,mappings!$D$2:$E$6,2,FALSE)</f>
        <v>4</v>
      </c>
      <c r="J891" t="s">
        <v>36</v>
      </c>
      <c r="K891" t="s">
        <v>33</v>
      </c>
      <c r="L891" s="2">
        <f>VLOOKUP(K891,mappings!$A$2:$B$13,2,FALSE)</f>
        <v>5</v>
      </c>
      <c r="M891" t="s">
        <v>12</v>
      </c>
      <c r="N891" t="str">
        <f>VLOOKUP(E891,mappings!$L$1:$M$110,2,FALSE)</f>
        <v>No answer provided</v>
      </c>
      <c r="O891" t="str">
        <f>VLOOKUP(E891,mappings!L:O,3,FALSE)</f>
        <v>No answer provided</v>
      </c>
      <c r="P891" t="str">
        <f>VLOOKUP(E891,mappings!L:P,4,FALSE)</f>
        <v>No answer provided</v>
      </c>
    </row>
    <row r="892" spans="1:16" x14ac:dyDescent="0.2">
      <c r="A892">
        <v>891</v>
      </c>
      <c r="B892">
        <v>3877605415</v>
      </c>
      <c r="C892" t="s">
        <v>6</v>
      </c>
      <c r="D892" t="s">
        <v>31</v>
      </c>
      <c r="E892" t="s">
        <v>8</v>
      </c>
      <c r="F892" t="s">
        <v>22</v>
      </c>
      <c r="G892" s="2">
        <f>VLOOKUP(F892,mappings!$G$2:$H$6,2,FALSE)</f>
        <v>1</v>
      </c>
      <c r="H892" t="s">
        <v>161</v>
      </c>
      <c r="I892" s="2">
        <f>VLOOKUP(H892,mappings!$D$2:$E$6,2,FALSE)</f>
        <v>2</v>
      </c>
      <c r="J892" t="s">
        <v>36</v>
      </c>
      <c r="K892" t="s">
        <v>23</v>
      </c>
      <c r="L892" s="2">
        <f>VLOOKUP(K892,mappings!$A$2:$B$13,2,FALSE)</f>
        <v>3</v>
      </c>
      <c r="M892" t="s">
        <v>38</v>
      </c>
      <c r="N892" t="str">
        <f>VLOOKUP(E892,mappings!$L$1:$M$110,2,FALSE)</f>
        <v>No answer provided</v>
      </c>
      <c r="O892" t="str">
        <f>VLOOKUP(E892,mappings!L:O,3,FALSE)</f>
        <v>No answer provided</v>
      </c>
      <c r="P892" t="str">
        <f>VLOOKUP(E892,mappings!L:P,4,FALSE)</f>
        <v>No answer provided</v>
      </c>
    </row>
    <row r="893" spans="1:16" x14ac:dyDescent="0.2">
      <c r="A893">
        <v>892</v>
      </c>
      <c r="B893">
        <v>3877605085</v>
      </c>
      <c r="C893" t="s">
        <v>6</v>
      </c>
      <c r="D893" t="s">
        <v>1</v>
      </c>
      <c r="E893" t="s">
        <v>157</v>
      </c>
      <c r="F893" t="s">
        <v>9</v>
      </c>
      <c r="G893" s="2">
        <f>VLOOKUP(F893,mappings!$G$2:$H$6,2,FALSE)</f>
        <v>4</v>
      </c>
      <c r="H893" t="s">
        <v>162</v>
      </c>
      <c r="I893" s="2">
        <f>VLOOKUP(H893,mappings!$D$2:$E$6,2,FALSE)</f>
        <v>1</v>
      </c>
      <c r="J893" t="s">
        <v>36</v>
      </c>
      <c r="K893" t="s">
        <v>11</v>
      </c>
      <c r="L893" s="2">
        <f>VLOOKUP(K893,mappings!$A$2:$B$13,2,FALSE)</f>
        <v>4</v>
      </c>
      <c r="M893" t="s">
        <v>12</v>
      </c>
      <c r="N893" t="str">
        <f>VLOOKUP(E893,mappings!$L$1:$M$110,2,FALSE)</f>
        <v>Other or unknown</v>
      </c>
      <c r="O893" t="str">
        <f>VLOOKUP(E893,mappings!L:O,3,FALSE)</f>
        <v>App</v>
      </c>
      <c r="P893" t="str">
        <f>VLOOKUP(E893,mappings!L:P,4,FALSE)</f>
        <v>Other or unkown</v>
      </c>
    </row>
    <row r="894" spans="1:16" x14ac:dyDescent="0.2">
      <c r="A894">
        <v>893</v>
      </c>
      <c r="B894">
        <v>3877604945</v>
      </c>
      <c r="C894" t="s">
        <v>6</v>
      </c>
      <c r="D894" t="s">
        <v>31</v>
      </c>
      <c r="E894" t="s">
        <v>8</v>
      </c>
      <c r="F894" t="s">
        <v>9</v>
      </c>
      <c r="G894" s="2">
        <f>VLOOKUP(F894,mappings!$G$2:$H$6,2,FALSE)</f>
        <v>4</v>
      </c>
      <c r="H894" t="s">
        <v>163</v>
      </c>
      <c r="I894" s="2">
        <f>VLOOKUP(H894,mappings!$D$2:$E$6,2,FALSE)</f>
        <v>3</v>
      </c>
      <c r="J894" t="s">
        <v>36</v>
      </c>
      <c r="K894" t="s">
        <v>29</v>
      </c>
      <c r="L894" s="2">
        <f>VLOOKUP(K894,mappings!$A$2:$B$13,2,FALSE)</f>
        <v>1</v>
      </c>
      <c r="M894" t="s">
        <v>34</v>
      </c>
      <c r="N894" t="str">
        <f>VLOOKUP(E894,mappings!$L$1:$M$110,2,FALSE)</f>
        <v>No answer provided</v>
      </c>
      <c r="O894" t="str">
        <f>VLOOKUP(E894,mappings!L:O,3,FALSE)</f>
        <v>No answer provided</v>
      </c>
      <c r="P894" t="str">
        <f>VLOOKUP(E894,mappings!L:P,4,FALSE)</f>
        <v>No answer provided</v>
      </c>
    </row>
    <row r="895" spans="1:16" x14ac:dyDescent="0.2">
      <c r="A895">
        <v>894</v>
      </c>
      <c r="B895">
        <v>3877604719</v>
      </c>
      <c r="C895" t="s">
        <v>6</v>
      </c>
      <c r="D895" t="s">
        <v>27</v>
      </c>
      <c r="E895" t="s">
        <v>8</v>
      </c>
      <c r="F895" t="s">
        <v>16</v>
      </c>
      <c r="G895" s="2">
        <f>VLOOKUP(F895,mappings!$G$2:$H$6,2,FALSE)</f>
        <v>3</v>
      </c>
      <c r="H895" t="s">
        <v>163</v>
      </c>
      <c r="I895" s="2">
        <f>VLOOKUP(H895,mappings!$D$2:$E$6,2,FALSE)</f>
        <v>3</v>
      </c>
      <c r="J895" t="s">
        <v>36</v>
      </c>
      <c r="K895" t="s">
        <v>13</v>
      </c>
      <c r="L895" s="2">
        <f>VLOOKUP(K895,mappings!$A$2:$B$13,2,FALSE)</f>
        <v>11</v>
      </c>
      <c r="M895" t="s">
        <v>25</v>
      </c>
      <c r="N895" t="str">
        <f>VLOOKUP(E895,mappings!$L$1:$M$110,2,FALSE)</f>
        <v>No answer provided</v>
      </c>
      <c r="O895" t="str">
        <f>VLOOKUP(E895,mappings!L:O,3,FALSE)</f>
        <v>No answer provided</v>
      </c>
      <c r="P895" t="str">
        <f>VLOOKUP(E895,mappings!L:P,4,FALSE)</f>
        <v>No answer provided</v>
      </c>
    </row>
    <row r="896" spans="1:16" x14ac:dyDescent="0.2">
      <c r="A896">
        <v>895</v>
      </c>
      <c r="B896">
        <v>3877603245</v>
      </c>
      <c r="C896" t="s">
        <v>6</v>
      </c>
      <c r="D896" t="s">
        <v>7</v>
      </c>
      <c r="E896" t="s">
        <v>8</v>
      </c>
      <c r="F896" t="s">
        <v>22</v>
      </c>
      <c r="G896" s="2">
        <f>VLOOKUP(F896,mappings!$G$2:$H$6,2,FALSE)</f>
        <v>1</v>
      </c>
      <c r="H896" t="s">
        <v>161</v>
      </c>
      <c r="I896" s="2">
        <f>VLOOKUP(H896,mappings!$D$2:$E$6,2,FALSE)</f>
        <v>2</v>
      </c>
      <c r="J896" t="s">
        <v>36</v>
      </c>
      <c r="K896" t="s">
        <v>33</v>
      </c>
      <c r="L896" s="2">
        <f>VLOOKUP(K896,mappings!$A$2:$B$13,2,FALSE)</f>
        <v>5</v>
      </c>
      <c r="M896" t="s">
        <v>34</v>
      </c>
      <c r="N896" t="str">
        <f>VLOOKUP(E896,mappings!$L$1:$M$110,2,FALSE)</f>
        <v>No answer provided</v>
      </c>
      <c r="O896" t="str">
        <f>VLOOKUP(E896,mappings!L:O,3,FALSE)</f>
        <v>No answer provided</v>
      </c>
      <c r="P896" t="str">
        <f>VLOOKUP(E896,mappings!L:P,4,FALSE)</f>
        <v>No answer provided</v>
      </c>
    </row>
    <row r="897" spans="1:16" x14ac:dyDescent="0.2">
      <c r="A897">
        <v>896</v>
      </c>
      <c r="B897">
        <v>3877602149</v>
      </c>
      <c r="C897" t="s">
        <v>6</v>
      </c>
      <c r="D897" t="s">
        <v>1</v>
      </c>
      <c r="E897" t="s">
        <v>37</v>
      </c>
      <c r="F897" t="s">
        <v>9</v>
      </c>
      <c r="G897" s="2">
        <f>VLOOKUP(F897,mappings!$G$2:$H$6,2,FALSE)</f>
        <v>4</v>
      </c>
      <c r="H897" t="s">
        <v>43</v>
      </c>
      <c r="I897" s="2">
        <f>VLOOKUP(H897,mappings!$D$2:$E$6,2,FALSE)</f>
        <v>4</v>
      </c>
      <c r="J897" t="s">
        <v>10</v>
      </c>
      <c r="K897" t="s">
        <v>47</v>
      </c>
      <c r="L897" s="2">
        <f>VLOOKUP(K897,mappings!$A$2:$B$13,2,FALSE)</f>
        <v>9</v>
      </c>
      <c r="M897" t="s">
        <v>30</v>
      </c>
      <c r="N897" t="str">
        <f>VLOOKUP(E897,mappings!$L$1:$M$110,2,FALSE)</f>
        <v>The Weather Channel</v>
      </c>
      <c r="O897" t="str">
        <f>VLOOKUP(E897,mappings!L:O,3,FALSE)</f>
        <v>Website</v>
      </c>
      <c r="P897" t="str">
        <f>VLOOKUP(E897,mappings!L:P,4,FALSE)</f>
        <v>Other or unkown</v>
      </c>
    </row>
    <row r="898" spans="1:16" x14ac:dyDescent="0.2">
      <c r="A898">
        <v>897</v>
      </c>
      <c r="B898">
        <v>3877602108</v>
      </c>
      <c r="C898" t="s">
        <v>6</v>
      </c>
      <c r="D898" t="s">
        <v>21</v>
      </c>
      <c r="E898" t="s">
        <v>8</v>
      </c>
      <c r="F898" t="s">
        <v>9</v>
      </c>
      <c r="G898" s="2">
        <f>VLOOKUP(F898,mappings!$G$2:$H$6,2,FALSE)</f>
        <v>4</v>
      </c>
      <c r="H898" t="s">
        <v>161</v>
      </c>
      <c r="I898" s="2">
        <f>VLOOKUP(H898,mappings!$D$2:$E$6,2,FALSE)</f>
        <v>2</v>
      </c>
      <c r="J898" t="s">
        <v>36</v>
      </c>
      <c r="K898" t="s">
        <v>11</v>
      </c>
      <c r="L898" s="2">
        <f>VLOOKUP(K898,mappings!$A$2:$B$13,2,FALSE)</f>
        <v>4</v>
      </c>
      <c r="M898" t="s">
        <v>42</v>
      </c>
      <c r="N898" t="str">
        <f>VLOOKUP(E898,mappings!$L$1:$M$110,2,FALSE)</f>
        <v>No answer provided</v>
      </c>
      <c r="O898" t="str">
        <f>VLOOKUP(E898,mappings!L:O,3,FALSE)</f>
        <v>No answer provided</v>
      </c>
      <c r="P898" t="str">
        <f>VLOOKUP(E898,mappings!L:P,4,FALSE)</f>
        <v>No answer provided</v>
      </c>
    </row>
    <row r="899" spans="1:16" x14ac:dyDescent="0.2">
      <c r="A899">
        <v>898</v>
      </c>
      <c r="B899">
        <v>3877601790</v>
      </c>
      <c r="C899" t="s">
        <v>6</v>
      </c>
      <c r="D899" t="s">
        <v>7</v>
      </c>
      <c r="E899" t="s">
        <v>8</v>
      </c>
      <c r="F899" t="s">
        <v>9</v>
      </c>
      <c r="G899" s="2">
        <f>VLOOKUP(F899,mappings!$G$2:$H$6,2,FALSE)</f>
        <v>4</v>
      </c>
      <c r="H899" t="s">
        <v>161</v>
      </c>
      <c r="I899" s="2">
        <f>VLOOKUP(H899,mappings!$D$2:$E$6,2,FALSE)</f>
        <v>2</v>
      </c>
      <c r="J899" t="s">
        <v>36</v>
      </c>
      <c r="K899" t="s">
        <v>33</v>
      </c>
      <c r="L899" s="2">
        <f>VLOOKUP(K899,mappings!$A$2:$B$13,2,FALSE)</f>
        <v>5</v>
      </c>
      <c r="M899" t="s">
        <v>20</v>
      </c>
      <c r="N899" t="str">
        <f>VLOOKUP(E899,mappings!$L$1:$M$110,2,FALSE)</f>
        <v>No answer provided</v>
      </c>
      <c r="O899" t="str">
        <f>VLOOKUP(E899,mappings!L:O,3,FALSE)</f>
        <v>No answer provided</v>
      </c>
      <c r="P899" t="str">
        <f>VLOOKUP(E899,mappings!L:P,4,FALSE)</f>
        <v>No answer provided</v>
      </c>
    </row>
    <row r="900" spans="1:16" x14ac:dyDescent="0.2">
      <c r="A900">
        <v>899</v>
      </c>
      <c r="B900">
        <v>3877600406</v>
      </c>
      <c r="C900" t="s">
        <v>6</v>
      </c>
      <c r="D900" t="s">
        <v>21</v>
      </c>
      <c r="E900" t="s">
        <v>8</v>
      </c>
      <c r="F900" t="s">
        <v>28</v>
      </c>
      <c r="G900" s="2">
        <f>VLOOKUP(F900,mappings!$G$2:$H$6,2,FALSE)</f>
        <v>2</v>
      </c>
      <c r="H900" t="s">
        <v>162</v>
      </c>
      <c r="I900" s="2">
        <f>VLOOKUP(H900,mappings!$D$2:$E$6,2,FALSE)</f>
        <v>1</v>
      </c>
      <c r="J900" t="s">
        <v>36</v>
      </c>
      <c r="K900" t="s">
        <v>23</v>
      </c>
      <c r="L900" s="2">
        <f>VLOOKUP(K900,mappings!$A$2:$B$13,2,FALSE)</f>
        <v>3</v>
      </c>
      <c r="M900" t="s">
        <v>12</v>
      </c>
      <c r="N900" t="str">
        <f>VLOOKUP(E900,mappings!$L$1:$M$110,2,FALSE)</f>
        <v>No answer provided</v>
      </c>
      <c r="O900" t="str">
        <f>VLOOKUP(E900,mappings!L:O,3,FALSE)</f>
        <v>No answer provided</v>
      </c>
      <c r="P900" t="str">
        <f>VLOOKUP(E900,mappings!L:P,4,FALSE)</f>
        <v>No answer provided</v>
      </c>
    </row>
    <row r="901" spans="1:16" x14ac:dyDescent="0.2">
      <c r="A901">
        <v>900</v>
      </c>
      <c r="B901">
        <v>3877599363</v>
      </c>
      <c r="C901" t="s">
        <v>6</v>
      </c>
      <c r="D901" t="s">
        <v>7</v>
      </c>
      <c r="E901" t="s">
        <v>8</v>
      </c>
      <c r="F901" t="s">
        <v>9</v>
      </c>
      <c r="G901" s="2">
        <f>VLOOKUP(F901,mappings!$G$2:$H$6,2,FALSE)</f>
        <v>4</v>
      </c>
      <c r="H901" t="s">
        <v>43</v>
      </c>
      <c r="I901" s="2">
        <f>VLOOKUP(H901,mappings!$D$2:$E$6,2,FALSE)</f>
        <v>4</v>
      </c>
      <c r="J901" t="s">
        <v>10</v>
      </c>
      <c r="K901" t="s">
        <v>23</v>
      </c>
      <c r="L901" s="2">
        <f>VLOOKUP(K901,mappings!$A$2:$B$13,2,FALSE)</f>
        <v>3</v>
      </c>
      <c r="M901" t="s">
        <v>30</v>
      </c>
      <c r="N901" t="str">
        <f>VLOOKUP(E901,mappings!$L$1:$M$110,2,FALSE)</f>
        <v>No answer provided</v>
      </c>
      <c r="O901" t="str">
        <f>VLOOKUP(E901,mappings!L:O,3,FALSE)</f>
        <v>No answer provided</v>
      </c>
      <c r="P901" t="str">
        <f>VLOOKUP(E901,mappings!L:P,4,FALSE)</f>
        <v>No answer provided</v>
      </c>
    </row>
    <row r="902" spans="1:16" x14ac:dyDescent="0.2">
      <c r="A902">
        <v>901</v>
      </c>
      <c r="B902">
        <v>3877599184</v>
      </c>
      <c r="C902" t="s">
        <v>26</v>
      </c>
      <c r="D902" t="s">
        <v>27</v>
      </c>
      <c r="E902" t="s">
        <v>8</v>
      </c>
      <c r="F902" t="s">
        <v>22</v>
      </c>
      <c r="G902" s="2">
        <f>VLOOKUP(F902,mappings!$G$2:$H$6,2,FALSE)</f>
        <v>1</v>
      </c>
      <c r="H902" t="s">
        <v>161</v>
      </c>
      <c r="I902" s="2">
        <f>VLOOKUP(H902,mappings!$D$2:$E$6,2,FALSE)</f>
        <v>2</v>
      </c>
      <c r="J902" t="s">
        <v>36</v>
      </c>
      <c r="K902" t="s">
        <v>48</v>
      </c>
      <c r="L902" s="2">
        <f>VLOOKUP(K902,mappings!$A$2:$B$13,2,FALSE)</f>
        <v>7</v>
      </c>
      <c r="M902" t="s">
        <v>12</v>
      </c>
      <c r="N902" t="str">
        <f>VLOOKUP(E902,mappings!$L$1:$M$110,2,FALSE)</f>
        <v>No answer provided</v>
      </c>
      <c r="O902" t="str">
        <f>VLOOKUP(E902,mappings!L:O,3,FALSE)</f>
        <v>No answer provided</v>
      </c>
      <c r="P902" t="str">
        <f>VLOOKUP(E902,mappings!L:P,4,FALSE)</f>
        <v>No answer provided</v>
      </c>
    </row>
    <row r="903" spans="1:16" x14ac:dyDescent="0.2">
      <c r="A903">
        <v>902</v>
      </c>
      <c r="B903">
        <v>3877598945</v>
      </c>
      <c r="C903" t="s">
        <v>6</v>
      </c>
      <c r="D903" t="s">
        <v>21</v>
      </c>
      <c r="E903" t="s">
        <v>8</v>
      </c>
      <c r="F903" t="s">
        <v>9</v>
      </c>
      <c r="G903" s="2">
        <f>VLOOKUP(F903,mappings!$G$2:$H$6,2,FALSE)</f>
        <v>4</v>
      </c>
      <c r="H903" t="s">
        <v>161</v>
      </c>
      <c r="I903" s="2">
        <f>VLOOKUP(H903,mappings!$D$2:$E$6,2,FALSE)</f>
        <v>2</v>
      </c>
      <c r="J903" t="s">
        <v>36</v>
      </c>
      <c r="K903" t="s">
        <v>48</v>
      </c>
      <c r="L903" s="2">
        <f>VLOOKUP(K903,mappings!$A$2:$B$13,2,FALSE)</f>
        <v>7</v>
      </c>
      <c r="M903" t="s">
        <v>20</v>
      </c>
      <c r="N903" t="str">
        <f>VLOOKUP(E903,mappings!$L$1:$M$110,2,FALSE)</f>
        <v>No answer provided</v>
      </c>
      <c r="O903" t="str">
        <f>VLOOKUP(E903,mappings!L:O,3,FALSE)</f>
        <v>No answer provided</v>
      </c>
      <c r="P903" t="str">
        <f>VLOOKUP(E903,mappings!L:P,4,FALSE)</f>
        <v>No answer provided</v>
      </c>
    </row>
    <row r="904" spans="1:16" x14ac:dyDescent="0.2">
      <c r="A904">
        <v>903</v>
      </c>
      <c r="B904">
        <v>3877598520</v>
      </c>
      <c r="C904" t="s">
        <v>6</v>
      </c>
      <c r="D904" t="s">
        <v>31</v>
      </c>
      <c r="E904" t="s">
        <v>8</v>
      </c>
      <c r="F904" t="s">
        <v>22</v>
      </c>
      <c r="G904" s="2">
        <f>VLOOKUP(F904,mappings!$G$2:$H$6,2,FALSE)</f>
        <v>1</v>
      </c>
      <c r="H904" t="s">
        <v>163</v>
      </c>
      <c r="I904" s="2">
        <f>VLOOKUP(H904,mappings!$D$2:$E$6,2,FALSE)</f>
        <v>3</v>
      </c>
      <c r="J904" t="s">
        <v>10</v>
      </c>
      <c r="K904" t="s">
        <v>14</v>
      </c>
      <c r="L904" s="2">
        <f>VLOOKUP(K904,mappings!$A$2:$B$13,2,FALSE)</f>
        <v>6</v>
      </c>
      <c r="M904" t="s">
        <v>30</v>
      </c>
      <c r="N904" t="str">
        <f>VLOOKUP(E904,mappings!$L$1:$M$110,2,FALSE)</f>
        <v>No answer provided</v>
      </c>
      <c r="O904" t="str">
        <f>VLOOKUP(E904,mappings!L:O,3,FALSE)</f>
        <v>No answer provided</v>
      </c>
      <c r="P904" t="str">
        <f>VLOOKUP(E904,mappings!L:P,4,FALSE)</f>
        <v>No answer provided</v>
      </c>
    </row>
    <row r="905" spans="1:16" x14ac:dyDescent="0.2">
      <c r="A905">
        <v>904</v>
      </c>
      <c r="B905">
        <v>3877595167</v>
      </c>
      <c r="C905" t="s">
        <v>6</v>
      </c>
      <c r="D905" t="s">
        <v>7</v>
      </c>
      <c r="E905" t="s">
        <v>8</v>
      </c>
      <c r="F905" t="s">
        <v>9</v>
      </c>
      <c r="G905" s="2">
        <f>VLOOKUP(F905,mappings!$G$2:$H$6,2,FALSE)</f>
        <v>4</v>
      </c>
      <c r="H905" t="s">
        <v>43</v>
      </c>
      <c r="I905" s="2">
        <f>VLOOKUP(H905,mappings!$D$2:$E$6,2,FALSE)</f>
        <v>4</v>
      </c>
      <c r="J905" t="s">
        <v>36</v>
      </c>
      <c r="K905" t="s">
        <v>33</v>
      </c>
      <c r="L905" s="2">
        <f>VLOOKUP(K905,mappings!$A$2:$B$13,2,FALSE)</f>
        <v>5</v>
      </c>
      <c r="M905" t="s">
        <v>30</v>
      </c>
      <c r="N905" t="str">
        <f>VLOOKUP(E905,mappings!$L$1:$M$110,2,FALSE)</f>
        <v>No answer provided</v>
      </c>
      <c r="O905" t="str">
        <f>VLOOKUP(E905,mappings!L:O,3,FALSE)</f>
        <v>No answer provided</v>
      </c>
      <c r="P905" t="str">
        <f>VLOOKUP(E905,mappings!L:P,4,FALSE)</f>
        <v>No answer provided</v>
      </c>
    </row>
    <row r="906" spans="1:16" x14ac:dyDescent="0.2">
      <c r="A906">
        <v>905</v>
      </c>
      <c r="B906">
        <v>3877594682</v>
      </c>
      <c r="C906" t="s">
        <v>6</v>
      </c>
      <c r="D906" t="s">
        <v>41</v>
      </c>
      <c r="E906" t="s">
        <v>8</v>
      </c>
      <c r="F906" t="s">
        <v>16</v>
      </c>
      <c r="G906" s="2">
        <f>VLOOKUP(F906,mappings!$G$2:$H$6,2,FALSE)</f>
        <v>3</v>
      </c>
      <c r="H906" t="s">
        <v>43</v>
      </c>
      <c r="I906" s="2">
        <f>VLOOKUP(H906,mappings!$D$2:$E$6,2,FALSE)</f>
        <v>4</v>
      </c>
      <c r="J906" t="s">
        <v>10</v>
      </c>
      <c r="K906" t="s">
        <v>23</v>
      </c>
      <c r="L906" s="2">
        <f>VLOOKUP(K906,mappings!$A$2:$B$13,2,FALSE)</f>
        <v>3</v>
      </c>
      <c r="M906" t="s">
        <v>30</v>
      </c>
      <c r="N906" t="str">
        <f>VLOOKUP(E906,mappings!$L$1:$M$110,2,FALSE)</f>
        <v>No answer provided</v>
      </c>
      <c r="O906" t="str">
        <f>VLOOKUP(E906,mappings!L:O,3,FALSE)</f>
        <v>No answer provided</v>
      </c>
      <c r="P906" t="str">
        <f>VLOOKUP(E906,mappings!L:P,4,FALSE)</f>
        <v>No answer provided</v>
      </c>
    </row>
    <row r="907" spans="1:16" x14ac:dyDescent="0.2">
      <c r="A907">
        <v>906</v>
      </c>
      <c r="B907">
        <v>3877592670</v>
      </c>
      <c r="C907" t="s">
        <v>6</v>
      </c>
      <c r="D907" t="s">
        <v>31</v>
      </c>
      <c r="E907" t="s">
        <v>8</v>
      </c>
      <c r="F907" t="s">
        <v>9</v>
      </c>
      <c r="G907" s="2">
        <f>VLOOKUP(F907,mappings!$G$2:$H$6,2,FALSE)</f>
        <v>4</v>
      </c>
      <c r="H907" t="s">
        <v>163</v>
      </c>
      <c r="I907" s="2">
        <f>VLOOKUP(H907,mappings!$D$2:$E$6,2,FALSE)</f>
        <v>3</v>
      </c>
      <c r="J907" t="s">
        <v>36</v>
      </c>
      <c r="K907" t="s">
        <v>47</v>
      </c>
      <c r="L907" s="2">
        <f>VLOOKUP(K907,mappings!$A$2:$B$13,2,FALSE)</f>
        <v>9</v>
      </c>
      <c r="M907" t="s">
        <v>15</v>
      </c>
      <c r="N907" t="str">
        <f>VLOOKUP(E907,mappings!$L$1:$M$110,2,FALSE)</f>
        <v>No answer provided</v>
      </c>
      <c r="O907" t="str">
        <f>VLOOKUP(E907,mappings!L:O,3,FALSE)</f>
        <v>No answer provided</v>
      </c>
      <c r="P907" t="str">
        <f>VLOOKUP(E907,mappings!L:P,4,FALSE)</f>
        <v>No answer provided</v>
      </c>
    </row>
    <row r="908" spans="1:16" x14ac:dyDescent="0.2">
      <c r="A908">
        <v>907</v>
      </c>
      <c r="B908">
        <v>3877591670</v>
      </c>
      <c r="C908" t="s">
        <v>6</v>
      </c>
      <c r="D908" t="s">
        <v>21</v>
      </c>
      <c r="E908" t="s">
        <v>8</v>
      </c>
      <c r="F908" t="s">
        <v>9</v>
      </c>
      <c r="G908" s="2">
        <f>VLOOKUP(F908,mappings!$G$2:$H$6,2,FALSE)</f>
        <v>4</v>
      </c>
      <c r="H908" t="s">
        <v>163</v>
      </c>
      <c r="I908" s="2">
        <f>VLOOKUP(H908,mappings!$D$2:$E$6,2,FALSE)</f>
        <v>3</v>
      </c>
      <c r="J908" t="s">
        <v>36</v>
      </c>
      <c r="K908" t="s">
        <v>11</v>
      </c>
      <c r="L908" s="2">
        <f>VLOOKUP(K908,mappings!$A$2:$B$13,2,FALSE)</f>
        <v>4</v>
      </c>
      <c r="M908" t="s">
        <v>20</v>
      </c>
      <c r="N908" t="str">
        <f>VLOOKUP(E908,mappings!$L$1:$M$110,2,FALSE)</f>
        <v>No answer provided</v>
      </c>
      <c r="O908" t="str">
        <f>VLOOKUP(E908,mappings!L:O,3,FALSE)</f>
        <v>No answer provided</v>
      </c>
      <c r="P908" t="str">
        <f>VLOOKUP(E908,mappings!L:P,4,FALSE)</f>
        <v>No answer provided</v>
      </c>
    </row>
    <row r="909" spans="1:16" x14ac:dyDescent="0.2">
      <c r="A909">
        <v>908</v>
      </c>
      <c r="B909">
        <v>3877591495</v>
      </c>
      <c r="C909" t="s">
        <v>6</v>
      </c>
      <c r="D909" t="s">
        <v>31</v>
      </c>
      <c r="E909" t="s">
        <v>8</v>
      </c>
      <c r="F909" t="s">
        <v>22</v>
      </c>
      <c r="G909" s="2">
        <f>VLOOKUP(F909,mappings!$G$2:$H$6,2,FALSE)</f>
        <v>1</v>
      </c>
      <c r="H909" t="s">
        <v>161</v>
      </c>
      <c r="I909" s="2">
        <f>VLOOKUP(H909,mappings!$D$2:$E$6,2,FALSE)</f>
        <v>2</v>
      </c>
      <c r="J909" t="s">
        <v>36</v>
      </c>
      <c r="K909" t="s">
        <v>33</v>
      </c>
      <c r="L909" s="2">
        <f>VLOOKUP(K909,mappings!$A$2:$B$13,2,FALSE)</f>
        <v>5</v>
      </c>
      <c r="M909" t="s">
        <v>25</v>
      </c>
      <c r="N909" t="str">
        <f>VLOOKUP(E909,mappings!$L$1:$M$110,2,FALSE)</f>
        <v>No answer provided</v>
      </c>
      <c r="O909" t="str">
        <f>VLOOKUP(E909,mappings!L:O,3,FALSE)</f>
        <v>No answer provided</v>
      </c>
      <c r="P909" t="str">
        <f>VLOOKUP(E909,mappings!L:P,4,FALSE)</f>
        <v>No answer provided</v>
      </c>
    </row>
    <row r="910" spans="1:16" x14ac:dyDescent="0.2">
      <c r="A910">
        <v>909</v>
      </c>
      <c r="B910">
        <v>3877591297</v>
      </c>
      <c r="C910" t="s">
        <v>26</v>
      </c>
      <c r="D910" t="s">
        <v>7</v>
      </c>
      <c r="E910" t="s">
        <v>8</v>
      </c>
      <c r="F910" t="s">
        <v>16</v>
      </c>
      <c r="G910" s="2">
        <f>VLOOKUP(F910,mappings!$G$2:$H$6,2,FALSE)</f>
        <v>3</v>
      </c>
      <c r="H910" t="s">
        <v>163</v>
      </c>
      <c r="I910" s="2">
        <f>VLOOKUP(H910,mappings!$D$2:$E$6,2,FALSE)</f>
        <v>3</v>
      </c>
      <c r="J910" t="s">
        <v>36</v>
      </c>
      <c r="K910" t="s">
        <v>48</v>
      </c>
      <c r="L910" s="2">
        <f>VLOOKUP(K910,mappings!$A$2:$B$13,2,FALSE)</f>
        <v>7</v>
      </c>
      <c r="M910" t="s">
        <v>24</v>
      </c>
      <c r="N910" t="str">
        <f>VLOOKUP(E910,mappings!$L$1:$M$110,2,FALSE)</f>
        <v>No answer provided</v>
      </c>
      <c r="O910" t="str">
        <f>VLOOKUP(E910,mappings!L:O,3,FALSE)</f>
        <v>No answer provided</v>
      </c>
      <c r="P910" t="str">
        <f>VLOOKUP(E910,mappings!L:P,4,FALSE)</f>
        <v>No answer provided</v>
      </c>
    </row>
    <row r="911" spans="1:16" x14ac:dyDescent="0.2">
      <c r="A911">
        <v>910</v>
      </c>
      <c r="B911">
        <v>3877586222</v>
      </c>
      <c r="C911" t="s">
        <v>6</v>
      </c>
      <c r="D911" t="s">
        <v>1</v>
      </c>
      <c r="E911" t="s">
        <v>37</v>
      </c>
      <c r="F911" t="s">
        <v>9</v>
      </c>
      <c r="G911" s="2">
        <f>VLOOKUP(F911,mappings!$G$2:$H$6,2,FALSE)</f>
        <v>4</v>
      </c>
      <c r="H911" t="s">
        <v>161</v>
      </c>
      <c r="I911" s="2">
        <f>VLOOKUP(H911,mappings!$D$2:$E$6,2,FALSE)</f>
        <v>2</v>
      </c>
      <c r="J911" t="s">
        <v>36</v>
      </c>
      <c r="K911" t="s">
        <v>14</v>
      </c>
      <c r="L911" s="2">
        <f>VLOOKUP(K911,mappings!$A$2:$B$13,2,FALSE)</f>
        <v>6</v>
      </c>
      <c r="M911" t="s">
        <v>25</v>
      </c>
      <c r="N911" t="str">
        <f>VLOOKUP(E911,mappings!$L$1:$M$110,2,FALSE)</f>
        <v>The Weather Channel</v>
      </c>
      <c r="O911" t="str">
        <f>VLOOKUP(E911,mappings!L:O,3,FALSE)</f>
        <v>Website</v>
      </c>
      <c r="P911" t="str">
        <f>VLOOKUP(E911,mappings!L:P,4,FALSE)</f>
        <v>Other or unkown</v>
      </c>
    </row>
    <row r="912" spans="1:16" x14ac:dyDescent="0.2">
      <c r="A912">
        <v>911</v>
      </c>
      <c r="B912">
        <v>3877585955</v>
      </c>
      <c r="C912" t="s">
        <v>6</v>
      </c>
      <c r="D912" t="s">
        <v>7</v>
      </c>
      <c r="E912" t="s">
        <v>8</v>
      </c>
      <c r="F912" t="s">
        <v>16</v>
      </c>
      <c r="G912" s="2">
        <f>VLOOKUP(F912,mappings!$G$2:$H$6,2,FALSE)</f>
        <v>3</v>
      </c>
      <c r="H912" t="s">
        <v>161</v>
      </c>
      <c r="I912" s="2">
        <f>VLOOKUP(H912,mappings!$D$2:$E$6,2,FALSE)</f>
        <v>2</v>
      </c>
      <c r="J912" t="s">
        <v>36</v>
      </c>
      <c r="K912" t="s">
        <v>13</v>
      </c>
      <c r="L912" s="2">
        <f>VLOOKUP(K912,mappings!$A$2:$B$13,2,FALSE)</f>
        <v>11</v>
      </c>
      <c r="M912" t="s">
        <v>38</v>
      </c>
      <c r="N912" t="str">
        <f>VLOOKUP(E912,mappings!$L$1:$M$110,2,FALSE)</f>
        <v>No answer provided</v>
      </c>
      <c r="O912" t="str">
        <f>VLOOKUP(E912,mappings!L:O,3,FALSE)</f>
        <v>No answer provided</v>
      </c>
      <c r="P912" t="str">
        <f>VLOOKUP(E912,mappings!L:P,4,FALSE)</f>
        <v>No answer provided</v>
      </c>
    </row>
    <row r="913" spans="1:16" x14ac:dyDescent="0.2">
      <c r="A913">
        <v>912</v>
      </c>
      <c r="B913">
        <v>3877584768</v>
      </c>
      <c r="C913" t="s">
        <v>6</v>
      </c>
      <c r="D913" t="s">
        <v>1</v>
      </c>
      <c r="E913" t="s">
        <v>158</v>
      </c>
      <c r="F913" t="s">
        <v>9</v>
      </c>
      <c r="G913" s="2">
        <f>VLOOKUP(F913,mappings!$G$2:$H$6,2,FALSE)</f>
        <v>4</v>
      </c>
      <c r="H913" t="s">
        <v>163</v>
      </c>
      <c r="I913" s="2">
        <f>VLOOKUP(H913,mappings!$D$2:$E$6,2,FALSE)</f>
        <v>3</v>
      </c>
      <c r="J913" t="s">
        <v>36</v>
      </c>
      <c r="K913" t="s">
        <v>33</v>
      </c>
      <c r="L913" s="2">
        <f>VLOOKUP(K913,mappings!$A$2:$B$13,2,FALSE)</f>
        <v>5</v>
      </c>
      <c r="M913" t="s">
        <v>20</v>
      </c>
      <c r="N913" t="str">
        <f>VLOOKUP(E913,mappings!$L$1:$M$110,2,FALSE)</f>
        <v>Yahoo</v>
      </c>
      <c r="O913" t="str">
        <f>VLOOKUP(E913,mappings!L:O,3,FALSE)</f>
        <v>App</v>
      </c>
      <c r="P913" t="str">
        <f>VLOOKUP(E913,mappings!L:P,4,FALSE)</f>
        <v>Other or unkown</v>
      </c>
    </row>
    <row r="914" spans="1:16" x14ac:dyDescent="0.2">
      <c r="A914">
        <v>913</v>
      </c>
      <c r="B914">
        <v>3877584496</v>
      </c>
      <c r="C914" t="s">
        <v>26</v>
      </c>
      <c r="D914" t="s">
        <v>1</v>
      </c>
      <c r="E914" t="s">
        <v>159</v>
      </c>
      <c r="F914" t="s">
        <v>22</v>
      </c>
      <c r="G914" s="2">
        <f>VLOOKUP(F914,mappings!$G$2:$H$6,2,FALSE)</f>
        <v>1</v>
      </c>
      <c r="H914" t="s">
        <v>161</v>
      </c>
      <c r="I914" s="2">
        <f>VLOOKUP(H914,mappings!$D$2:$E$6,2,FALSE)</f>
        <v>2</v>
      </c>
      <c r="J914" t="s">
        <v>36</v>
      </c>
      <c r="K914" t="s">
        <v>32</v>
      </c>
      <c r="L914" s="2">
        <f>VLOOKUP(K914,mappings!$A$2:$B$13,2,FALSE)</f>
        <v>2</v>
      </c>
      <c r="M914" t="s">
        <v>15</v>
      </c>
      <c r="N914" t="str">
        <f>VLOOKUP(E914,mappings!$L$1:$M$110,2,FALSE)</f>
        <v>The Weather Channel</v>
      </c>
      <c r="O914" t="str">
        <f>VLOOKUP(E914,mappings!L:O,3,FALSE)</f>
        <v>Website</v>
      </c>
      <c r="P914" t="str">
        <f>VLOOKUP(E914,mappings!L:P,4,FALSE)</f>
        <v>Other or unkown</v>
      </c>
    </row>
    <row r="915" spans="1:16" x14ac:dyDescent="0.2">
      <c r="A915">
        <v>914</v>
      </c>
      <c r="B915">
        <v>3877580938</v>
      </c>
      <c r="C915" t="s">
        <v>6</v>
      </c>
      <c r="D915" t="s">
        <v>40</v>
      </c>
      <c r="E915" t="s">
        <v>8</v>
      </c>
      <c r="F915" t="s">
        <v>16</v>
      </c>
      <c r="G915" s="2">
        <f>VLOOKUP(F915,mappings!$G$2:$H$6,2,FALSE)</f>
        <v>3</v>
      </c>
      <c r="H915" t="s">
        <v>163</v>
      </c>
      <c r="I915" s="2">
        <f>VLOOKUP(H915,mappings!$D$2:$E$6,2,FALSE)</f>
        <v>3</v>
      </c>
      <c r="J915" t="s">
        <v>36</v>
      </c>
      <c r="K915" t="s">
        <v>23</v>
      </c>
      <c r="L915" s="2">
        <f>VLOOKUP(K915,mappings!$A$2:$B$13,2,FALSE)</f>
        <v>3</v>
      </c>
      <c r="M915" t="s">
        <v>34</v>
      </c>
      <c r="N915" t="str">
        <f>VLOOKUP(E915,mappings!$L$1:$M$110,2,FALSE)</f>
        <v>No answer provided</v>
      </c>
      <c r="O915" t="str">
        <f>VLOOKUP(E915,mappings!L:O,3,FALSE)</f>
        <v>No answer provided</v>
      </c>
      <c r="P915" t="str">
        <f>VLOOKUP(E915,mappings!L:P,4,FALSE)</f>
        <v>No answer provided</v>
      </c>
    </row>
    <row r="916" spans="1:16" x14ac:dyDescent="0.2">
      <c r="A916">
        <v>915</v>
      </c>
      <c r="B916">
        <v>3877579781</v>
      </c>
      <c r="C916" t="s">
        <v>6</v>
      </c>
      <c r="D916" t="s">
        <v>21</v>
      </c>
      <c r="E916" t="s">
        <v>8</v>
      </c>
      <c r="F916" t="s">
        <v>22</v>
      </c>
      <c r="G916" s="2">
        <f>VLOOKUP(F916,mappings!$G$2:$H$6,2,FALSE)</f>
        <v>1</v>
      </c>
      <c r="H916" t="s">
        <v>161</v>
      </c>
      <c r="I916" s="2">
        <f>VLOOKUP(H916,mappings!$D$2:$E$6,2,FALSE)</f>
        <v>2</v>
      </c>
      <c r="J916" t="s">
        <v>10</v>
      </c>
      <c r="K916" t="s">
        <v>23</v>
      </c>
      <c r="L916" s="2">
        <f>VLOOKUP(K916,mappings!$A$2:$B$13,2,FALSE)</f>
        <v>3</v>
      </c>
      <c r="M916" t="s">
        <v>42</v>
      </c>
      <c r="N916" t="str">
        <f>VLOOKUP(E916,mappings!$L$1:$M$110,2,FALSE)</f>
        <v>No answer provided</v>
      </c>
      <c r="O916" t="str">
        <f>VLOOKUP(E916,mappings!L:O,3,FALSE)</f>
        <v>No answer provided</v>
      </c>
      <c r="P916" t="str">
        <f>VLOOKUP(E916,mappings!L:P,4,FALSE)</f>
        <v>No answer provided</v>
      </c>
    </row>
    <row r="917" spans="1:16" x14ac:dyDescent="0.2">
      <c r="A917">
        <v>916</v>
      </c>
      <c r="B917">
        <v>3877579062</v>
      </c>
      <c r="C917" t="s">
        <v>6</v>
      </c>
      <c r="D917" t="s">
        <v>21</v>
      </c>
      <c r="E917" t="s">
        <v>8</v>
      </c>
      <c r="F917" t="s">
        <v>22</v>
      </c>
      <c r="G917" s="2">
        <f>VLOOKUP(F917,mappings!$G$2:$H$6,2,FALSE)</f>
        <v>1</v>
      </c>
      <c r="H917" t="s">
        <v>163</v>
      </c>
      <c r="I917" s="2">
        <f>VLOOKUP(H917,mappings!$D$2:$E$6,2,FALSE)</f>
        <v>3</v>
      </c>
      <c r="J917" t="s">
        <v>36</v>
      </c>
      <c r="K917" t="s">
        <v>33</v>
      </c>
      <c r="L917" s="2">
        <f>VLOOKUP(K917,mappings!$A$2:$B$13,2,FALSE)</f>
        <v>5</v>
      </c>
      <c r="M917" t="s">
        <v>24</v>
      </c>
      <c r="N917" t="str">
        <f>VLOOKUP(E917,mappings!$L$1:$M$110,2,FALSE)</f>
        <v>No answer provided</v>
      </c>
      <c r="O917" t="str">
        <f>VLOOKUP(E917,mappings!L:O,3,FALSE)</f>
        <v>No answer provided</v>
      </c>
      <c r="P917" t="str">
        <f>VLOOKUP(E917,mappings!L:P,4,FALSE)</f>
        <v>No answer provided</v>
      </c>
    </row>
    <row r="918" spans="1:16" x14ac:dyDescent="0.2">
      <c r="A918">
        <v>917</v>
      </c>
      <c r="B918">
        <v>3877576778</v>
      </c>
      <c r="C918" t="s">
        <v>26</v>
      </c>
      <c r="D918" t="s">
        <v>31</v>
      </c>
      <c r="E918" t="s">
        <v>8</v>
      </c>
      <c r="F918" t="s">
        <v>9</v>
      </c>
      <c r="G918" s="2">
        <f>VLOOKUP(F918,mappings!$G$2:$H$6,2,FALSE)</f>
        <v>4</v>
      </c>
      <c r="H918" t="s">
        <v>163</v>
      </c>
      <c r="I918" s="2">
        <f>VLOOKUP(H918,mappings!$D$2:$E$6,2,FALSE)</f>
        <v>3</v>
      </c>
      <c r="J918" t="s">
        <v>36</v>
      </c>
      <c r="K918" t="s">
        <v>32</v>
      </c>
      <c r="L918" s="2">
        <f>VLOOKUP(K918,mappings!$A$2:$B$13,2,FALSE)</f>
        <v>2</v>
      </c>
      <c r="M918" t="s">
        <v>30</v>
      </c>
      <c r="N918" t="str">
        <f>VLOOKUP(E918,mappings!$L$1:$M$110,2,FALSE)</f>
        <v>No answer provided</v>
      </c>
      <c r="O918" t="str">
        <f>VLOOKUP(E918,mappings!L:O,3,FALSE)</f>
        <v>No answer provided</v>
      </c>
      <c r="P918" t="str">
        <f>VLOOKUP(E918,mappings!L:P,4,FALSE)</f>
        <v>No answer provided</v>
      </c>
    </row>
    <row r="919" spans="1:16" x14ac:dyDescent="0.2">
      <c r="A919">
        <v>918</v>
      </c>
      <c r="B919">
        <v>3877573011</v>
      </c>
      <c r="C919" t="s">
        <v>6</v>
      </c>
      <c r="D919" t="s">
        <v>31</v>
      </c>
      <c r="E919" t="s">
        <v>8</v>
      </c>
      <c r="F919" t="s">
        <v>28</v>
      </c>
      <c r="G919" s="2">
        <f>VLOOKUP(F919,mappings!$G$2:$H$6,2,FALSE)</f>
        <v>2</v>
      </c>
      <c r="H919" t="s">
        <v>163</v>
      </c>
      <c r="I919" s="2">
        <f>VLOOKUP(H919,mappings!$D$2:$E$6,2,FALSE)</f>
        <v>3</v>
      </c>
      <c r="J919" t="s">
        <v>36</v>
      </c>
      <c r="K919" t="s">
        <v>23</v>
      </c>
      <c r="L919" s="2">
        <f>VLOOKUP(K919,mappings!$A$2:$B$13,2,FALSE)</f>
        <v>3</v>
      </c>
      <c r="M919" t="s">
        <v>42</v>
      </c>
      <c r="N919" t="str">
        <f>VLOOKUP(E919,mappings!$L$1:$M$110,2,FALSE)</f>
        <v>No answer provided</v>
      </c>
      <c r="O919" t="str">
        <f>VLOOKUP(E919,mappings!L:O,3,FALSE)</f>
        <v>No answer provided</v>
      </c>
      <c r="P919" t="str">
        <f>VLOOKUP(E919,mappings!L:P,4,FALSE)</f>
        <v>No answer provided</v>
      </c>
    </row>
    <row r="920" spans="1:16" x14ac:dyDescent="0.2">
      <c r="A920">
        <v>919</v>
      </c>
      <c r="B920">
        <v>3877572488</v>
      </c>
      <c r="C920" t="s">
        <v>6</v>
      </c>
      <c r="D920" t="s">
        <v>1</v>
      </c>
      <c r="E920" t="s">
        <v>160</v>
      </c>
      <c r="F920" t="s">
        <v>9</v>
      </c>
      <c r="G920" s="2">
        <f>VLOOKUP(F920,mappings!$G$2:$H$6,2,FALSE)</f>
        <v>4</v>
      </c>
      <c r="H920" t="s">
        <v>161</v>
      </c>
      <c r="I920" s="2">
        <f>VLOOKUP(H920,mappings!$D$2:$E$6,2,FALSE)</f>
        <v>2</v>
      </c>
      <c r="J920" t="s">
        <v>36</v>
      </c>
      <c r="K920" t="s">
        <v>48</v>
      </c>
      <c r="L920" s="2">
        <f>VLOOKUP(K920,mappings!$A$2:$B$13,2,FALSE)</f>
        <v>7</v>
      </c>
      <c r="M920" t="s">
        <v>12</v>
      </c>
      <c r="N920" t="str">
        <f>VLOOKUP(E920,mappings!$L$1:$M$110,2,FALSE)</f>
        <v>Yahoo</v>
      </c>
      <c r="O920" t="str">
        <f>VLOOKUP(E920,mappings!L:O,3,FALSE)</f>
        <v>App</v>
      </c>
      <c r="P920" t="str">
        <f>VLOOKUP(E920,mappings!L:P,4,FALSE)</f>
        <v>Apple</v>
      </c>
    </row>
    <row r="921" spans="1:16" x14ac:dyDescent="0.2">
      <c r="A921">
        <v>920</v>
      </c>
      <c r="B921">
        <v>3877572480</v>
      </c>
      <c r="C921" t="s">
        <v>26</v>
      </c>
      <c r="D921" t="s">
        <v>7</v>
      </c>
      <c r="E921" t="s">
        <v>8</v>
      </c>
      <c r="F921" t="s">
        <v>9</v>
      </c>
      <c r="G921" s="2">
        <f>VLOOKUP(F921,mappings!$G$2:$H$6,2,FALSE)</f>
        <v>4</v>
      </c>
      <c r="H921" t="s">
        <v>162</v>
      </c>
      <c r="I921" s="2">
        <f>VLOOKUP(H921,mappings!$D$2:$E$6,2,FALSE)</f>
        <v>1</v>
      </c>
      <c r="J921" t="s">
        <v>36</v>
      </c>
      <c r="K921" t="s">
        <v>14</v>
      </c>
      <c r="L921" s="2">
        <f>VLOOKUP(K921,mappings!$A$2:$B$13,2,FALSE)</f>
        <v>6</v>
      </c>
      <c r="M921" t="s">
        <v>12</v>
      </c>
      <c r="N921" t="str">
        <f>VLOOKUP(E921,mappings!$L$1:$M$110,2,FALSE)</f>
        <v>No answer provided</v>
      </c>
      <c r="O921" t="str">
        <f>VLOOKUP(E921,mappings!L:O,3,FALSE)</f>
        <v>No answer provided</v>
      </c>
      <c r="P921" t="str">
        <f>VLOOKUP(E921,mappings!L:P,4,FALSE)</f>
        <v>No answer provided</v>
      </c>
    </row>
    <row r="922" spans="1:16" x14ac:dyDescent="0.2">
      <c r="A922">
        <v>921</v>
      </c>
      <c r="B922">
        <v>3877571848</v>
      </c>
      <c r="C922" t="s">
        <v>26</v>
      </c>
      <c r="D922" t="s">
        <v>7</v>
      </c>
      <c r="E922" t="s">
        <v>8</v>
      </c>
      <c r="F922" t="s">
        <v>16</v>
      </c>
      <c r="G922" s="2">
        <f>VLOOKUP(F922,mappings!$G$2:$H$6,2,FALSE)</f>
        <v>3</v>
      </c>
      <c r="H922" t="s">
        <v>163</v>
      </c>
      <c r="I922" s="2">
        <f>VLOOKUP(H922,mappings!$D$2:$E$6,2,FALSE)</f>
        <v>3</v>
      </c>
      <c r="J922" t="s">
        <v>36</v>
      </c>
      <c r="K922" t="s">
        <v>14</v>
      </c>
      <c r="L922" s="2">
        <f>VLOOKUP(K922,mappings!$A$2:$B$13,2,FALSE)</f>
        <v>6</v>
      </c>
      <c r="M922" t="s">
        <v>30</v>
      </c>
      <c r="N922" t="str">
        <f>VLOOKUP(E922,mappings!$L$1:$M$110,2,FALSE)</f>
        <v>No answer provided</v>
      </c>
      <c r="O922" t="str">
        <f>VLOOKUP(E922,mappings!L:O,3,FALSE)</f>
        <v>No answer provided</v>
      </c>
      <c r="P922" t="str">
        <f>VLOOKUP(E922,mappings!L:P,4,FALSE)</f>
        <v>No answer provided</v>
      </c>
    </row>
    <row r="923" spans="1:16" x14ac:dyDescent="0.2">
      <c r="A923">
        <v>922</v>
      </c>
      <c r="B923">
        <v>3877568315</v>
      </c>
      <c r="C923" t="s">
        <v>6</v>
      </c>
      <c r="D923" t="s">
        <v>21</v>
      </c>
      <c r="E923" t="s">
        <v>8</v>
      </c>
      <c r="F923" t="s">
        <v>22</v>
      </c>
      <c r="G923" s="2">
        <f>VLOOKUP(F923,mappings!$G$2:$H$6,2,FALSE)</f>
        <v>1</v>
      </c>
      <c r="H923" t="s">
        <v>161</v>
      </c>
      <c r="I923" s="2">
        <f>VLOOKUP(H923,mappings!$D$2:$E$6,2,FALSE)</f>
        <v>2</v>
      </c>
      <c r="J923" t="s">
        <v>36</v>
      </c>
      <c r="K923" t="s">
        <v>23</v>
      </c>
      <c r="L923" s="2">
        <f>VLOOKUP(K923,mappings!$A$2:$B$13,2,FALSE)</f>
        <v>3</v>
      </c>
      <c r="M923" t="s">
        <v>12</v>
      </c>
      <c r="N923" t="str">
        <f>VLOOKUP(E923,mappings!$L$1:$M$110,2,FALSE)</f>
        <v>No answer provided</v>
      </c>
      <c r="O923" t="str">
        <f>VLOOKUP(E923,mappings!L:O,3,FALSE)</f>
        <v>No answer provided</v>
      </c>
      <c r="P923" t="str">
        <f>VLOOKUP(E923,mappings!L:P,4,FALSE)</f>
        <v>No answer provided</v>
      </c>
    </row>
    <row r="924" spans="1:16" x14ac:dyDescent="0.2">
      <c r="A924">
        <v>923</v>
      </c>
      <c r="B924">
        <v>3877568116</v>
      </c>
      <c r="C924" t="s">
        <v>26</v>
      </c>
      <c r="D924" t="s">
        <v>27</v>
      </c>
      <c r="E924" t="s">
        <v>8</v>
      </c>
      <c r="F924" t="s">
        <v>22</v>
      </c>
      <c r="G924" s="2">
        <f>VLOOKUP(F924,mappings!$G$2:$H$6,2,FALSE)</f>
        <v>1</v>
      </c>
      <c r="H924" t="s">
        <v>43</v>
      </c>
      <c r="I924" s="2">
        <f>VLOOKUP(H924,mappings!$D$2:$E$6,2,FALSE)</f>
        <v>4</v>
      </c>
      <c r="J924" t="s">
        <v>36</v>
      </c>
      <c r="K924" t="s">
        <v>14</v>
      </c>
      <c r="L924" s="2">
        <f>VLOOKUP(K924,mappings!$A$2:$B$13,2,FALSE)</f>
        <v>6</v>
      </c>
      <c r="M924" t="s">
        <v>20</v>
      </c>
      <c r="N924" t="str">
        <f>VLOOKUP(E924,mappings!$L$1:$M$110,2,FALSE)</f>
        <v>No answer provided</v>
      </c>
      <c r="O924" t="str">
        <f>VLOOKUP(E924,mappings!L:O,3,FALSE)</f>
        <v>No answer provided</v>
      </c>
      <c r="P924" t="str">
        <f>VLOOKUP(E924,mappings!L:P,4,FALSE)</f>
        <v>No answer provided</v>
      </c>
    </row>
    <row r="925" spans="1:16" x14ac:dyDescent="0.2">
      <c r="A925">
        <v>924</v>
      </c>
      <c r="B925">
        <v>3877568054</v>
      </c>
      <c r="C925" t="s">
        <v>6</v>
      </c>
      <c r="D925" t="s">
        <v>21</v>
      </c>
      <c r="E925" t="s">
        <v>8</v>
      </c>
      <c r="F925" t="s">
        <v>9</v>
      </c>
      <c r="G925" s="2">
        <f>VLOOKUP(F925,mappings!$G$2:$H$6,2,FALSE)</f>
        <v>4</v>
      </c>
      <c r="H925" t="s">
        <v>163</v>
      </c>
      <c r="I925" s="2">
        <f>VLOOKUP(H925,mappings!$D$2:$E$6,2,FALSE)</f>
        <v>3</v>
      </c>
      <c r="J925" t="s">
        <v>36</v>
      </c>
      <c r="K925" t="s">
        <v>13</v>
      </c>
      <c r="L925" s="2">
        <f>VLOOKUP(K925,mappings!$A$2:$B$13,2,FALSE)</f>
        <v>11</v>
      </c>
      <c r="M925" t="s">
        <v>24</v>
      </c>
      <c r="N925" t="str">
        <f>VLOOKUP(E925,mappings!$L$1:$M$110,2,FALSE)</f>
        <v>No answer provided</v>
      </c>
      <c r="O925" t="str">
        <f>VLOOKUP(E925,mappings!L:O,3,FALSE)</f>
        <v>No answer provided</v>
      </c>
      <c r="P925" t="str">
        <f>VLOOKUP(E925,mappings!L:P,4,FALSE)</f>
        <v>No answer provided</v>
      </c>
    </row>
    <row r="926" spans="1:16" x14ac:dyDescent="0.2">
      <c r="A926">
        <v>925</v>
      </c>
      <c r="B926">
        <v>3877568053</v>
      </c>
      <c r="C926" t="s">
        <v>6</v>
      </c>
      <c r="D926" t="s">
        <v>7</v>
      </c>
      <c r="E926" t="s">
        <v>8</v>
      </c>
      <c r="F926" t="s">
        <v>9</v>
      </c>
      <c r="G926" s="2">
        <f>VLOOKUP(F926,mappings!$G$2:$H$6,2,FALSE)</f>
        <v>4</v>
      </c>
      <c r="H926" t="s">
        <v>161</v>
      </c>
      <c r="I926" s="2">
        <f>VLOOKUP(H926,mappings!$D$2:$E$6,2,FALSE)</f>
        <v>2</v>
      </c>
      <c r="J926" t="s">
        <v>36</v>
      </c>
      <c r="K926" t="s">
        <v>13</v>
      </c>
      <c r="L926" s="2">
        <f>VLOOKUP(K926,mappings!$A$2:$B$13,2,FALSE)</f>
        <v>11</v>
      </c>
      <c r="M926" t="s">
        <v>12</v>
      </c>
      <c r="N926" t="str">
        <f>VLOOKUP(E926,mappings!$L$1:$M$110,2,FALSE)</f>
        <v>No answer provided</v>
      </c>
      <c r="O926" t="str">
        <f>VLOOKUP(E926,mappings!L:O,3,FALSE)</f>
        <v>No answer provided</v>
      </c>
      <c r="P926" t="str">
        <f>VLOOKUP(E926,mappings!L:P,4,FALSE)</f>
        <v>No answer provided</v>
      </c>
    </row>
    <row r="927" spans="1:16" x14ac:dyDescent="0.2">
      <c r="A927">
        <v>926</v>
      </c>
      <c r="B927">
        <v>3877566926</v>
      </c>
      <c r="C927" t="s">
        <v>6</v>
      </c>
      <c r="D927" t="s">
        <v>31</v>
      </c>
      <c r="E927" t="s">
        <v>8</v>
      </c>
      <c r="F927" t="s">
        <v>16</v>
      </c>
      <c r="G927" s="2">
        <f>VLOOKUP(F927,mappings!$G$2:$H$6,2,FALSE)</f>
        <v>3</v>
      </c>
      <c r="H927" t="s">
        <v>43</v>
      </c>
      <c r="I927" s="2">
        <f>VLOOKUP(H927,mappings!$D$2:$E$6,2,FALSE)</f>
        <v>4</v>
      </c>
      <c r="J927" t="s">
        <v>36</v>
      </c>
      <c r="K927" t="s">
        <v>13</v>
      </c>
      <c r="L927" s="2">
        <f>VLOOKUP(K927,mappings!$A$2:$B$13,2,FALSE)</f>
        <v>11</v>
      </c>
      <c r="M927" t="s">
        <v>24</v>
      </c>
      <c r="N927" t="str">
        <f>VLOOKUP(E927,mappings!$L$1:$M$110,2,FALSE)</f>
        <v>No answer provided</v>
      </c>
      <c r="O927" t="str">
        <f>VLOOKUP(E927,mappings!L:O,3,FALSE)</f>
        <v>No answer provided</v>
      </c>
      <c r="P927" t="str">
        <f>VLOOKUP(E927,mappings!L:P,4,FALSE)</f>
        <v>No answer provided</v>
      </c>
    </row>
    <row r="928" spans="1:16" s="6" customFormat="1" x14ac:dyDescent="0.2">
      <c r="A928" s="6">
        <v>927</v>
      </c>
      <c r="B928" s="6">
        <v>3877551536</v>
      </c>
      <c r="C928" s="6" t="s">
        <v>26</v>
      </c>
      <c r="D928" s="6" t="s">
        <v>8</v>
      </c>
      <c r="E928" s="6" t="s">
        <v>8</v>
      </c>
      <c r="F928" s="6" t="s">
        <v>8</v>
      </c>
      <c r="G928" s="7" t="str">
        <f>VLOOKUP(F928,mappings!$G$2:$H$6,2,FALSE)</f>
        <v>na</v>
      </c>
      <c r="H928" s="6" t="s">
        <v>8</v>
      </c>
      <c r="I928" s="7" t="str">
        <f>VLOOKUP(H928,mappings!$D$2:$E$6,2,FALSE)</f>
        <v>na</v>
      </c>
      <c r="J928" s="6" t="s">
        <v>8</v>
      </c>
      <c r="K928" s="6" t="s">
        <v>8</v>
      </c>
      <c r="L928" s="7" t="str">
        <f>VLOOKUP(K928,mappings!$A$2:$B$13,2,FALSE)</f>
        <v>na</v>
      </c>
      <c r="M928" s="6" t="s">
        <v>8</v>
      </c>
      <c r="N928" t="str">
        <f>VLOOKUP(E928,mappings!$L$1:$M$110,2,FALSE)</f>
        <v>No answer provided</v>
      </c>
      <c r="O928" t="str">
        <f>VLOOKUP(E928,mappings!L:O,3,FALSE)</f>
        <v>No answer provided</v>
      </c>
      <c r="P928" t="str">
        <f>VLOOKUP(E928,mappings!L:P,4,FALSE)</f>
        <v>No answer provided</v>
      </c>
    </row>
    <row r="929" spans="1:16" s="6" customFormat="1" x14ac:dyDescent="0.2">
      <c r="A929" s="6">
        <v>928</v>
      </c>
      <c r="B929" s="6">
        <v>3877548893</v>
      </c>
      <c r="C929" s="6" t="s">
        <v>6</v>
      </c>
      <c r="D929" s="6" t="s">
        <v>8</v>
      </c>
      <c r="E929" s="6" t="s">
        <v>8</v>
      </c>
      <c r="F929" s="6" t="s">
        <v>8</v>
      </c>
      <c r="G929" s="7" t="str">
        <f>VLOOKUP(F929,mappings!$G$2:$H$6,2,FALSE)</f>
        <v>na</v>
      </c>
      <c r="H929" s="6" t="s">
        <v>8</v>
      </c>
      <c r="I929" s="7" t="str">
        <f>VLOOKUP(H929,mappings!$D$2:$E$6,2,FALSE)</f>
        <v>na</v>
      </c>
      <c r="J929" s="6" t="s">
        <v>8</v>
      </c>
      <c r="K929" s="6" t="s">
        <v>8</v>
      </c>
      <c r="L929" s="7" t="str">
        <f>VLOOKUP(K929,mappings!$A$2:$B$13,2,FALSE)</f>
        <v>na</v>
      </c>
      <c r="M929" s="6" t="s">
        <v>8</v>
      </c>
      <c r="N929" t="str">
        <f>VLOOKUP(E929,mappings!$L$1:$M$110,2,FALSE)</f>
        <v>No answer provided</v>
      </c>
      <c r="O929" t="str">
        <f>VLOOKUP(E929,mappings!L:O,3,FALSE)</f>
        <v>No answer provided</v>
      </c>
      <c r="P929" t="str">
        <f>VLOOKUP(E929,mappings!L:P,4,FALSE)</f>
        <v>No answer provided</v>
      </c>
    </row>
  </sheetData>
  <autoFilter ref="A1:P929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118"/>
  <sheetViews>
    <sheetView workbookViewId="0">
      <selection activeCell="M1" sqref="M1"/>
    </sheetView>
  </sheetViews>
  <sheetFormatPr baseColWidth="10" defaultRowHeight="16" x14ac:dyDescent="0.2"/>
  <cols>
    <col min="1" max="1" width="60.83203125" bestFit="1" customWidth="1"/>
    <col min="2" max="7" width="16" customWidth="1"/>
    <col min="8" max="8" width="18.83203125" bestFit="1" customWidth="1"/>
    <col min="9" max="11" width="16" customWidth="1"/>
    <col min="12" max="12" width="17.5" bestFit="1" customWidth="1"/>
    <col min="13" max="13" width="16" customWidth="1"/>
  </cols>
  <sheetData>
    <row r="1" spans="1:21" s="11" customFormat="1" ht="32" x14ac:dyDescent="0.2">
      <c r="A1" s="10" t="s">
        <v>4</v>
      </c>
      <c r="B1" s="11" t="s">
        <v>30</v>
      </c>
      <c r="C1" s="11" t="s">
        <v>42</v>
      </c>
      <c r="D1" s="11" t="s">
        <v>15</v>
      </c>
      <c r="E1" s="11" t="s">
        <v>34</v>
      </c>
      <c r="F1" s="11" t="s">
        <v>38</v>
      </c>
      <c r="G1" s="11" t="s">
        <v>24</v>
      </c>
      <c r="H1" s="11" t="s">
        <v>12</v>
      </c>
      <c r="I1" s="11" t="s">
        <v>25</v>
      </c>
      <c r="J1" s="11" t="s">
        <v>20</v>
      </c>
      <c r="K1" s="14" t="s">
        <v>198</v>
      </c>
      <c r="L1" s="8" t="s">
        <v>8</v>
      </c>
      <c r="M1" s="18" t="s">
        <v>196</v>
      </c>
      <c r="O1" s="10" t="s">
        <v>3</v>
      </c>
      <c r="R1" s="12" t="s">
        <v>2</v>
      </c>
      <c r="U1" s="10" t="s">
        <v>5</v>
      </c>
    </row>
    <row r="2" spans="1:21" x14ac:dyDescent="0.2">
      <c r="A2" t="s">
        <v>29</v>
      </c>
      <c r="B2" s="9">
        <f>COUNTIFS('weather-check_no_nulls'!$K:$K,'Histograms-Data Sampling'!$A2,'weather-check_no_nulls'!$M:$M,'Histograms-Data Sampling'!B$1)</f>
        <v>4</v>
      </c>
      <c r="C2" s="9">
        <f>COUNTIFS('weather-check_no_nulls'!$K:$K,'Histograms-Data Sampling'!$A2,'weather-check_no_nulls'!$M:$M,'Histograms-Data Sampling'!C$1)</f>
        <v>5</v>
      </c>
      <c r="D2" s="9">
        <f>COUNTIFS('weather-check_no_nulls'!$K:$K,'Histograms-Data Sampling'!$A2,'weather-check_no_nulls'!$M:$M,'Histograms-Data Sampling'!D$1)</f>
        <v>6</v>
      </c>
      <c r="E2" s="9">
        <f>COUNTIFS('weather-check_no_nulls'!$K:$K,'Histograms-Data Sampling'!$A2,'weather-check_no_nulls'!$M:$M,'Histograms-Data Sampling'!E$1)</f>
        <v>3</v>
      </c>
      <c r="F2" s="9">
        <f>COUNTIFS('weather-check_no_nulls'!$K:$K,'Histograms-Data Sampling'!$A2,'weather-check_no_nulls'!$M:$M,'Histograms-Data Sampling'!F$1)</f>
        <v>2</v>
      </c>
      <c r="G2" s="9">
        <f>COUNTIFS('weather-check_no_nulls'!$K:$K,'Histograms-Data Sampling'!$A2,'weather-check_no_nulls'!$M:$M,'Histograms-Data Sampling'!G$1)</f>
        <v>9</v>
      </c>
      <c r="H2" s="9">
        <f>COUNTIFS('weather-check_no_nulls'!$K:$K,'Histograms-Data Sampling'!$A2,'weather-check_no_nulls'!$M:$M,'Histograms-Data Sampling'!H$1)</f>
        <v>6</v>
      </c>
      <c r="I2" s="9">
        <f>COUNTIFS('weather-check_no_nulls'!$K:$K,'Histograms-Data Sampling'!$A2,'weather-check_no_nulls'!$M:$M,'Histograms-Data Sampling'!I$1)</f>
        <v>6</v>
      </c>
      <c r="J2" s="9">
        <f>COUNTIFS('weather-check_no_nulls'!$K:$K,'Histograms-Data Sampling'!$A2,'weather-check_no_nulls'!$M:$M,'Histograms-Data Sampling'!J$1)</f>
        <v>2</v>
      </c>
      <c r="K2" s="13">
        <f>SUM(B2:J2)</f>
        <v>43</v>
      </c>
      <c r="L2" s="8">
        <f>COUNTIFS('weather-check_no_nulls'!$K:$K,'Histograms-Data Sampling'!$A2,'weather-check_no_nulls'!$M:$M,'Histograms-Data Sampling'!L$1)</f>
        <v>2</v>
      </c>
      <c r="M2" s="18">
        <f>SUM(B2:J2,L2)</f>
        <v>45</v>
      </c>
      <c r="O2" t="s">
        <v>162</v>
      </c>
      <c r="P2">
        <v>1</v>
      </c>
      <c r="R2" t="s">
        <v>22</v>
      </c>
      <c r="S2">
        <v>1</v>
      </c>
      <c r="U2" t="s">
        <v>30</v>
      </c>
    </row>
    <row r="3" spans="1:21" x14ac:dyDescent="0.2">
      <c r="A3" t="s">
        <v>32</v>
      </c>
      <c r="B3" s="9">
        <f>COUNTIFS('weather-check_no_nulls'!$K:$K,'Histograms-Data Sampling'!$A3,'weather-check_no_nulls'!$M:$M,'Histograms-Data Sampling'!B$1)</f>
        <v>10</v>
      </c>
      <c r="C3" s="9">
        <f>COUNTIFS('weather-check_no_nulls'!$K:$K,'Histograms-Data Sampling'!$A3,'weather-check_no_nulls'!$M:$M,'Histograms-Data Sampling'!C$1)</f>
        <v>6</v>
      </c>
      <c r="D3" s="9">
        <f>COUNTIFS('weather-check_no_nulls'!$K:$K,'Histograms-Data Sampling'!$A3,'weather-check_no_nulls'!$M:$M,'Histograms-Data Sampling'!D$1)</f>
        <v>10</v>
      </c>
      <c r="E3" s="9">
        <f>COUNTIFS('weather-check_no_nulls'!$K:$K,'Histograms-Data Sampling'!$A3,'weather-check_no_nulls'!$M:$M,'Histograms-Data Sampling'!E$1)</f>
        <v>10</v>
      </c>
      <c r="F3" s="9">
        <f>COUNTIFS('weather-check_no_nulls'!$K:$K,'Histograms-Data Sampling'!$A3,'weather-check_no_nulls'!$M:$M,'Histograms-Data Sampling'!F$1)</f>
        <v>5</v>
      </c>
      <c r="G3" s="9">
        <f>COUNTIFS('weather-check_no_nulls'!$K:$K,'Histograms-Data Sampling'!$A3,'weather-check_no_nulls'!$M:$M,'Histograms-Data Sampling'!G$1)</f>
        <v>14</v>
      </c>
      <c r="H3" s="9">
        <f>COUNTIFS('weather-check_no_nulls'!$K:$K,'Histograms-Data Sampling'!$A3,'weather-check_no_nulls'!$M:$M,'Histograms-Data Sampling'!H$1)</f>
        <v>9</v>
      </c>
      <c r="I3" s="9">
        <f>COUNTIFS('weather-check_no_nulls'!$K:$K,'Histograms-Data Sampling'!$A3,'weather-check_no_nulls'!$M:$M,'Histograms-Data Sampling'!I$1)</f>
        <v>6</v>
      </c>
      <c r="J3" s="9">
        <f>COUNTIFS('weather-check_no_nulls'!$K:$K,'Histograms-Data Sampling'!$A3,'weather-check_no_nulls'!$M:$M,'Histograms-Data Sampling'!J$1)</f>
        <v>8</v>
      </c>
      <c r="K3" s="13">
        <f t="shared" ref="K3:K11" si="0">SUM(B3:J3)</f>
        <v>78</v>
      </c>
      <c r="L3" s="8">
        <f>COUNTIFS('weather-check_no_nulls'!$K:$K,'Histograms-Data Sampling'!$A3,'weather-check_no_nulls'!$M:$M,'Histograms-Data Sampling'!L$1)</f>
        <v>3</v>
      </c>
      <c r="M3" s="18">
        <f t="shared" ref="M3:M14" si="1">SUM(B3:J3,L3)</f>
        <v>81</v>
      </c>
      <c r="O3" t="s">
        <v>161</v>
      </c>
      <c r="P3">
        <v>2</v>
      </c>
      <c r="R3" t="s">
        <v>28</v>
      </c>
      <c r="S3">
        <v>2</v>
      </c>
      <c r="U3" t="s">
        <v>42</v>
      </c>
    </row>
    <row r="4" spans="1:21" x14ac:dyDescent="0.2">
      <c r="A4" t="s">
        <v>23</v>
      </c>
      <c r="B4" s="9">
        <f>COUNTIFS('weather-check_no_nulls'!$K:$K,'Histograms-Data Sampling'!$A4,'weather-check_no_nulls'!$M:$M,'Histograms-Data Sampling'!B$1)</f>
        <v>25</v>
      </c>
      <c r="C4" s="9">
        <f>COUNTIFS('weather-check_no_nulls'!$K:$K,'Histograms-Data Sampling'!$A4,'weather-check_no_nulls'!$M:$M,'Histograms-Data Sampling'!C$1)</f>
        <v>7</v>
      </c>
      <c r="D4" s="9">
        <f>COUNTIFS('weather-check_no_nulls'!$K:$K,'Histograms-Data Sampling'!$A4,'weather-check_no_nulls'!$M:$M,'Histograms-Data Sampling'!D$1)</f>
        <v>14</v>
      </c>
      <c r="E4" s="9">
        <f>COUNTIFS('weather-check_no_nulls'!$K:$K,'Histograms-Data Sampling'!$A4,'weather-check_no_nulls'!$M:$M,'Histograms-Data Sampling'!E$1)</f>
        <v>9</v>
      </c>
      <c r="F4" s="9">
        <f>COUNTIFS('weather-check_no_nulls'!$K:$K,'Histograms-Data Sampling'!$A4,'weather-check_no_nulls'!$M:$M,'Histograms-Data Sampling'!F$1)</f>
        <v>4</v>
      </c>
      <c r="G4" s="9">
        <f>COUNTIFS('weather-check_no_nulls'!$K:$K,'Histograms-Data Sampling'!$A4,'weather-check_no_nulls'!$M:$M,'Histograms-Data Sampling'!G$1)</f>
        <v>27</v>
      </c>
      <c r="H4" s="9">
        <f>COUNTIFS('weather-check_no_nulls'!$K:$K,'Histograms-Data Sampling'!$A4,'weather-check_no_nulls'!$M:$M,'Histograms-Data Sampling'!H$1)</f>
        <v>20</v>
      </c>
      <c r="I4" s="9">
        <f>COUNTIFS('weather-check_no_nulls'!$K:$K,'Histograms-Data Sampling'!$A4,'weather-check_no_nulls'!$M:$M,'Histograms-Data Sampling'!I$1)</f>
        <v>6</v>
      </c>
      <c r="J4" s="9">
        <f>COUNTIFS('weather-check_no_nulls'!$K:$K,'Histograms-Data Sampling'!$A4,'weather-check_no_nulls'!$M:$M,'Histograms-Data Sampling'!J$1)</f>
        <v>19</v>
      </c>
      <c r="K4" s="13">
        <f t="shared" si="0"/>
        <v>131</v>
      </c>
      <c r="L4" s="8">
        <f>COUNTIFS('weather-check_no_nulls'!$K:$K,'Histograms-Data Sampling'!$A4,'weather-check_no_nulls'!$M:$M,'Histograms-Data Sampling'!L$1)</f>
        <v>1</v>
      </c>
      <c r="M4" s="18">
        <f t="shared" si="1"/>
        <v>132</v>
      </c>
      <c r="O4" t="s">
        <v>163</v>
      </c>
      <c r="P4">
        <v>3</v>
      </c>
      <c r="R4" t="s">
        <v>16</v>
      </c>
      <c r="S4">
        <v>3</v>
      </c>
      <c r="U4" t="s">
        <v>15</v>
      </c>
    </row>
    <row r="5" spans="1:21" x14ac:dyDescent="0.2">
      <c r="A5" t="s">
        <v>11</v>
      </c>
      <c r="B5" s="9">
        <f>COUNTIFS('weather-check_no_nulls'!$K:$K,'Histograms-Data Sampling'!$A5,'weather-check_no_nulls'!$M:$M,'Histograms-Data Sampling'!B$1)</f>
        <v>17</v>
      </c>
      <c r="C5" s="9">
        <f>COUNTIFS('weather-check_no_nulls'!$K:$K,'Histograms-Data Sampling'!$A5,'weather-check_no_nulls'!$M:$M,'Histograms-Data Sampling'!C$1)</f>
        <v>6</v>
      </c>
      <c r="D5" s="9">
        <f>COUNTIFS('weather-check_no_nulls'!$K:$K,'Histograms-Data Sampling'!$A5,'weather-check_no_nulls'!$M:$M,'Histograms-Data Sampling'!D$1)</f>
        <v>11</v>
      </c>
      <c r="E5" s="9">
        <f>COUNTIFS('weather-check_no_nulls'!$K:$K,'Histograms-Data Sampling'!$A5,'weather-check_no_nulls'!$M:$M,'Histograms-Data Sampling'!E$1)</f>
        <v>13</v>
      </c>
      <c r="F5" s="9">
        <f>COUNTIFS('weather-check_no_nulls'!$K:$K,'Histograms-Data Sampling'!$A5,'weather-check_no_nulls'!$M:$M,'Histograms-Data Sampling'!F$1)</f>
        <v>3</v>
      </c>
      <c r="G5" s="9">
        <f>COUNTIFS('weather-check_no_nulls'!$K:$K,'Histograms-Data Sampling'!$A5,'weather-check_no_nulls'!$M:$M,'Histograms-Data Sampling'!G$1)</f>
        <v>16</v>
      </c>
      <c r="H5" s="9">
        <f>COUNTIFS('weather-check_no_nulls'!$K:$K,'Histograms-Data Sampling'!$A5,'weather-check_no_nulls'!$M:$M,'Histograms-Data Sampling'!H$1)</f>
        <v>20</v>
      </c>
      <c r="I5" s="9">
        <f>COUNTIFS('weather-check_no_nulls'!$K:$K,'Histograms-Data Sampling'!$A5,'weather-check_no_nulls'!$M:$M,'Histograms-Data Sampling'!I$1)</f>
        <v>7</v>
      </c>
      <c r="J5" s="9">
        <f>COUNTIFS('weather-check_no_nulls'!$K:$K,'Histograms-Data Sampling'!$A5,'weather-check_no_nulls'!$M:$M,'Histograms-Data Sampling'!J$1)</f>
        <v>17</v>
      </c>
      <c r="K5" s="13">
        <f t="shared" si="0"/>
        <v>110</v>
      </c>
      <c r="L5" s="8">
        <f>COUNTIFS('weather-check_no_nulls'!$K:$K,'Histograms-Data Sampling'!$A5,'weather-check_no_nulls'!$M:$M,'Histograms-Data Sampling'!L$1)</f>
        <v>1</v>
      </c>
      <c r="M5" s="18">
        <f t="shared" si="1"/>
        <v>111</v>
      </c>
      <c r="O5" t="s">
        <v>43</v>
      </c>
      <c r="P5">
        <v>4</v>
      </c>
      <c r="R5" t="s">
        <v>9</v>
      </c>
      <c r="S5">
        <v>4</v>
      </c>
      <c r="U5" t="s">
        <v>34</v>
      </c>
    </row>
    <row r="6" spans="1:21" x14ac:dyDescent="0.2">
      <c r="A6" t="s">
        <v>33</v>
      </c>
      <c r="B6" s="9">
        <f>COUNTIFS('weather-check_no_nulls'!$K:$K,'Histograms-Data Sampling'!$A6,'weather-check_no_nulls'!$M:$M,'Histograms-Data Sampling'!B$1)</f>
        <v>22</v>
      </c>
      <c r="C6" s="9">
        <f>COUNTIFS('weather-check_no_nulls'!$K:$K,'Histograms-Data Sampling'!$A6,'weather-check_no_nulls'!$M:$M,'Histograms-Data Sampling'!C$1)</f>
        <v>6</v>
      </c>
      <c r="D6" s="9">
        <f>COUNTIFS('weather-check_no_nulls'!$K:$K,'Histograms-Data Sampling'!$A6,'weather-check_no_nulls'!$M:$M,'Histograms-Data Sampling'!D$1)</f>
        <v>15</v>
      </c>
      <c r="E6" s="9">
        <f>COUNTIFS('weather-check_no_nulls'!$K:$K,'Histograms-Data Sampling'!$A6,'weather-check_no_nulls'!$M:$M,'Histograms-Data Sampling'!E$1)</f>
        <v>8</v>
      </c>
      <c r="F6" s="9">
        <f>COUNTIFS('weather-check_no_nulls'!$K:$K,'Histograms-Data Sampling'!$A6,'weather-check_no_nulls'!$M:$M,'Histograms-Data Sampling'!F$1)</f>
        <v>2</v>
      </c>
      <c r="G6" s="9">
        <f>COUNTIFS('weather-check_no_nulls'!$K:$K,'Histograms-Data Sampling'!$A6,'weather-check_no_nulls'!$M:$M,'Histograms-Data Sampling'!G$1)</f>
        <v>15</v>
      </c>
      <c r="H6" s="9">
        <f>COUNTIFS('weather-check_no_nulls'!$K:$K,'Histograms-Data Sampling'!$A6,'weather-check_no_nulls'!$M:$M,'Histograms-Data Sampling'!H$1)</f>
        <v>19</v>
      </c>
      <c r="I6" s="9">
        <f>COUNTIFS('weather-check_no_nulls'!$K:$K,'Histograms-Data Sampling'!$A6,'weather-check_no_nulls'!$M:$M,'Histograms-Data Sampling'!I$1)</f>
        <v>8</v>
      </c>
      <c r="J6" s="9">
        <f>COUNTIFS('weather-check_no_nulls'!$K:$K,'Histograms-Data Sampling'!$A6,'weather-check_no_nulls'!$M:$M,'Histograms-Data Sampling'!J$1)</f>
        <v>8</v>
      </c>
      <c r="K6" s="13">
        <f t="shared" si="0"/>
        <v>103</v>
      </c>
      <c r="L6" s="8">
        <f>COUNTIFS('weather-check_no_nulls'!$K:$K,'Histograms-Data Sampling'!$A6,'weather-check_no_nulls'!$M:$M,'Histograms-Data Sampling'!L$1)</f>
        <v>1</v>
      </c>
      <c r="M6" s="18">
        <f t="shared" si="1"/>
        <v>104</v>
      </c>
      <c r="O6" t="s">
        <v>8</v>
      </c>
      <c r="P6" t="s">
        <v>164</v>
      </c>
      <c r="R6" t="s">
        <v>8</v>
      </c>
      <c r="S6" t="s">
        <v>164</v>
      </c>
      <c r="U6" t="s">
        <v>38</v>
      </c>
    </row>
    <row r="7" spans="1:21" x14ac:dyDescent="0.2">
      <c r="A7" t="s">
        <v>14</v>
      </c>
      <c r="B7" s="9">
        <f>COUNTIFS('weather-check_no_nulls'!$K:$K,'Histograms-Data Sampling'!$A7,'weather-check_no_nulls'!$M:$M,'Histograms-Data Sampling'!B$1)</f>
        <v>19</v>
      </c>
      <c r="C7" s="9">
        <f>COUNTIFS('weather-check_no_nulls'!$K:$K,'Histograms-Data Sampling'!$A7,'weather-check_no_nulls'!$M:$M,'Histograms-Data Sampling'!C$1)</f>
        <v>2</v>
      </c>
      <c r="D7" s="9">
        <f>COUNTIFS('weather-check_no_nulls'!$K:$K,'Histograms-Data Sampling'!$A7,'weather-check_no_nulls'!$M:$M,'Histograms-Data Sampling'!D$1)</f>
        <v>11</v>
      </c>
      <c r="E7" s="9">
        <f>COUNTIFS('weather-check_no_nulls'!$K:$K,'Histograms-Data Sampling'!$A7,'weather-check_no_nulls'!$M:$M,'Histograms-Data Sampling'!E$1)</f>
        <v>5</v>
      </c>
      <c r="F7" s="9">
        <f>COUNTIFS('weather-check_no_nulls'!$K:$K,'Histograms-Data Sampling'!$A7,'weather-check_no_nulls'!$M:$M,'Histograms-Data Sampling'!F$1)</f>
        <v>6</v>
      </c>
      <c r="G7" s="9">
        <f>COUNTIFS('weather-check_no_nulls'!$K:$K,'Histograms-Data Sampling'!$A7,'weather-check_no_nulls'!$M:$M,'Histograms-Data Sampling'!G$1)</f>
        <v>23</v>
      </c>
      <c r="H7" s="9">
        <f>COUNTIFS('weather-check_no_nulls'!$K:$K,'Histograms-Data Sampling'!$A7,'weather-check_no_nulls'!$M:$M,'Histograms-Data Sampling'!H$1)</f>
        <v>19</v>
      </c>
      <c r="I7" s="9">
        <f>COUNTIFS('weather-check_no_nulls'!$K:$K,'Histograms-Data Sampling'!$A7,'weather-check_no_nulls'!$M:$M,'Histograms-Data Sampling'!I$1)</f>
        <v>8</v>
      </c>
      <c r="J7" s="9">
        <f>COUNTIFS('weather-check_no_nulls'!$K:$K,'Histograms-Data Sampling'!$A7,'weather-check_no_nulls'!$M:$M,'Histograms-Data Sampling'!J$1)</f>
        <v>10</v>
      </c>
      <c r="K7" s="13">
        <f t="shared" si="0"/>
        <v>103</v>
      </c>
      <c r="L7" s="8">
        <f>COUNTIFS('weather-check_no_nulls'!$K:$K,'Histograms-Data Sampling'!$A7,'weather-check_no_nulls'!$M:$M,'Histograms-Data Sampling'!L$1)</f>
        <v>1</v>
      </c>
      <c r="M7" s="18">
        <f t="shared" si="1"/>
        <v>104</v>
      </c>
      <c r="U7" t="s">
        <v>24</v>
      </c>
    </row>
    <row r="8" spans="1:21" x14ac:dyDescent="0.2">
      <c r="A8" t="s">
        <v>48</v>
      </c>
      <c r="B8" s="9">
        <f>COUNTIFS('weather-check_no_nulls'!$K:$K,'Histograms-Data Sampling'!$A8,'weather-check_no_nulls'!$M:$M,'Histograms-Data Sampling'!B$1)</f>
        <v>5</v>
      </c>
      <c r="C8" s="9">
        <f>COUNTIFS('weather-check_no_nulls'!$K:$K,'Histograms-Data Sampling'!$A8,'weather-check_no_nulls'!$M:$M,'Histograms-Data Sampling'!C$1)</f>
        <v>0</v>
      </c>
      <c r="D8" s="9">
        <f>COUNTIFS('weather-check_no_nulls'!$K:$K,'Histograms-Data Sampling'!$A8,'weather-check_no_nulls'!$M:$M,'Histograms-Data Sampling'!D$1)</f>
        <v>5</v>
      </c>
      <c r="E8" s="9">
        <f>COUNTIFS('weather-check_no_nulls'!$K:$K,'Histograms-Data Sampling'!$A8,'weather-check_no_nulls'!$M:$M,'Histograms-Data Sampling'!E$1)</f>
        <v>5</v>
      </c>
      <c r="F8" s="9">
        <f>COUNTIFS('weather-check_no_nulls'!$K:$K,'Histograms-Data Sampling'!$A8,'weather-check_no_nulls'!$M:$M,'Histograms-Data Sampling'!F$1)</f>
        <v>5</v>
      </c>
      <c r="G8" s="9">
        <f>COUNTIFS('weather-check_no_nulls'!$K:$K,'Histograms-Data Sampling'!$A8,'weather-check_no_nulls'!$M:$M,'Histograms-Data Sampling'!G$1)</f>
        <v>18</v>
      </c>
      <c r="H8" s="9">
        <f>COUNTIFS('weather-check_no_nulls'!$K:$K,'Histograms-Data Sampling'!$A8,'weather-check_no_nulls'!$M:$M,'Histograms-Data Sampling'!H$1)</f>
        <v>6</v>
      </c>
      <c r="I8" s="9">
        <f>COUNTIFS('weather-check_no_nulls'!$K:$K,'Histograms-Data Sampling'!$A8,'weather-check_no_nulls'!$M:$M,'Histograms-Data Sampling'!I$1)</f>
        <v>1</v>
      </c>
      <c r="J8" s="9">
        <f>COUNTIFS('weather-check_no_nulls'!$K:$K,'Histograms-Data Sampling'!$A8,'weather-check_no_nulls'!$M:$M,'Histograms-Data Sampling'!J$1)</f>
        <v>4</v>
      </c>
      <c r="K8" s="13">
        <f t="shared" si="0"/>
        <v>49</v>
      </c>
      <c r="L8" s="8">
        <f>COUNTIFS('weather-check_no_nulls'!$K:$K,'Histograms-Data Sampling'!$A8,'weather-check_no_nulls'!$M:$M,'Histograms-Data Sampling'!L$1)</f>
        <v>0</v>
      </c>
      <c r="M8" s="18">
        <f t="shared" si="1"/>
        <v>49</v>
      </c>
      <c r="U8" t="s">
        <v>12</v>
      </c>
    </row>
    <row r="9" spans="1:21" x14ac:dyDescent="0.2">
      <c r="A9" t="s">
        <v>18</v>
      </c>
      <c r="B9" s="9">
        <f>COUNTIFS('weather-check_no_nulls'!$K:$K,'Histograms-Data Sampling'!$A9,'weather-check_no_nulls'!$M:$M,'Histograms-Data Sampling'!B$1)</f>
        <v>8</v>
      </c>
      <c r="C9" s="9">
        <f>COUNTIFS('weather-check_no_nulls'!$K:$K,'Histograms-Data Sampling'!$A9,'weather-check_no_nulls'!$M:$M,'Histograms-Data Sampling'!C$1)</f>
        <v>0</v>
      </c>
      <c r="D9" s="9">
        <f>COUNTIFS('weather-check_no_nulls'!$K:$K,'Histograms-Data Sampling'!$A9,'weather-check_no_nulls'!$M:$M,'Histograms-Data Sampling'!D$1)</f>
        <v>6</v>
      </c>
      <c r="E9" s="9">
        <f>COUNTIFS('weather-check_no_nulls'!$K:$K,'Histograms-Data Sampling'!$A9,'weather-check_no_nulls'!$M:$M,'Histograms-Data Sampling'!E$1)</f>
        <v>1</v>
      </c>
      <c r="F9" s="9">
        <f>COUNTIFS('weather-check_no_nulls'!$K:$K,'Histograms-Data Sampling'!$A9,'weather-check_no_nulls'!$M:$M,'Histograms-Data Sampling'!F$1)</f>
        <v>4</v>
      </c>
      <c r="G9" s="9">
        <f>COUNTIFS('weather-check_no_nulls'!$K:$K,'Histograms-Data Sampling'!$A9,'weather-check_no_nulls'!$M:$M,'Histograms-Data Sampling'!G$1)</f>
        <v>10</v>
      </c>
      <c r="H9" s="9">
        <f>COUNTIFS('weather-check_no_nulls'!$K:$K,'Histograms-Data Sampling'!$A9,'weather-check_no_nulls'!$M:$M,'Histograms-Data Sampling'!H$1)</f>
        <v>7</v>
      </c>
      <c r="I9" s="9">
        <f>COUNTIFS('weather-check_no_nulls'!$K:$K,'Histograms-Data Sampling'!$A9,'weather-check_no_nulls'!$M:$M,'Histograms-Data Sampling'!I$1)</f>
        <v>1</v>
      </c>
      <c r="J9" s="9">
        <f>COUNTIFS('weather-check_no_nulls'!$K:$K,'Histograms-Data Sampling'!$A9,'weather-check_no_nulls'!$M:$M,'Histograms-Data Sampling'!J$1)</f>
        <v>2</v>
      </c>
      <c r="K9" s="13">
        <f t="shared" si="0"/>
        <v>39</v>
      </c>
      <c r="L9" s="8">
        <f>COUNTIFS('weather-check_no_nulls'!$K:$K,'Histograms-Data Sampling'!$A9,'weather-check_no_nulls'!$M:$M,'Histograms-Data Sampling'!L$1)</f>
        <v>0</v>
      </c>
      <c r="M9" s="18">
        <f t="shared" si="1"/>
        <v>39</v>
      </c>
      <c r="U9" t="s">
        <v>25</v>
      </c>
    </row>
    <row r="10" spans="1:21" x14ac:dyDescent="0.2">
      <c r="A10" t="s">
        <v>47</v>
      </c>
      <c r="B10" s="9">
        <f>COUNTIFS('weather-check_no_nulls'!$K:$K,'Histograms-Data Sampling'!$A10,'weather-check_no_nulls'!$M:$M,'Histograms-Data Sampling'!B$1)</f>
        <v>5</v>
      </c>
      <c r="C10" s="9">
        <f>COUNTIFS('weather-check_no_nulls'!$K:$K,'Histograms-Data Sampling'!$A10,'weather-check_no_nulls'!$M:$M,'Histograms-Data Sampling'!C$1)</f>
        <v>0</v>
      </c>
      <c r="D10" s="9">
        <f>COUNTIFS('weather-check_no_nulls'!$K:$K,'Histograms-Data Sampling'!$A10,'weather-check_no_nulls'!$M:$M,'Histograms-Data Sampling'!D$1)</f>
        <v>4</v>
      </c>
      <c r="E10" s="9">
        <f>COUNTIFS('weather-check_no_nulls'!$K:$K,'Histograms-Data Sampling'!$A10,'weather-check_no_nulls'!$M:$M,'Histograms-Data Sampling'!E$1)</f>
        <v>0</v>
      </c>
      <c r="F10" s="9">
        <f>COUNTIFS('weather-check_no_nulls'!$K:$K,'Histograms-Data Sampling'!$A10,'weather-check_no_nulls'!$M:$M,'Histograms-Data Sampling'!F$1)</f>
        <v>2</v>
      </c>
      <c r="G10" s="9">
        <f>COUNTIFS('weather-check_no_nulls'!$K:$K,'Histograms-Data Sampling'!$A10,'weather-check_no_nulls'!$M:$M,'Histograms-Data Sampling'!G$1)</f>
        <v>4</v>
      </c>
      <c r="H10" s="9">
        <f>COUNTIFS('weather-check_no_nulls'!$K:$K,'Histograms-Data Sampling'!$A10,'weather-check_no_nulls'!$M:$M,'Histograms-Data Sampling'!H$1)</f>
        <v>3</v>
      </c>
      <c r="I10" s="9">
        <f>COUNTIFS('weather-check_no_nulls'!$K:$K,'Histograms-Data Sampling'!$A10,'weather-check_no_nulls'!$M:$M,'Histograms-Data Sampling'!I$1)</f>
        <v>1</v>
      </c>
      <c r="J10" s="9">
        <f>COUNTIFS('weather-check_no_nulls'!$K:$K,'Histograms-Data Sampling'!$A10,'weather-check_no_nulls'!$M:$M,'Histograms-Data Sampling'!J$1)</f>
        <v>3</v>
      </c>
      <c r="K10" s="13">
        <f t="shared" si="0"/>
        <v>22</v>
      </c>
      <c r="L10" s="8">
        <f>COUNTIFS('weather-check_no_nulls'!$K:$K,'Histograms-Data Sampling'!$A10,'weather-check_no_nulls'!$M:$M,'Histograms-Data Sampling'!L$1)</f>
        <v>1</v>
      </c>
      <c r="M10" s="18">
        <f t="shared" si="1"/>
        <v>23</v>
      </c>
      <c r="U10" t="s">
        <v>20</v>
      </c>
    </row>
    <row r="11" spans="1:21" x14ac:dyDescent="0.2">
      <c r="A11" t="s">
        <v>39</v>
      </c>
      <c r="B11" s="9">
        <f>COUNTIFS('weather-check_no_nulls'!$K:$K,'Histograms-Data Sampling'!$A11,'weather-check_no_nulls'!$M:$M,'Histograms-Data Sampling'!B$1)</f>
        <v>5</v>
      </c>
      <c r="C11" s="9">
        <f>COUNTIFS('weather-check_no_nulls'!$K:$K,'Histograms-Data Sampling'!$A11,'weather-check_no_nulls'!$M:$M,'Histograms-Data Sampling'!C$1)</f>
        <v>2</v>
      </c>
      <c r="D11" s="9">
        <f>COUNTIFS('weather-check_no_nulls'!$K:$K,'Histograms-Data Sampling'!$A11,'weather-check_no_nulls'!$M:$M,'Histograms-Data Sampling'!D$1)</f>
        <v>7</v>
      </c>
      <c r="E11" s="9">
        <f>COUNTIFS('weather-check_no_nulls'!$K:$K,'Histograms-Data Sampling'!$A11,'weather-check_no_nulls'!$M:$M,'Histograms-Data Sampling'!E$1)</f>
        <v>5</v>
      </c>
      <c r="F11" s="9">
        <f>COUNTIFS('weather-check_no_nulls'!$K:$K,'Histograms-Data Sampling'!$A11,'weather-check_no_nulls'!$M:$M,'Histograms-Data Sampling'!F$1)</f>
        <v>8</v>
      </c>
      <c r="G11" s="9">
        <f>COUNTIFS('weather-check_no_nulls'!$K:$K,'Histograms-Data Sampling'!$A11,'weather-check_no_nulls'!$M:$M,'Histograms-Data Sampling'!G$1)</f>
        <v>12</v>
      </c>
      <c r="H11" s="9">
        <f>COUNTIFS('weather-check_no_nulls'!$K:$K,'Histograms-Data Sampling'!$A11,'weather-check_no_nulls'!$M:$M,'Histograms-Data Sampling'!H$1)</f>
        <v>12</v>
      </c>
      <c r="I11" s="9">
        <f>COUNTIFS('weather-check_no_nulls'!$K:$K,'Histograms-Data Sampling'!$A11,'weather-check_no_nulls'!$M:$M,'Histograms-Data Sampling'!I$1)</f>
        <v>2</v>
      </c>
      <c r="J11" s="9">
        <f>COUNTIFS('weather-check_no_nulls'!$K:$K,'Histograms-Data Sampling'!$A11,'weather-check_no_nulls'!$M:$M,'Histograms-Data Sampling'!J$1)</f>
        <v>4</v>
      </c>
      <c r="K11" s="13">
        <f t="shared" si="0"/>
        <v>57</v>
      </c>
      <c r="L11" s="8">
        <f>COUNTIFS('weather-check_no_nulls'!$K:$K,'Histograms-Data Sampling'!$A11,'weather-check_no_nulls'!$M:$M,'Histograms-Data Sampling'!L$1)</f>
        <v>1</v>
      </c>
      <c r="M11" s="18">
        <f t="shared" si="1"/>
        <v>58</v>
      </c>
      <c r="U11" t="s">
        <v>8</v>
      </c>
    </row>
    <row r="12" spans="1:21" x14ac:dyDescent="0.2">
      <c r="A12" s="13" t="s">
        <v>197</v>
      </c>
      <c r="B12" s="13">
        <f t="shared" ref="B12:J12" si="2">SUM(B2:B11)</f>
        <v>120</v>
      </c>
      <c r="C12" s="13">
        <f t="shared" si="2"/>
        <v>34</v>
      </c>
      <c r="D12" s="13">
        <f t="shared" si="2"/>
        <v>89</v>
      </c>
      <c r="E12" s="13">
        <f t="shared" si="2"/>
        <v>59</v>
      </c>
      <c r="F12" s="13">
        <f t="shared" si="2"/>
        <v>41</v>
      </c>
      <c r="G12" s="13">
        <f t="shared" si="2"/>
        <v>148</v>
      </c>
      <c r="H12" s="13">
        <f t="shared" si="2"/>
        <v>121</v>
      </c>
      <c r="I12" s="13">
        <f t="shared" si="2"/>
        <v>46</v>
      </c>
      <c r="J12" s="13">
        <f t="shared" si="2"/>
        <v>77</v>
      </c>
      <c r="K12" s="15">
        <f>SUM(B2:J11)</f>
        <v>735</v>
      </c>
      <c r="L12" s="8"/>
      <c r="M12" s="18"/>
    </row>
    <row r="13" spans="1:21" x14ac:dyDescent="0.2">
      <c r="A13" s="8" t="s">
        <v>13</v>
      </c>
      <c r="B13" s="8">
        <f>COUNTIFS('weather-check_no_nulls'!$K:$K,'Histograms-Data Sampling'!$A13,'weather-check_no_nulls'!$M:$M,'Histograms-Data Sampling'!B$1)</f>
        <v>21</v>
      </c>
      <c r="C13" s="8">
        <f>COUNTIFS('weather-check_no_nulls'!$K:$K,'Histograms-Data Sampling'!$A13,'weather-check_no_nulls'!$M:$M,'Histograms-Data Sampling'!C$1)</f>
        <v>7</v>
      </c>
      <c r="D13" s="8">
        <f>COUNTIFS('weather-check_no_nulls'!$K:$K,'Histograms-Data Sampling'!$A13,'weather-check_no_nulls'!$M:$M,'Histograms-Data Sampling'!D$1)</f>
        <v>15</v>
      </c>
      <c r="E13" s="8">
        <f>COUNTIFS('weather-check_no_nulls'!$K:$K,'Histograms-Data Sampling'!$A13,'weather-check_no_nulls'!$M:$M,'Histograms-Data Sampling'!E$1)</f>
        <v>13</v>
      </c>
      <c r="F13" s="8">
        <f>COUNTIFS('weather-check_no_nulls'!$K:$K,'Histograms-Data Sampling'!$A13,'weather-check_no_nulls'!$M:$M,'Histograms-Data Sampling'!F$1)</f>
        <v>11</v>
      </c>
      <c r="G13" s="8">
        <f>COUNTIFS('weather-check_no_nulls'!$K:$K,'Histograms-Data Sampling'!$A13,'weather-check_no_nulls'!$M:$M,'Histograms-Data Sampling'!G$1)</f>
        <v>37</v>
      </c>
      <c r="H13" s="8">
        <f>COUNTIFS('weather-check_no_nulls'!$K:$K,'Histograms-Data Sampling'!$A13,'weather-check_no_nulls'!$M:$M,'Histograms-Data Sampling'!H$1)</f>
        <v>33</v>
      </c>
      <c r="I13" s="8">
        <f>COUNTIFS('weather-check_no_nulls'!$K:$K,'Histograms-Data Sampling'!$A13,'weather-check_no_nulls'!$M:$M,'Histograms-Data Sampling'!I$1)</f>
        <v>8</v>
      </c>
      <c r="J13" s="8">
        <f>COUNTIFS('weather-check_no_nulls'!$K:$K,'Histograms-Data Sampling'!$A13,'weather-check_no_nulls'!$M:$M,'Histograms-Data Sampling'!J$1)</f>
        <v>16</v>
      </c>
      <c r="K13" s="8"/>
      <c r="L13" s="8">
        <f>COUNTIFS('weather-check_no_nulls'!$K:$K,'Histograms-Data Sampling'!$A13,'weather-check_no_nulls'!$M:$M,'Histograms-Data Sampling'!L$1)</f>
        <v>8</v>
      </c>
      <c r="M13" s="18">
        <f t="shared" si="1"/>
        <v>169</v>
      </c>
    </row>
    <row r="14" spans="1:21" x14ac:dyDescent="0.2">
      <c r="A14" s="8" t="s">
        <v>8</v>
      </c>
      <c r="B14" s="8">
        <f>COUNTIFS('weather-check_no_nulls'!$K:$K,'Histograms-Data Sampling'!$A14,'weather-check_no_nulls'!$M:$M,'Histograms-Data Sampling'!B$1)</f>
        <v>0</v>
      </c>
      <c r="C14" s="8">
        <f>COUNTIFS('weather-check_no_nulls'!$K:$K,'Histograms-Data Sampling'!$A14,'weather-check_no_nulls'!$M:$M,'Histograms-Data Sampling'!C$1)</f>
        <v>0</v>
      </c>
      <c r="D14" s="8">
        <f>COUNTIFS('weather-check_no_nulls'!$K:$K,'Histograms-Data Sampling'!$A14,'weather-check_no_nulls'!$M:$M,'Histograms-Data Sampling'!D$1)</f>
        <v>0</v>
      </c>
      <c r="E14" s="8">
        <f>COUNTIFS('weather-check_no_nulls'!$K:$K,'Histograms-Data Sampling'!$A14,'weather-check_no_nulls'!$M:$M,'Histograms-Data Sampling'!E$1)</f>
        <v>0</v>
      </c>
      <c r="F14" s="8">
        <f>COUNTIFS('weather-check_no_nulls'!$K:$K,'Histograms-Data Sampling'!$A14,'weather-check_no_nulls'!$M:$M,'Histograms-Data Sampling'!F$1)</f>
        <v>0</v>
      </c>
      <c r="G14" s="8">
        <f>COUNTIFS('weather-check_no_nulls'!$K:$K,'Histograms-Data Sampling'!$A14,'weather-check_no_nulls'!$M:$M,'Histograms-Data Sampling'!G$1)</f>
        <v>0</v>
      </c>
      <c r="H14" s="8">
        <f>COUNTIFS('weather-check_no_nulls'!$K:$K,'Histograms-Data Sampling'!$A14,'weather-check_no_nulls'!$M:$M,'Histograms-Data Sampling'!H$1)</f>
        <v>0</v>
      </c>
      <c r="I14" s="8">
        <f>COUNTIFS('weather-check_no_nulls'!$K:$K,'Histograms-Data Sampling'!$A14,'weather-check_no_nulls'!$M:$M,'Histograms-Data Sampling'!I$1)</f>
        <v>0</v>
      </c>
      <c r="J14" s="8">
        <f>COUNTIFS('weather-check_no_nulls'!$K:$K,'Histograms-Data Sampling'!$A14,'weather-check_no_nulls'!$M:$M,'Histograms-Data Sampling'!J$1)</f>
        <v>1</v>
      </c>
      <c r="K14" s="8"/>
      <c r="L14" s="8">
        <f>COUNTIFS('weather-check_no_nulls'!$K:$K,'Histograms-Data Sampling'!$A14,'weather-check_no_nulls'!$M:$M,'Histograms-Data Sampling'!L$1)</f>
        <v>12</v>
      </c>
      <c r="M14" s="18">
        <f t="shared" si="1"/>
        <v>13</v>
      </c>
    </row>
    <row r="15" spans="1:21" x14ac:dyDescent="0.2">
      <c r="A15" s="18" t="s">
        <v>200</v>
      </c>
      <c r="B15" s="17">
        <f t="shared" ref="B15:M15" si="3">SUM(B2:B11,B13:B14)</f>
        <v>141</v>
      </c>
      <c r="C15" s="17">
        <f t="shared" si="3"/>
        <v>41</v>
      </c>
      <c r="D15" s="17">
        <f t="shared" si="3"/>
        <v>104</v>
      </c>
      <c r="E15" s="17">
        <f t="shared" si="3"/>
        <v>72</v>
      </c>
      <c r="F15" s="17">
        <f t="shared" si="3"/>
        <v>52</v>
      </c>
      <c r="G15" s="17">
        <f t="shared" si="3"/>
        <v>185</v>
      </c>
      <c r="H15" s="17">
        <f t="shared" si="3"/>
        <v>154</v>
      </c>
      <c r="I15" s="17">
        <f t="shared" si="3"/>
        <v>54</v>
      </c>
      <c r="J15" s="17">
        <f t="shared" si="3"/>
        <v>94</v>
      </c>
      <c r="K15" s="16"/>
      <c r="L15" s="17">
        <f t="shared" si="3"/>
        <v>31</v>
      </c>
      <c r="M15" s="16">
        <f t="shared" si="3"/>
        <v>928</v>
      </c>
    </row>
    <row r="17" spans="1:13" x14ac:dyDescent="0.2">
      <c r="A17" s="1" t="s">
        <v>201</v>
      </c>
      <c r="B17" t="s">
        <v>202</v>
      </c>
    </row>
    <row r="19" spans="1:13" ht="32" x14ac:dyDescent="0.2">
      <c r="A19" s="10" t="s">
        <v>4</v>
      </c>
      <c r="B19" s="11" t="s">
        <v>30</v>
      </c>
      <c r="C19" s="11" t="s">
        <v>42</v>
      </c>
      <c r="D19" s="11" t="s">
        <v>15</v>
      </c>
      <c r="E19" s="11" t="s">
        <v>34</v>
      </c>
      <c r="F19" s="11" t="s">
        <v>38</v>
      </c>
      <c r="G19" s="11" t="s">
        <v>24</v>
      </c>
      <c r="H19" s="11" t="s">
        <v>12</v>
      </c>
      <c r="I19" s="11" t="s">
        <v>25</v>
      </c>
      <c r="J19" s="11" t="s">
        <v>20</v>
      </c>
      <c r="K19" s="14" t="s">
        <v>198</v>
      </c>
      <c r="L19" s="8" t="s">
        <v>8</v>
      </c>
      <c r="M19" s="18" t="s">
        <v>196</v>
      </c>
    </row>
    <row r="20" spans="1:13" x14ac:dyDescent="0.2">
      <c r="A20" t="s">
        <v>29</v>
      </c>
      <c r="B20" s="19">
        <f t="shared" ref="B20:J20" si="4">B2/B$12</f>
        <v>3.3333333333333333E-2</v>
      </c>
      <c r="C20" s="19">
        <f t="shared" si="4"/>
        <v>0.14705882352941177</v>
      </c>
      <c r="D20" s="19">
        <f t="shared" si="4"/>
        <v>6.741573033707865E-2</v>
      </c>
      <c r="E20" s="19">
        <f t="shared" si="4"/>
        <v>5.0847457627118647E-2</v>
      </c>
      <c r="F20" s="19">
        <f t="shared" si="4"/>
        <v>4.878048780487805E-2</v>
      </c>
      <c r="G20" s="19">
        <f t="shared" si="4"/>
        <v>6.0810810810810814E-2</v>
      </c>
      <c r="H20" s="19">
        <f t="shared" si="4"/>
        <v>4.9586776859504134E-2</v>
      </c>
      <c r="I20" s="19">
        <f t="shared" si="4"/>
        <v>0.13043478260869565</v>
      </c>
      <c r="J20" s="19">
        <f t="shared" si="4"/>
        <v>2.5974025974025976E-2</v>
      </c>
      <c r="K20" s="20">
        <f>K2/K$12</f>
        <v>5.8503401360544216E-2</v>
      </c>
      <c r="L20" s="21">
        <f>L2/(SUM(L$2:L$11))</f>
        <v>0.18181818181818182</v>
      </c>
      <c r="M20" s="23">
        <f>M2/(SUM(M$2:M$11))</f>
        <v>6.0321715817694369E-2</v>
      </c>
    </row>
    <row r="21" spans="1:13" x14ac:dyDescent="0.2">
      <c r="A21" t="s">
        <v>32</v>
      </c>
      <c r="B21" s="19">
        <f t="shared" ref="B21:J30" si="5">B3/B$12</f>
        <v>8.3333333333333329E-2</v>
      </c>
      <c r="C21" s="19">
        <f t="shared" si="5"/>
        <v>0.17647058823529413</v>
      </c>
      <c r="D21" s="19">
        <f t="shared" si="5"/>
        <v>0.11235955056179775</v>
      </c>
      <c r="E21" s="19">
        <f t="shared" si="5"/>
        <v>0.16949152542372881</v>
      </c>
      <c r="F21" s="19">
        <f t="shared" si="5"/>
        <v>0.12195121951219512</v>
      </c>
      <c r="G21" s="19">
        <f t="shared" si="5"/>
        <v>9.45945945945946E-2</v>
      </c>
      <c r="H21" s="19">
        <f t="shared" si="5"/>
        <v>7.43801652892562E-2</v>
      </c>
      <c r="I21" s="19">
        <f t="shared" si="5"/>
        <v>0.13043478260869565</v>
      </c>
      <c r="J21" s="19">
        <f t="shared" si="5"/>
        <v>0.1038961038961039</v>
      </c>
      <c r="K21" s="20">
        <f t="shared" ref="K21" si="6">K3/K$12</f>
        <v>0.10612244897959183</v>
      </c>
      <c r="L21" s="21">
        <f t="shared" ref="L21:M29" si="7">L3/(SUM(L$2:L$11))</f>
        <v>0.27272727272727271</v>
      </c>
      <c r="M21" s="23">
        <f t="shared" si="7"/>
        <v>0.10857908847184987</v>
      </c>
    </row>
    <row r="22" spans="1:13" x14ac:dyDescent="0.2">
      <c r="A22" t="s">
        <v>23</v>
      </c>
      <c r="B22" s="19">
        <f t="shared" si="5"/>
        <v>0.20833333333333334</v>
      </c>
      <c r="C22" s="19">
        <f t="shared" si="5"/>
        <v>0.20588235294117646</v>
      </c>
      <c r="D22" s="19">
        <f t="shared" si="5"/>
        <v>0.15730337078651685</v>
      </c>
      <c r="E22" s="19">
        <f t="shared" si="5"/>
        <v>0.15254237288135594</v>
      </c>
      <c r="F22" s="19">
        <f t="shared" si="5"/>
        <v>9.7560975609756101E-2</v>
      </c>
      <c r="G22" s="19">
        <f t="shared" si="5"/>
        <v>0.18243243243243243</v>
      </c>
      <c r="H22" s="19">
        <f t="shared" si="5"/>
        <v>0.16528925619834711</v>
      </c>
      <c r="I22" s="19">
        <f t="shared" si="5"/>
        <v>0.13043478260869565</v>
      </c>
      <c r="J22" s="19">
        <f t="shared" si="5"/>
        <v>0.24675324675324675</v>
      </c>
      <c r="K22" s="20">
        <f t="shared" ref="K22" si="8">K4/K$12</f>
        <v>0.17823129251700681</v>
      </c>
      <c r="L22" s="21">
        <f t="shared" si="7"/>
        <v>9.0909090909090912E-2</v>
      </c>
      <c r="M22" s="23">
        <f t="shared" si="7"/>
        <v>0.17694369973190349</v>
      </c>
    </row>
    <row r="23" spans="1:13" x14ac:dyDescent="0.2">
      <c r="A23" t="s">
        <v>11</v>
      </c>
      <c r="B23" s="19">
        <f t="shared" si="5"/>
        <v>0.14166666666666666</v>
      </c>
      <c r="C23" s="19">
        <f t="shared" si="5"/>
        <v>0.17647058823529413</v>
      </c>
      <c r="D23" s="19">
        <f t="shared" si="5"/>
        <v>0.12359550561797752</v>
      </c>
      <c r="E23" s="19">
        <f t="shared" si="5"/>
        <v>0.22033898305084745</v>
      </c>
      <c r="F23" s="19">
        <f t="shared" si="5"/>
        <v>7.3170731707317069E-2</v>
      </c>
      <c r="G23" s="19">
        <f t="shared" si="5"/>
        <v>0.10810810810810811</v>
      </c>
      <c r="H23" s="19">
        <f t="shared" si="5"/>
        <v>0.16528925619834711</v>
      </c>
      <c r="I23" s="19">
        <f t="shared" si="5"/>
        <v>0.15217391304347827</v>
      </c>
      <c r="J23" s="19">
        <f t="shared" si="5"/>
        <v>0.22077922077922077</v>
      </c>
      <c r="K23" s="20">
        <f t="shared" ref="K23" si="9">K5/K$12</f>
        <v>0.14965986394557823</v>
      </c>
      <c r="L23" s="21">
        <f t="shared" si="7"/>
        <v>9.0909090909090912E-2</v>
      </c>
      <c r="M23" s="23">
        <f t="shared" si="7"/>
        <v>0.1487935656836461</v>
      </c>
    </row>
    <row r="24" spans="1:13" x14ac:dyDescent="0.2">
      <c r="A24" t="s">
        <v>33</v>
      </c>
      <c r="B24" s="19">
        <f t="shared" si="5"/>
        <v>0.18333333333333332</v>
      </c>
      <c r="C24" s="19">
        <f t="shared" si="5"/>
        <v>0.17647058823529413</v>
      </c>
      <c r="D24" s="19">
        <f t="shared" si="5"/>
        <v>0.16853932584269662</v>
      </c>
      <c r="E24" s="19">
        <f t="shared" si="5"/>
        <v>0.13559322033898305</v>
      </c>
      <c r="F24" s="19">
        <f t="shared" si="5"/>
        <v>4.878048780487805E-2</v>
      </c>
      <c r="G24" s="19">
        <f t="shared" si="5"/>
        <v>0.10135135135135136</v>
      </c>
      <c r="H24" s="19">
        <f t="shared" si="5"/>
        <v>0.15702479338842976</v>
      </c>
      <c r="I24" s="19">
        <f t="shared" si="5"/>
        <v>0.17391304347826086</v>
      </c>
      <c r="J24" s="19">
        <f t="shared" si="5"/>
        <v>0.1038961038961039</v>
      </c>
      <c r="K24" s="20">
        <f t="shared" ref="K24" si="10">K6/K$12</f>
        <v>0.14013605442176871</v>
      </c>
      <c r="L24" s="21">
        <f t="shared" si="7"/>
        <v>9.0909090909090912E-2</v>
      </c>
      <c r="M24" s="23">
        <f t="shared" si="7"/>
        <v>0.13941018766756033</v>
      </c>
    </row>
    <row r="25" spans="1:13" x14ac:dyDescent="0.2">
      <c r="A25" t="s">
        <v>14</v>
      </c>
      <c r="B25" s="19">
        <f t="shared" si="5"/>
        <v>0.15833333333333333</v>
      </c>
      <c r="C25" s="19">
        <f t="shared" si="5"/>
        <v>5.8823529411764705E-2</v>
      </c>
      <c r="D25" s="19">
        <f t="shared" si="5"/>
        <v>0.12359550561797752</v>
      </c>
      <c r="E25" s="19">
        <f t="shared" si="5"/>
        <v>8.4745762711864403E-2</v>
      </c>
      <c r="F25" s="27">
        <f t="shared" si="5"/>
        <v>0.14634146341463414</v>
      </c>
      <c r="G25" s="27">
        <f t="shared" si="5"/>
        <v>0.1554054054054054</v>
      </c>
      <c r="H25" s="19">
        <f t="shared" si="5"/>
        <v>0.15702479338842976</v>
      </c>
      <c r="I25" s="19">
        <f t="shared" si="5"/>
        <v>0.17391304347826086</v>
      </c>
      <c r="J25" s="19">
        <f t="shared" si="5"/>
        <v>0.12987012987012986</v>
      </c>
      <c r="K25" s="20">
        <f t="shared" ref="K25" si="11">K7/K$12</f>
        <v>0.14013605442176871</v>
      </c>
      <c r="L25" s="21">
        <f t="shared" si="7"/>
        <v>9.0909090909090912E-2</v>
      </c>
      <c r="M25" s="23">
        <f t="shared" si="7"/>
        <v>0.13941018766756033</v>
      </c>
    </row>
    <row r="26" spans="1:13" x14ac:dyDescent="0.2">
      <c r="A26" t="s">
        <v>48</v>
      </c>
      <c r="B26" s="19">
        <f t="shared" si="5"/>
        <v>4.1666666666666664E-2</v>
      </c>
      <c r="C26" s="19">
        <f t="shared" si="5"/>
        <v>0</v>
      </c>
      <c r="D26" s="19">
        <f t="shared" si="5"/>
        <v>5.6179775280898875E-2</v>
      </c>
      <c r="E26" s="19">
        <f t="shared" si="5"/>
        <v>8.4745762711864403E-2</v>
      </c>
      <c r="F26" s="27">
        <f t="shared" si="5"/>
        <v>0.12195121951219512</v>
      </c>
      <c r="G26" s="27">
        <f t="shared" si="5"/>
        <v>0.12162162162162163</v>
      </c>
      <c r="H26" s="19">
        <f t="shared" si="5"/>
        <v>4.9586776859504134E-2</v>
      </c>
      <c r="I26" s="19">
        <f t="shared" si="5"/>
        <v>2.1739130434782608E-2</v>
      </c>
      <c r="J26" s="19">
        <f t="shared" si="5"/>
        <v>5.1948051948051951E-2</v>
      </c>
      <c r="K26" s="20">
        <f t="shared" ref="K26" si="12">K8/K$12</f>
        <v>6.6666666666666666E-2</v>
      </c>
      <c r="L26" s="21">
        <f t="shared" si="7"/>
        <v>0</v>
      </c>
      <c r="M26" s="23">
        <f t="shared" si="7"/>
        <v>6.5683646112600538E-2</v>
      </c>
    </row>
    <row r="27" spans="1:13" x14ac:dyDescent="0.2">
      <c r="A27" t="s">
        <v>18</v>
      </c>
      <c r="B27" s="19">
        <f t="shared" si="5"/>
        <v>6.6666666666666666E-2</v>
      </c>
      <c r="C27" s="19">
        <f t="shared" si="5"/>
        <v>0</v>
      </c>
      <c r="D27" s="19">
        <f t="shared" si="5"/>
        <v>6.741573033707865E-2</v>
      </c>
      <c r="E27" s="19">
        <f t="shared" si="5"/>
        <v>1.6949152542372881E-2</v>
      </c>
      <c r="F27" s="27">
        <f t="shared" si="5"/>
        <v>9.7560975609756101E-2</v>
      </c>
      <c r="G27" s="27">
        <f t="shared" si="5"/>
        <v>6.7567567567567571E-2</v>
      </c>
      <c r="H27" s="19">
        <f t="shared" si="5"/>
        <v>5.7851239669421489E-2</v>
      </c>
      <c r="I27" s="19">
        <f t="shared" si="5"/>
        <v>2.1739130434782608E-2</v>
      </c>
      <c r="J27" s="19">
        <f t="shared" si="5"/>
        <v>2.5974025974025976E-2</v>
      </c>
      <c r="K27" s="20">
        <f t="shared" ref="K27" si="13">K9/K$12</f>
        <v>5.3061224489795916E-2</v>
      </c>
      <c r="L27" s="21">
        <f t="shared" si="7"/>
        <v>0</v>
      </c>
      <c r="M27" s="23">
        <f t="shared" si="7"/>
        <v>5.2278820375335121E-2</v>
      </c>
    </row>
    <row r="28" spans="1:13" x14ac:dyDescent="0.2">
      <c r="A28" t="s">
        <v>47</v>
      </c>
      <c r="B28" s="19">
        <f t="shared" si="5"/>
        <v>4.1666666666666664E-2</v>
      </c>
      <c r="C28" s="19">
        <f t="shared" si="5"/>
        <v>0</v>
      </c>
      <c r="D28" s="19">
        <f t="shared" si="5"/>
        <v>4.49438202247191E-2</v>
      </c>
      <c r="E28" s="19">
        <f t="shared" si="5"/>
        <v>0</v>
      </c>
      <c r="F28" s="27">
        <f t="shared" si="5"/>
        <v>4.878048780487805E-2</v>
      </c>
      <c r="G28" s="27">
        <f t="shared" si="5"/>
        <v>2.7027027027027029E-2</v>
      </c>
      <c r="H28" s="19">
        <f t="shared" si="5"/>
        <v>2.4793388429752067E-2</v>
      </c>
      <c r="I28" s="19">
        <f t="shared" si="5"/>
        <v>2.1739130434782608E-2</v>
      </c>
      <c r="J28" s="19">
        <f t="shared" si="5"/>
        <v>3.896103896103896E-2</v>
      </c>
      <c r="K28" s="20">
        <f t="shared" ref="K28" si="14">K10/K$12</f>
        <v>2.9931972789115645E-2</v>
      </c>
      <c r="L28" s="21">
        <f t="shared" si="7"/>
        <v>9.0909090909090912E-2</v>
      </c>
      <c r="M28" s="23">
        <f t="shared" si="7"/>
        <v>3.0831099195710455E-2</v>
      </c>
    </row>
    <row r="29" spans="1:13" x14ac:dyDescent="0.2">
      <c r="A29" t="s">
        <v>39</v>
      </c>
      <c r="B29" s="19">
        <f t="shared" si="5"/>
        <v>4.1666666666666664E-2</v>
      </c>
      <c r="C29" s="19">
        <f t="shared" si="5"/>
        <v>5.8823529411764705E-2</v>
      </c>
      <c r="D29" s="26">
        <f t="shared" si="5"/>
        <v>7.8651685393258425E-2</v>
      </c>
      <c r="E29" s="19">
        <f t="shared" si="5"/>
        <v>8.4745762711864403E-2</v>
      </c>
      <c r="F29" s="27">
        <f>F11/F$12</f>
        <v>0.1951219512195122</v>
      </c>
      <c r="G29" s="27">
        <f t="shared" si="5"/>
        <v>8.1081081081081086E-2</v>
      </c>
      <c r="H29" s="19">
        <f t="shared" si="5"/>
        <v>9.9173553719008267E-2</v>
      </c>
      <c r="I29" s="19">
        <f t="shared" si="5"/>
        <v>4.3478260869565216E-2</v>
      </c>
      <c r="J29" s="19">
        <f t="shared" si="5"/>
        <v>5.1948051948051951E-2</v>
      </c>
      <c r="K29" s="20">
        <f t="shared" ref="K29" si="15">K11/K$12</f>
        <v>7.7551020408163265E-2</v>
      </c>
      <c r="L29" s="21">
        <f t="shared" si="7"/>
        <v>9.0909090909090912E-2</v>
      </c>
      <c r="M29" s="23">
        <f t="shared" si="7"/>
        <v>7.7747989276139406E-2</v>
      </c>
    </row>
    <row r="30" spans="1:13" x14ac:dyDescent="0.2">
      <c r="A30" s="13" t="s">
        <v>199</v>
      </c>
      <c r="B30" s="20">
        <f t="shared" si="5"/>
        <v>1</v>
      </c>
      <c r="C30" s="20">
        <f t="shared" si="5"/>
        <v>1</v>
      </c>
      <c r="D30" s="20">
        <f t="shared" si="5"/>
        <v>1</v>
      </c>
      <c r="E30" s="20">
        <f t="shared" si="5"/>
        <v>1</v>
      </c>
      <c r="F30" s="20">
        <f t="shared" si="5"/>
        <v>1</v>
      </c>
      <c r="G30" s="20">
        <f t="shared" si="5"/>
        <v>1</v>
      </c>
      <c r="H30" s="20">
        <f t="shared" si="5"/>
        <v>1</v>
      </c>
      <c r="I30" s="20">
        <f t="shared" si="5"/>
        <v>1</v>
      </c>
      <c r="J30" s="20">
        <f t="shared" si="5"/>
        <v>1</v>
      </c>
      <c r="K30" s="20">
        <f t="shared" ref="K30" si="16">K12/K$12</f>
        <v>1</v>
      </c>
      <c r="L30" s="21"/>
      <c r="M30" s="23"/>
    </row>
    <row r="31" spans="1:13" x14ac:dyDescent="0.2">
      <c r="A31" s="8" t="s">
        <v>13</v>
      </c>
      <c r="B31" s="21">
        <f t="shared" ref="B31:I31" si="17">B13/B$15</f>
        <v>0.14893617021276595</v>
      </c>
      <c r="C31" s="21">
        <f t="shared" si="17"/>
        <v>0.17073170731707318</v>
      </c>
      <c r="D31" s="21">
        <f t="shared" si="17"/>
        <v>0.14423076923076922</v>
      </c>
      <c r="E31" s="21">
        <f t="shared" si="17"/>
        <v>0.18055555555555555</v>
      </c>
      <c r="F31" s="21">
        <f t="shared" si="17"/>
        <v>0.21153846153846154</v>
      </c>
      <c r="G31" s="21">
        <f t="shared" si="17"/>
        <v>0.2</v>
      </c>
      <c r="H31" s="21">
        <f t="shared" si="17"/>
        <v>0.21428571428571427</v>
      </c>
      <c r="I31" s="21">
        <f t="shared" si="17"/>
        <v>0.14814814814814814</v>
      </c>
      <c r="J31" s="21">
        <f>J13/J$15</f>
        <v>0.1702127659574468</v>
      </c>
      <c r="K31" s="8"/>
      <c r="L31" s="21">
        <f>L13/L$15</f>
        <v>0.25806451612903225</v>
      </c>
      <c r="M31" s="23">
        <f t="shared" ref="M31" si="18">M13/M$15</f>
        <v>0.18211206896551724</v>
      </c>
    </row>
    <row r="32" spans="1:13" x14ac:dyDescent="0.2">
      <c r="A32" s="8" t="s">
        <v>8</v>
      </c>
      <c r="B32" s="21">
        <f t="shared" ref="B32:I33" si="19">B14/B$15</f>
        <v>0</v>
      </c>
      <c r="C32" s="21">
        <f t="shared" si="19"/>
        <v>0</v>
      </c>
      <c r="D32" s="21">
        <f t="shared" si="19"/>
        <v>0</v>
      </c>
      <c r="E32" s="21">
        <f t="shared" si="19"/>
        <v>0</v>
      </c>
      <c r="F32" s="21">
        <f t="shared" si="19"/>
        <v>0</v>
      </c>
      <c r="G32" s="21">
        <f t="shared" si="19"/>
        <v>0</v>
      </c>
      <c r="H32" s="21">
        <f t="shared" si="19"/>
        <v>0</v>
      </c>
      <c r="I32" s="21">
        <f t="shared" si="19"/>
        <v>0</v>
      </c>
      <c r="J32" s="21">
        <f t="shared" ref="J32:M32" si="20">J14/J$15</f>
        <v>1.0638297872340425E-2</v>
      </c>
      <c r="K32" s="8"/>
      <c r="L32" s="21">
        <f t="shared" si="20"/>
        <v>0.38709677419354838</v>
      </c>
      <c r="M32" s="23">
        <f t="shared" si="20"/>
        <v>1.4008620689655173E-2</v>
      </c>
    </row>
    <row r="33" spans="1:13" x14ac:dyDescent="0.2">
      <c r="A33" s="18" t="s">
        <v>195</v>
      </c>
      <c r="B33" s="22">
        <f t="shared" si="19"/>
        <v>1</v>
      </c>
      <c r="C33" s="22">
        <f t="shared" si="19"/>
        <v>1</v>
      </c>
      <c r="D33" s="22">
        <f t="shared" si="19"/>
        <v>1</v>
      </c>
      <c r="E33" s="22">
        <f t="shared" si="19"/>
        <v>1</v>
      </c>
      <c r="F33" s="22">
        <f t="shared" si="19"/>
        <v>1</v>
      </c>
      <c r="G33" s="22">
        <f t="shared" si="19"/>
        <v>1</v>
      </c>
      <c r="H33" s="22">
        <f t="shared" si="19"/>
        <v>1</v>
      </c>
      <c r="I33" s="22">
        <f t="shared" si="19"/>
        <v>1</v>
      </c>
      <c r="J33" s="22">
        <f t="shared" ref="J33:M33" si="21">J15/J$15</f>
        <v>1</v>
      </c>
      <c r="K33" s="16"/>
      <c r="L33" s="24">
        <f t="shared" si="21"/>
        <v>1</v>
      </c>
      <c r="M33" s="22">
        <f t="shared" si="21"/>
        <v>1</v>
      </c>
    </row>
    <row r="34" spans="1:13" hidden="1" x14ac:dyDescent="0.2"/>
    <row r="35" spans="1:13" hidden="1" x14ac:dyDescent="0.2"/>
    <row r="36" spans="1:13" hidden="1" x14ac:dyDescent="0.2"/>
    <row r="37" spans="1:13" ht="32" hidden="1" x14ac:dyDescent="0.2">
      <c r="A37" s="10" t="s">
        <v>4</v>
      </c>
      <c r="B37" s="11" t="s">
        <v>30</v>
      </c>
      <c r="C37" s="11" t="s">
        <v>42</v>
      </c>
      <c r="D37" s="11" t="s">
        <v>15</v>
      </c>
      <c r="E37" s="11" t="s">
        <v>34</v>
      </c>
      <c r="F37" s="11" t="s">
        <v>38</v>
      </c>
      <c r="G37" s="11" t="s">
        <v>24</v>
      </c>
      <c r="H37" s="11" t="s">
        <v>12</v>
      </c>
      <c r="I37" s="11" t="s">
        <v>25</v>
      </c>
      <c r="J37" s="11" t="s">
        <v>20</v>
      </c>
      <c r="K37" s="14" t="s">
        <v>198</v>
      </c>
      <c r="L37" s="8" t="s">
        <v>8</v>
      </c>
      <c r="M37" s="18" t="s">
        <v>196</v>
      </c>
    </row>
    <row r="38" spans="1:13" hidden="1" x14ac:dyDescent="0.2">
      <c r="A38" t="s">
        <v>29</v>
      </c>
      <c r="B38" s="19">
        <f t="shared" ref="B38:K38" si="22">B2/$K2</f>
        <v>9.3023255813953487E-2</v>
      </c>
      <c r="C38" s="19">
        <f t="shared" si="22"/>
        <v>0.11627906976744186</v>
      </c>
      <c r="D38" s="19">
        <f t="shared" si="22"/>
        <v>0.13953488372093023</v>
      </c>
      <c r="E38" s="19">
        <f t="shared" si="22"/>
        <v>6.9767441860465115E-2</v>
      </c>
      <c r="F38" s="19">
        <f t="shared" si="22"/>
        <v>4.6511627906976744E-2</v>
      </c>
      <c r="G38" s="19">
        <f t="shared" si="22"/>
        <v>0.20930232558139536</v>
      </c>
      <c r="H38" s="19">
        <f t="shared" si="22"/>
        <v>0.13953488372093023</v>
      </c>
      <c r="I38" s="19">
        <f t="shared" si="22"/>
        <v>0.13953488372093023</v>
      </c>
      <c r="J38" s="19">
        <f t="shared" si="22"/>
        <v>4.6511627906976744E-2</v>
      </c>
      <c r="K38" s="20">
        <f t="shared" si="22"/>
        <v>1</v>
      </c>
      <c r="L38" s="21">
        <f>L2/M2</f>
        <v>4.4444444444444446E-2</v>
      </c>
      <c r="M38" s="22">
        <f>M2/M2</f>
        <v>1</v>
      </c>
    </row>
    <row r="39" spans="1:13" hidden="1" x14ac:dyDescent="0.2">
      <c r="A39" t="s">
        <v>32</v>
      </c>
      <c r="B39" s="19">
        <f t="shared" ref="B39:K39" si="23">B3/$K3</f>
        <v>0.12820512820512819</v>
      </c>
      <c r="C39" s="19">
        <f t="shared" si="23"/>
        <v>7.6923076923076927E-2</v>
      </c>
      <c r="D39" s="19">
        <f t="shared" si="23"/>
        <v>0.12820512820512819</v>
      </c>
      <c r="E39" s="19">
        <f t="shared" si="23"/>
        <v>0.12820512820512819</v>
      </c>
      <c r="F39" s="19">
        <f t="shared" si="23"/>
        <v>6.4102564102564097E-2</v>
      </c>
      <c r="G39" s="19">
        <f t="shared" si="23"/>
        <v>0.17948717948717949</v>
      </c>
      <c r="H39" s="19">
        <f t="shared" si="23"/>
        <v>0.11538461538461539</v>
      </c>
      <c r="I39" s="19">
        <f t="shared" si="23"/>
        <v>7.6923076923076927E-2</v>
      </c>
      <c r="J39" s="19">
        <f t="shared" si="23"/>
        <v>0.10256410256410256</v>
      </c>
      <c r="K39" s="20">
        <f t="shared" si="23"/>
        <v>1</v>
      </c>
      <c r="L39" s="21">
        <f>L3/M3</f>
        <v>3.7037037037037035E-2</v>
      </c>
      <c r="M39" s="22">
        <f>M3/M3</f>
        <v>1</v>
      </c>
    </row>
    <row r="40" spans="1:13" hidden="1" x14ac:dyDescent="0.2">
      <c r="A40" t="s">
        <v>23</v>
      </c>
      <c r="B40" s="19">
        <f t="shared" ref="B40:K40" si="24">B4/$K4</f>
        <v>0.19083969465648856</v>
      </c>
      <c r="C40" s="19">
        <f t="shared" si="24"/>
        <v>5.3435114503816793E-2</v>
      </c>
      <c r="D40" s="19">
        <f t="shared" si="24"/>
        <v>0.10687022900763359</v>
      </c>
      <c r="E40" s="19">
        <f t="shared" si="24"/>
        <v>6.8702290076335881E-2</v>
      </c>
      <c r="F40" s="19">
        <f t="shared" si="24"/>
        <v>3.0534351145038167E-2</v>
      </c>
      <c r="G40" s="19">
        <f t="shared" si="24"/>
        <v>0.20610687022900764</v>
      </c>
      <c r="H40" s="19">
        <f t="shared" si="24"/>
        <v>0.15267175572519084</v>
      </c>
      <c r="I40" s="19">
        <f t="shared" si="24"/>
        <v>4.5801526717557252E-2</v>
      </c>
      <c r="J40" s="19">
        <f t="shared" si="24"/>
        <v>0.14503816793893129</v>
      </c>
      <c r="K40" s="20">
        <f t="shared" si="24"/>
        <v>1</v>
      </c>
      <c r="L40" s="21">
        <f>L4/M4</f>
        <v>7.575757575757576E-3</v>
      </c>
      <c r="M40" s="22">
        <f>M4/M4</f>
        <v>1</v>
      </c>
    </row>
    <row r="41" spans="1:13" hidden="1" x14ac:dyDescent="0.2">
      <c r="A41" t="s">
        <v>11</v>
      </c>
      <c r="B41" s="19">
        <f t="shared" ref="B41:K41" si="25">B5/$K5</f>
        <v>0.15454545454545454</v>
      </c>
      <c r="C41" s="19">
        <f t="shared" si="25"/>
        <v>5.4545454545454543E-2</v>
      </c>
      <c r="D41" s="19">
        <f t="shared" si="25"/>
        <v>0.1</v>
      </c>
      <c r="E41" s="19">
        <f t="shared" si="25"/>
        <v>0.11818181818181818</v>
      </c>
      <c r="F41" s="19">
        <f t="shared" si="25"/>
        <v>2.7272727272727271E-2</v>
      </c>
      <c r="G41" s="19">
        <f t="shared" si="25"/>
        <v>0.14545454545454545</v>
      </c>
      <c r="H41" s="19">
        <f t="shared" si="25"/>
        <v>0.18181818181818182</v>
      </c>
      <c r="I41" s="19">
        <f t="shared" si="25"/>
        <v>6.363636363636363E-2</v>
      </c>
      <c r="J41" s="19">
        <f t="shared" si="25"/>
        <v>0.15454545454545454</v>
      </c>
      <c r="K41" s="20">
        <f t="shared" si="25"/>
        <v>1</v>
      </c>
      <c r="L41" s="21">
        <f>L5/M5</f>
        <v>9.0090090090090089E-3</v>
      </c>
      <c r="M41" s="22">
        <f>M5/M5</f>
        <v>1</v>
      </c>
    </row>
    <row r="42" spans="1:13" hidden="1" x14ac:dyDescent="0.2">
      <c r="A42" t="s">
        <v>33</v>
      </c>
      <c r="B42" s="19">
        <f t="shared" ref="B42:K42" si="26">B6/$K6</f>
        <v>0.21359223300970873</v>
      </c>
      <c r="C42" s="19">
        <f t="shared" si="26"/>
        <v>5.8252427184466021E-2</v>
      </c>
      <c r="D42" s="19">
        <f t="shared" si="26"/>
        <v>0.14563106796116504</v>
      </c>
      <c r="E42" s="19">
        <f t="shared" si="26"/>
        <v>7.7669902912621352E-2</v>
      </c>
      <c r="F42" s="19">
        <f t="shared" si="26"/>
        <v>1.9417475728155338E-2</v>
      </c>
      <c r="G42" s="19">
        <f t="shared" si="26"/>
        <v>0.14563106796116504</v>
      </c>
      <c r="H42" s="19">
        <f t="shared" si="26"/>
        <v>0.18446601941747573</v>
      </c>
      <c r="I42" s="19">
        <f t="shared" si="26"/>
        <v>7.7669902912621352E-2</v>
      </c>
      <c r="J42" s="19">
        <f t="shared" si="26"/>
        <v>7.7669902912621352E-2</v>
      </c>
      <c r="K42" s="20">
        <f t="shared" si="26"/>
        <v>1</v>
      </c>
      <c r="L42" s="21">
        <f>L6/M6</f>
        <v>9.6153846153846159E-3</v>
      </c>
      <c r="M42" s="22">
        <f>M6/M6</f>
        <v>1</v>
      </c>
    </row>
    <row r="43" spans="1:13" hidden="1" x14ac:dyDescent="0.2">
      <c r="A43" t="s">
        <v>14</v>
      </c>
      <c r="B43" s="19">
        <f t="shared" ref="B43:K43" si="27">B7/$K7</f>
        <v>0.18446601941747573</v>
      </c>
      <c r="C43" s="19">
        <f t="shared" si="27"/>
        <v>1.9417475728155338E-2</v>
      </c>
      <c r="D43" s="19">
        <f t="shared" si="27"/>
        <v>0.10679611650485436</v>
      </c>
      <c r="E43" s="19">
        <f t="shared" si="27"/>
        <v>4.8543689320388349E-2</v>
      </c>
      <c r="F43" s="19">
        <f t="shared" si="27"/>
        <v>5.8252427184466021E-2</v>
      </c>
      <c r="G43" s="19">
        <f t="shared" si="27"/>
        <v>0.22330097087378642</v>
      </c>
      <c r="H43" s="19">
        <f t="shared" si="27"/>
        <v>0.18446601941747573</v>
      </c>
      <c r="I43" s="19">
        <f t="shared" si="27"/>
        <v>7.7669902912621352E-2</v>
      </c>
      <c r="J43" s="19">
        <f t="shared" si="27"/>
        <v>9.7087378640776698E-2</v>
      </c>
      <c r="K43" s="20">
        <f t="shared" si="27"/>
        <v>1</v>
      </c>
      <c r="L43" s="21">
        <f>L7/M7</f>
        <v>9.6153846153846159E-3</v>
      </c>
      <c r="M43" s="22">
        <f>M7/M7</f>
        <v>1</v>
      </c>
    </row>
    <row r="44" spans="1:13" hidden="1" x14ac:dyDescent="0.2">
      <c r="A44" t="s">
        <v>48</v>
      </c>
      <c r="B44" s="19">
        <f t="shared" ref="B44:K44" si="28">B8/$K8</f>
        <v>0.10204081632653061</v>
      </c>
      <c r="C44" s="19">
        <f t="shared" si="28"/>
        <v>0</v>
      </c>
      <c r="D44" s="19">
        <f t="shared" si="28"/>
        <v>0.10204081632653061</v>
      </c>
      <c r="E44" s="19">
        <f t="shared" si="28"/>
        <v>0.10204081632653061</v>
      </c>
      <c r="F44" s="19">
        <f t="shared" si="28"/>
        <v>0.10204081632653061</v>
      </c>
      <c r="G44" s="19">
        <f t="shared" si="28"/>
        <v>0.36734693877551022</v>
      </c>
      <c r="H44" s="19">
        <f t="shared" si="28"/>
        <v>0.12244897959183673</v>
      </c>
      <c r="I44" s="19">
        <f t="shared" si="28"/>
        <v>2.0408163265306121E-2</v>
      </c>
      <c r="J44" s="19">
        <f t="shared" si="28"/>
        <v>8.1632653061224483E-2</v>
      </c>
      <c r="K44" s="20">
        <f t="shared" si="28"/>
        <v>1</v>
      </c>
      <c r="L44" s="21">
        <f>L8/M8</f>
        <v>0</v>
      </c>
      <c r="M44" s="22">
        <f>M8/M8</f>
        <v>1</v>
      </c>
    </row>
    <row r="45" spans="1:13" hidden="1" x14ac:dyDescent="0.2">
      <c r="A45" t="s">
        <v>18</v>
      </c>
      <c r="B45" s="19">
        <f t="shared" ref="B45:K45" si="29">B9/$K9</f>
        <v>0.20512820512820512</v>
      </c>
      <c r="C45" s="19">
        <f t="shared" si="29"/>
        <v>0</v>
      </c>
      <c r="D45" s="19">
        <f t="shared" si="29"/>
        <v>0.15384615384615385</v>
      </c>
      <c r="E45" s="19">
        <f t="shared" si="29"/>
        <v>2.564102564102564E-2</v>
      </c>
      <c r="F45" s="19">
        <f t="shared" si="29"/>
        <v>0.10256410256410256</v>
      </c>
      <c r="G45" s="19">
        <f t="shared" si="29"/>
        <v>0.25641025641025639</v>
      </c>
      <c r="H45" s="19">
        <f t="shared" si="29"/>
        <v>0.17948717948717949</v>
      </c>
      <c r="I45" s="19">
        <f t="shared" si="29"/>
        <v>2.564102564102564E-2</v>
      </c>
      <c r="J45" s="19">
        <f t="shared" si="29"/>
        <v>5.128205128205128E-2</v>
      </c>
      <c r="K45" s="20">
        <f t="shared" si="29"/>
        <v>1</v>
      </c>
      <c r="L45" s="21">
        <f>L9/M9</f>
        <v>0</v>
      </c>
      <c r="M45" s="22">
        <f>M9/M9</f>
        <v>1</v>
      </c>
    </row>
    <row r="46" spans="1:13" hidden="1" x14ac:dyDescent="0.2">
      <c r="A46" t="s">
        <v>47</v>
      </c>
      <c r="B46" s="19">
        <f t="shared" ref="B46:K46" si="30">B10/$K10</f>
        <v>0.22727272727272727</v>
      </c>
      <c r="C46" s="19">
        <f t="shared" si="30"/>
        <v>0</v>
      </c>
      <c r="D46" s="19">
        <f t="shared" si="30"/>
        <v>0.18181818181818182</v>
      </c>
      <c r="E46" s="19">
        <f t="shared" si="30"/>
        <v>0</v>
      </c>
      <c r="F46" s="19">
        <f t="shared" si="30"/>
        <v>9.0909090909090912E-2</v>
      </c>
      <c r="G46" s="19">
        <f t="shared" si="30"/>
        <v>0.18181818181818182</v>
      </c>
      <c r="H46" s="19">
        <f t="shared" si="30"/>
        <v>0.13636363636363635</v>
      </c>
      <c r="I46" s="19">
        <f t="shared" si="30"/>
        <v>4.5454545454545456E-2</v>
      </c>
      <c r="J46" s="19">
        <f t="shared" si="30"/>
        <v>0.13636363636363635</v>
      </c>
      <c r="K46" s="20">
        <f t="shared" si="30"/>
        <v>1</v>
      </c>
      <c r="L46" s="21">
        <f>L10/M10</f>
        <v>4.3478260869565216E-2</v>
      </c>
      <c r="M46" s="22">
        <f>M10/M10</f>
        <v>1</v>
      </c>
    </row>
    <row r="47" spans="1:13" hidden="1" x14ac:dyDescent="0.2">
      <c r="A47" t="s">
        <v>39</v>
      </c>
      <c r="B47" s="19">
        <f>B11/$K11</f>
        <v>8.771929824561403E-2</v>
      </c>
      <c r="C47" s="19">
        <f>C11/$K11</f>
        <v>3.5087719298245612E-2</v>
      </c>
      <c r="D47" s="19">
        <f>D11/$K11</f>
        <v>0.12280701754385964</v>
      </c>
      <c r="E47" s="19">
        <f>E11/$K11</f>
        <v>8.771929824561403E-2</v>
      </c>
      <c r="F47" s="19">
        <f>F11/$K11</f>
        <v>0.14035087719298245</v>
      </c>
      <c r="G47" s="19">
        <f>G11/$K11</f>
        <v>0.21052631578947367</v>
      </c>
      <c r="H47" s="19">
        <f>H11/$K11</f>
        <v>0.21052631578947367</v>
      </c>
      <c r="I47" s="19">
        <f>I11/$K11</f>
        <v>3.5087719298245612E-2</v>
      </c>
      <c r="J47" s="19">
        <f>J11/$K11</f>
        <v>7.0175438596491224E-2</v>
      </c>
      <c r="K47" s="20">
        <f>K11/$K11</f>
        <v>1</v>
      </c>
      <c r="L47" s="21">
        <f>L11/M11</f>
        <v>1.7241379310344827E-2</v>
      </c>
      <c r="M47" s="22">
        <f>M11/M11</f>
        <v>1</v>
      </c>
    </row>
    <row r="48" spans="1:13" hidden="1" x14ac:dyDescent="0.2">
      <c r="A48" s="13" t="s">
        <v>197</v>
      </c>
      <c r="B48" s="20">
        <f>B12/$K12</f>
        <v>0.16326530612244897</v>
      </c>
      <c r="C48" s="20">
        <f t="shared" ref="C48:K48" si="31">C12/$K12</f>
        <v>4.6258503401360541E-2</v>
      </c>
      <c r="D48" s="20">
        <f t="shared" si="31"/>
        <v>0.12108843537414966</v>
      </c>
      <c r="E48" s="20">
        <f t="shared" si="31"/>
        <v>8.0272108843537415E-2</v>
      </c>
      <c r="F48" s="20">
        <f t="shared" si="31"/>
        <v>5.5782312925170066E-2</v>
      </c>
      <c r="G48" s="20">
        <f t="shared" si="31"/>
        <v>0.20136054421768707</v>
      </c>
      <c r="H48" s="20">
        <f t="shared" si="31"/>
        <v>0.16462585034013605</v>
      </c>
      <c r="I48" s="20">
        <f t="shared" si="31"/>
        <v>6.2585034013605448E-2</v>
      </c>
      <c r="J48" s="20">
        <f t="shared" si="31"/>
        <v>0.10476190476190476</v>
      </c>
      <c r="K48" s="20">
        <f t="shared" si="31"/>
        <v>1</v>
      </c>
      <c r="L48" s="21"/>
      <c r="M48" s="22"/>
    </row>
    <row r="49" spans="1:15" hidden="1" x14ac:dyDescent="0.2">
      <c r="A49" s="8" t="s">
        <v>13</v>
      </c>
      <c r="B49" s="21">
        <f>B13/SUM($B13:$J13)</f>
        <v>0.13043478260869565</v>
      </c>
      <c r="C49" s="21">
        <f>C13/SUM($B13:$J13)</f>
        <v>4.3478260869565216E-2</v>
      </c>
      <c r="D49" s="21">
        <f>D13/SUM($B13:$J13)</f>
        <v>9.3167701863354033E-2</v>
      </c>
      <c r="E49" s="21">
        <f>E13/SUM($B13:$J13)</f>
        <v>8.0745341614906832E-2</v>
      </c>
      <c r="F49" s="21">
        <f>F13/SUM($B13:$J13)</f>
        <v>6.8322981366459631E-2</v>
      </c>
      <c r="G49" s="21">
        <f>G13/SUM($B13:$J13)</f>
        <v>0.22981366459627328</v>
      </c>
      <c r="H49" s="21">
        <f>H13/SUM($B13:$J13)</f>
        <v>0.20496894409937888</v>
      </c>
      <c r="I49" s="21">
        <f>I13/SUM($B13:$J13)</f>
        <v>4.9689440993788817E-2</v>
      </c>
      <c r="J49" s="21">
        <f>J13/SUM($B13:$J13)</f>
        <v>9.9378881987577633E-2</v>
      </c>
      <c r="K49" s="21"/>
      <c r="L49" s="21">
        <f t="shared" ref="L49:M49" si="32">SUM(L3:L12)/SUM($M3:$M12)</f>
        <v>1.2838801711840228E-2</v>
      </c>
      <c r="M49" s="22">
        <f t="shared" si="32"/>
        <v>1</v>
      </c>
    </row>
    <row r="50" spans="1:15" hidden="1" x14ac:dyDescent="0.2">
      <c r="A50" s="8" t="s">
        <v>8</v>
      </c>
      <c r="B50" s="21">
        <f>B14/SUM($B14:$J14)</f>
        <v>0</v>
      </c>
      <c r="C50" s="21">
        <f>C14/SUM($B14:$J14)</f>
        <v>0</v>
      </c>
      <c r="D50" s="21">
        <f>D14/SUM($B14:$J14)</f>
        <v>0</v>
      </c>
      <c r="E50" s="21">
        <f>E14/SUM($B14:$J14)</f>
        <v>0</v>
      </c>
      <c r="F50" s="21">
        <f>F14/SUM($B14:$J14)</f>
        <v>0</v>
      </c>
      <c r="G50" s="21">
        <f>G14/SUM($B14:$J14)</f>
        <v>0</v>
      </c>
      <c r="H50" s="21">
        <f>H14/SUM($B14:$J14)</f>
        <v>0</v>
      </c>
      <c r="I50" s="21">
        <f>I14/SUM($B14:$J14)</f>
        <v>0</v>
      </c>
      <c r="J50" s="21">
        <f>J14/SUM($B14:$J14)</f>
        <v>1</v>
      </c>
      <c r="K50" s="21"/>
      <c r="L50" s="21">
        <f t="shared" ref="L50:M51" si="33">SUM(L4:L13)/SUM($M4:$M13)</f>
        <v>1.7743979721166033E-2</v>
      </c>
      <c r="M50" s="22">
        <f t="shared" si="33"/>
        <v>1</v>
      </c>
    </row>
    <row r="51" spans="1:15" hidden="1" x14ac:dyDescent="0.2">
      <c r="A51" s="18" t="s">
        <v>195</v>
      </c>
      <c r="B51" s="25">
        <f>B15/SUM($B15:$J15)</f>
        <v>0.15719063545150502</v>
      </c>
      <c r="C51" s="25">
        <f>C15/SUM($B15:$J15)</f>
        <v>4.5707915273132664E-2</v>
      </c>
      <c r="D51" s="25">
        <f>D15/SUM($B15:$J15)</f>
        <v>0.11594202898550725</v>
      </c>
      <c r="E51" s="25">
        <f>E15/SUM($B15:$J15)</f>
        <v>8.0267558528428096E-2</v>
      </c>
      <c r="F51" s="25">
        <f>F15/SUM($B15:$J15)</f>
        <v>5.7971014492753624E-2</v>
      </c>
      <c r="G51" s="25">
        <f>G15/SUM($B15:$J15)</f>
        <v>0.20624303232998886</v>
      </c>
      <c r="H51" s="25">
        <f>H15/SUM($B15:$J15)</f>
        <v>0.17168338907469341</v>
      </c>
      <c r="I51" s="25">
        <f>I15/SUM($B15:$J15)</f>
        <v>6.0200668896321072E-2</v>
      </c>
      <c r="J51" s="25">
        <f>J15/SUM($B15:$J15)</f>
        <v>0.10479375696767002</v>
      </c>
      <c r="K51" s="25"/>
      <c r="L51" s="24">
        <f t="shared" si="33"/>
        <v>3.7313432835820892E-2</v>
      </c>
      <c r="M51" s="22">
        <f t="shared" si="33"/>
        <v>1</v>
      </c>
    </row>
    <row r="54" spans="1:15" x14ac:dyDescent="0.2">
      <c r="A54" s="1" t="s">
        <v>206</v>
      </c>
      <c r="B54" t="s">
        <v>203</v>
      </c>
    </row>
    <row r="55" spans="1:15" ht="32" x14ac:dyDescent="0.2">
      <c r="A55" s="10" t="s">
        <v>4</v>
      </c>
      <c r="B55" t="s">
        <v>29</v>
      </c>
      <c r="C55" t="s">
        <v>32</v>
      </c>
      <c r="D55" t="s">
        <v>23</v>
      </c>
      <c r="E55" t="s">
        <v>11</v>
      </c>
      <c r="F55" t="s">
        <v>33</v>
      </c>
      <c r="G55" t="s">
        <v>14</v>
      </c>
      <c r="H55" t="s">
        <v>48</v>
      </c>
      <c r="I55" t="s">
        <v>18</v>
      </c>
      <c r="J55" t="s">
        <v>47</v>
      </c>
      <c r="K55" t="s">
        <v>39</v>
      </c>
      <c r="L55" s="13" t="s">
        <v>197</v>
      </c>
      <c r="M55" s="8" t="s">
        <v>13</v>
      </c>
      <c r="N55" s="8" t="s">
        <v>8</v>
      </c>
      <c r="O55" s="18" t="s">
        <v>195</v>
      </c>
    </row>
    <row r="56" spans="1:15" x14ac:dyDescent="0.2">
      <c r="A56" s="11" t="s">
        <v>30</v>
      </c>
      <c r="B56" s="19">
        <v>9.3023255813953487E-2</v>
      </c>
      <c r="C56" s="19">
        <v>0.12820512820512819</v>
      </c>
      <c r="D56" s="19">
        <v>0.19083969465648856</v>
      </c>
      <c r="E56" s="19">
        <v>0.15454545454545454</v>
      </c>
      <c r="F56" s="19">
        <v>0.21359223300970873</v>
      </c>
      <c r="G56" s="19">
        <v>0.18446601941747573</v>
      </c>
      <c r="H56" s="19">
        <v>0.10204081632653061</v>
      </c>
      <c r="I56" s="19">
        <v>0.20512820512820512</v>
      </c>
      <c r="J56" s="19">
        <v>0.22727272727272727</v>
      </c>
      <c r="K56" s="19">
        <v>8.771929824561403E-2</v>
      </c>
      <c r="L56" s="20">
        <v>0.16326530612244897</v>
      </c>
      <c r="M56" s="21">
        <v>0.13043478260869565</v>
      </c>
      <c r="N56" s="21">
        <v>0</v>
      </c>
      <c r="O56" s="25">
        <v>0.15719063545150502</v>
      </c>
    </row>
    <row r="57" spans="1:15" x14ac:dyDescent="0.2">
      <c r="A57" s="11" t="s">
        <v>42</v>
      </c>
      <c r="B57" s="19">
        <v>0.11627906976744186</v>
      </c>
      <c r="C57" s="19">
        <v>7.6923076923076927E-2</v>
      </c>
      <c r="D57" s="19">
        <v>5.3435114503816793E-2</v>
      </c>
      <c r="E57" s="19">
        <v>5.4545454545454543E-2</v>
      </c>
      <c r="F57" s="19">
        <v>5.8252427184466021E-2</v>
      </c>
      <c r="G57" s="19">
        <v>1.9417475728155338E-2</v>
      </c>
      <c r="H57" s="19">
        <v>0</v>
      </c>
      <c r="I57" s="19">
        <v>0</v>
      </c>
      <c r="J57" s="19">
        <v>0</v>
      </c>
      <c r="K57" s="19">
        <v>3.5087719298245612E-2</v>
      </c>
      <c r="L57" s="20">
        <v>4.6258503401360541E-2</v>
      </c>
      <c r="M57" s="21">
        <v>4.3478260869565216E-2</v>
      </c>
      <c r="N57" s="21">
        <v>0</v>
      </c>
      <c r="O57" s="25">
        <v>4.5707915273132664E-2</v>
      </c>
    </row>
    <row r="58" spans="1:15" x14ac:dyDescent="0.2">
      <c r="A58" s="11" t="s">
        <v>15</v>
      </c>
      <c r="B58" s="19">
        <v>0.13953488372093023</v>
      </c>
      <c r="C58" s="19">
        <v>0.12820512820512819</v>
      </c>
      <c r="D58" s="19">
        <v>0.10687022900763359</v>
      </c>
      <c r="E58" s="19">
        <v>0.1</v>
      </c>
      <c r="F58" s="19">
        <v>0.14563106796116504</v>
      </c>
      <c r="G58" s="19">
        <v>0.10679611650485436</v>
      </c>
      <c r="H58" s="19">
        <v>0.10204081632653061</v>
      </c>
      <c r="I58" s="19">
        <v>0.15384615384615385</v>
      </c>
      <c r="J58" s="19">
        <v>0.18181818181818182</v>
      </c>
      <c r="K58" s="19">
        <v>0.12280701754385964</v>
      </c>
      <c r="L58" s="20">
        <v>0.12108843537414966</v>
      </c>
      <c r="M58" s="21">
        <v>9.3167701863354033E-2</v>
      </c>
      <c r="N58" s="21">
        <v>0</v>
      </c>
      <c r="O58" s="25">
        <v>0.11594202898550725</v>
      </c>
    </row>
    <row r="59" spans="1:15" x14ac:dyDescent="0.2">
      <c r="A59" s="11" t="s">
        <v>34</v>
      </c>
      <c r="B59" s="19">
        <v>6.9767441860465115E-2</v>
      </c>
      <c r="C59" s="19">
        <v>0.12820512820512819</v>
      </c>
      <c r="D59" s="19">
        <v>6.8702290076335881E-2</v>
      </c>
      <c r="E59" s="19">
        <v>0.11818181818181818</v>
      </c>
      <c r="F59" s="19">
        <v>7.7669902912621352E-2</v>
      </c>
      <c r="G59" s="19">
        <v>4.8543689320388349E-2</v>
      </c>
      <c r="H59" s="19">
        <v>0.10204081632653061</v>
      </c>
      <c r="I59" s="19">
        <v>2.564102564102564E-2</v>
      </c>
      <c r="J59" s="19">
        <v>0</v>
      </c>
      <c r="K59" s="19">
        <v>8.771929824561403E-2</v>
      </c>
      <c r="L59" s="20">
        <v>8.0272108843537415E-2</v>
      </c>
      <c r="M59" s="21">
        <v>8.0745341614906832E-2</v>
      </c>
      <c r="N59" s="21">
        <v>0</v>
      </c>
      <c r="O59" s="25">
        <v>8.0267558528428096E-2</v>
      </c>
    </row>
    <row r="60" spans="1:15" x14ac:dyDescent="0.2">
      <c r="A60" s="11" t="s">
        <v>38</v>
      </c>
      <c r="B60" s="19">
        <v>4.6511627906976744E-2</v>
      </c>
      <c r="C60" s="19">
        <v>6.4102564102564097E-2</v>
      </c>
      <c r="D60" s="19">
        <v>3.0534351145038167E-2</v>
      </c>
      <c r="E60" s="19">
        <v>2.7272727272727271E-2</v>
      </c>
      <c r="F60" s="19">
        <v>1.9417475728155338E-2</v>
      </c>
      <c r="G60" s="19">
        <v>5.8252427184466021E-2</v>
      </c>
      <c r="H60" s="19">
        <v>0.10204081632653061</v>
      </c>
      <c r="I60" s="19">
        <v>0.10256410256410256</v>
      </c>
      <c r="J60" s="19">
        <v>9.0909090909090912E-2</v>
      </c>
      <c r="K60" s="19">
        <v>0.14035087719298245</v>
      </c>
      <c r="L60" s="20">
        <v>5.5782312925170066E-2</v>
      </c>
      <c r="M60" s="21">
        <v>6.8322981366459631E-2</v>
      </c>
      <c r="N60" s="21">
        <v>0</v>
      </c>
      <c r="O60" s="25">
        <v>5.7971014492753624E-2</v>
      </c>
    </row>
    <row r="61" spans="1:15" x14ac:dyDescent="0.2">
      <c r="A61" s="11" t="s">
        <v>24</v>
      </c>
      <c r="B61" s="19">
        <v>0.20930232558139536</v>
      </c>
      <c r="C61" s="19">
        <v>0.17948717948717949</v>
      </c>
      <c r="D61" s="19">
        <v>0.20610687022900764</v>
      </c>
      <c r="E61" s="19">
        <v>0.14545454545454545</v>
      </c>
      <c r="F61" s="19">
        <v>0.14563106796116504</v>
      </c>
      <c r="G61" s="19">
        <v>0.22330097087378642</v>
      </c>
      <c r="H61" s="27">
        <v>0.36734693877551022</v>
      </c>
      <c r="I61" s="27">
        <v>0.25641025641025639</v>
      </c>
      <c r="J61" s="27">
        <v>0.18181818181818182</v>
      </c>
      <c r="K61" s="27">
        <v>0.21052631578947367</v>
      </c>
      <c r="L61" s="20">
        <v>0.20136054421768707</v>
      </c>
      <c r="M61" s="21">
        <v>0.22981366459627328</v>
      </c>
      <c r="N61" s="21">
        <v>0</v>
      </c>
      <c r="O61" s="25">
        <v>0.20624303232998886</v>
      </c>
    </row>
    <row r="62" spans="1:15" x14ac:dyDescent="0.2">
      <c r="A62" s="11" t="s">
        <v>12</v>
      </c>
      <c r="B62" s="19">
        <v>0.13953488372093023</v>
      </c>
      <c r="C62" s="19">
        <v>0.11538461538461539</v>
      </c>
      <c r="D62" s="19">
        <v>0.15267175572519084</v>
      </c>
      <c r="E62" s="19">
        <v>0.18181818181818182</v>
      </c>
      <c r="F62" s="19">
        <v>0.18446601941747573</v>
      </c>
      <c r="G62" s="19">
        <v>0.18446601941747573</v>
      </c>
      <c r="H62" s="19">
        <v>0.12244897959183673</v>
      </c>
      <c r="I62" s="19">
        <v>0.17948717948717949</v>
      </c>
      <c r="J62" s="19">
        <v>0.13636363636363635</v>
      </c>
      <c r="K62" s="19">
        <v>0.21052631578947367</v>
      </c>
      <c r="L62" s="20">
        <v>0.16462585034013605</v>
      </c>
      <c r="M62" s="21">
        <v>0.20496894409937888</v>
      </c>
      <c r="N62" s="21">
        <v>0</v>
      </c>
      <c r="O62" s="25">
        <v>0.17168338907469341</v>
      </c>
    </row>
    <row r="63" spans="1:15" x14ac:dyDescent="0.2">
      <c r="A63" s="11" t="s">
        <v>25</v>
      </c>
      <c r="B63" s="19">
        <v>0.13953488372093023</v>
      </c>
      <c r="C63" s="19">
        <v>7.6923076923076927E-2</v>
      </c>
      <c r="D63" s="19">
        <v>4.5801526717557252E-2</v>
      </c>
      <c r="E63" s="19">
        <v>6.363636363636363E-2</v>
      </c>
      <c r="F63" s="19">
        <v>7.7669902912621352E-2</v>
      </c>
      <c r="G63" s="19">
        <v>7.7669902912621352E-2</v>
      </c>
      <c r="H63" s="19">
        <v>2.0408163265306121E-2</v>
      </c>
      <c r="I63" s="19">
        <v>2.564102564102564E-2</v>
      </c>
      <c r="J63" s="19">
        <v>4.5454545454545456E-2</v>
      </c>
      <c r="K63" s="19">
        <v>3.5087719298245612E-2</v>
      </c>
      <c r="L63" s="20">
        <v>6.2585034013605448E-2</v>
      </c>
      <c r="M63" s="21">
        <v>4.9689440993788817E-2</v>
      </c>
      <c r="N63" s="21">
        <v>0</v>
      </c>
      <c r="O63" s="25">
        <v>6.0200668896321072E-2</v>
      </c>
    </row>
    <row r="64" spans="1:15" x14ac:dyDescent="0.2">
      <c r="A64" s="11" t="s">
        <v>20</v>
      </c>
      <c r="B64" s="19">
        <v>4.6511627906976744E-2</v>
      </c>
      <c r="C64" s="19">
        <v>0.10256410256410256</v>
      </c>
      <c r="D64" s="19">
        <v>0.14503816793893129</v>
      </c>
      <c r="E64" s="19">
        <v>0.15454545454545454</v>
      </c>
      <c r="F64" s="19">
        <v>7.7669902912621352E-2</v>
      </c>
      <c r="G64" s="19">
        <v>9.7087378640776698E-2</v>
      </c>
      <c r="H64" s="19">
        <v>8.1632653061224483E-2</v>
      </c>
      <c r="I64" s="19">
        <v>5.128205128205128E-2</v>
      </c>
      <c r="J64" s="19">
        <v>0.13636363636363635</v>
      </c>
      <c r="K64" s="19">
        <v>7.0175438596491224E-2</v>
      </c>
      <c r="L64" s="20">
        <v>0.10476190476190476</v>
      </c>
      <c r="M64" s="21">
        <v>9.9378881987577633E-2</v>
      </c>
      <c r="N64" s="21">
        <v>1</v>
      </c>
      <c r="O64" s="25">
        <v>0.10479375696767002</v>
      </c>
    </row>
    <row r="65" spans="1:15" x14ac:dyDescent="0.2">
      <c r="A65" s="14" t="s">
        <v>198</v>
      </c>
      <c r="B65" s="20">
        <v>1</v>
      </c>
      <c r="C65" s="20">
        <v>1</v>
      </c>
      <c r="D65" s="20">
        <v>1</v>
      </c>
      <c r="E65" s="20">
        <v>1</v>
      </c>
      <c r="F65" s="20">
        <v>1</v>
      </c>
      <c r="G65" s="20">
        <v>1</v>
      </c>
      <c r="H65" s="20">
        <v>1</v>
      </c>
      <c r="I65" s="20">
        <v>1</v>
      </c>
      <c r="J65" s="20">
        <v>1</v>
      </c>
      <c r="K65" s="20">
        <v>1</v>
      </c>
      <c r="L65" s="20">
        <v>1</v>
      </c>
      <c r="M65" s="21"/>
      <c r="N65" s="21"/>
      <c r="O65" s="25"/>
    </row>
    <row r="66" spans="1:15" x14ac:dyDescent="0.2">
      <c r="A66" s="8" t="s">
        <v>8</v>
      </c>
      <c r="B66" s="21">
        <v>4.4444444444444446E-2</v>
      </c>
      <c r="C66" s="21">
        <v>3.7037037037037035E-2</v>
      </c>
      <c r="D66" s="21">
        <v>7.575757575757576E-3</v>
      </c>
      <c r="E66" s="21">
        <v>9.0090090090090089E-3</v>
      </c>
      <c r="F66" s="21">
        <v>9.6153846153846159E-3</v>
      </c>
      <c r="G66" s="21">
        <v>9.6153846153846159E-3</v>
      </c>
      <c r="H66" s="21">
        <v>0</v>
      </c>
      <c r="I66" s="21">
        <v>0</v>
      </c>
      <c r="J66" s="21">
        <v>4.3478260869565216E-2</v>
      </c>
      <c r="K66" s="21">
        <v>1.7241379310344827E-2</v>
      </c>
      <c r="L66" s="21"/>
      <c r="M66" s="21">
        <v>1.2838801711840228E-2</v>
      </c>
      <c r="N66" s="21">
        <v>1.7743979721166033E-2</v>
      </c>
      <c r="O66" s="24">
        <v>3.7313432835820892E-2</v>
      </c>
    </row>
    <row r="67" spans="1:15" x14ac:dyDescent="0.2">
      <c r="A67" s="18" t="s">
        <v>196</v>
      </c>
      <c r="B67" s="22">
        <v>1</v>
      </c>
      <c r="C67" s="22">
        <v>1</v>
      </c>
      <c r="D67" s="22">
        <v>1</v>
      </c>
      <c r="E67" s="22">
        <v>1</v>
      </c>
      <c r="F67" s="22">
        <v>1</v>
      </c>
      <c r="G67" s="22">
        <v>1</v>
      </c>
      <c r="H67" s="22">
        <v>1</v>
      </c>
      <c r="I67" s="22">
        <v>1</v>
      </c>
      <c r="J67" s="22">
        <v>1</v>
      </c>
      <c r="K67" s="22">
        <v>1</v>
      </c>
      <c r="L67" s="22"/>
      <c r="M67" s="22">
        <v>1</v>
      </c>
      <c r="N67" s="22">
        <v>1</v>
      </c>
      <c r="O67" s="22">
        <v>1</v>
      </c>
    </row>
    <row r="73" spans="1:15" ht="32" x14ac:dyDescent="0.2">
      <c r="A73" s="10" t="s">
        <v>3</v>
      </c>
      <c r="B73" s="11" t="s">
        <v>30</v>
      </c>
      <c r="C73" s="11" t="s">
        <v>42</v>
      </c>
      <c r="D73" s="11" t="s">
        <v>15</v>
      </c>
      <c r="E73" s="11" t="s">
        <v>34</v>
      </c>
      <c r="F73" s="11" t="s">
        <v>38</v>
      </c>
      <c r="G73" s="11" t="s">
        <v>24</v>
      </c>
      <c r="H73" s="11" t="s">
        <v>12</v>
      </c>
      <c r="I73" s="11" t="s">
        <v>25</v>
      </c>
      <c r="J73" s="11" t="s">
        <v>20</v>
      </c>
      <c r="K73" s="14" t="s">
        <v>198</v>
      </c>
      <c r="L73" s="8" t="s">
        <v>8</v>
      </c>
      <c r="M73" s="18" t="s">
        <v>196</v>
      </c>
    </row>
    <row r="74" spans="1:15" x14ac:dyDescent="0.2">
      <c r="A74" t="s">
        <v>162</v>
      </c>
      <c r="B74" s="9">
        <f>COUNTIFS('weather-check_no_nulls'!$H:$H,'Histograms-Data Sampling'!$A74,'weather-check_no_nulls'!$M:$M,'Histograms-Data Sampling'!B$1)</f>
        <v>23</v>
      </c>
      <c r="C74" s="9">
        <f>COUNTIFS('weather-check_no_nulls'!$H:$H,'Histograms-Data Sampling'!$A74,'weather-check_no_nulls'!$M:$M,'Histograms-Data Sampling'!C$1)</f>
        <v>5</v>
      </c>
      <c r="D74" s="9">
        <f>COUNTIFS('weather-check_no_nulls'!$H:$H,'Histograms-Data Sampling'!$A74,'weather-check_no_nulls'!$M:$M,'Histograms-Data Sampling'!D$1)</f>
        <v>21</v>
      </c>
      <c r="E74" s="9">
        <f>COUNTIFS('weather-check_no_nulls'!$H:$H,'Histograms-Data Sampling'!$A74,'weather-check_no_nulls'!$M:$M,'Histograms-Data Sampling'!E$1)</f>
        <v>12</v>
      </c>
      <c r="F74" s="9">
        <f>COUNTIFS('weather-check_no_nulls'!$H:$H,'Histograms-Data Sampling'!$A74,'weather-check_no_nulls'!$M:$M,'Histograms-Data Sampling'!F$1)</f>
        <v>17</v>
      </c>
      <c r="G74" s="9">
        <f>COUNTIFS('weather-check_no_nulls'!$H:$H,'Histograms-Data Sampling'!$A74,'weather-check_no_nulls'!$M:$M,'Histograms-Data Sampling'!G$1)</f>
        <v>25</v>
      </c>
      <c r="H74" s="9">
        <f>COUNTIFS('weather-check_no_nulls'!$H:$H,'Histograms-Data Sampling'!$A74,'weather-check_no_nulls'!$M:$M,'Histograms-Data Sampling'!H$1)</f>
        <v>32</v>
      </c>
      <c r="I74" s="9">
        <f>COUNTIFS('weather-check_no_nulls'!$H:$H,'Histograms-Data Sampling'!$A74,'weather-check_no_nulls'!$M:$M,'Histograms-Data Sampling'!I$1)</f>
        <v>11</v>
      </c>
      <c r="J74" s="9">
        <f>COUNTIFS('weather-check_no_nulls'!$H:$H,'Histograms-Data Sampling'!$A74,'weather-check_no_nulls'!$M:$M,'Histograms-Data Sampling'!J$1)</f>
        <v>20</v>
      </c>
      <c r="K74" s="13">
        <f>SUM(B74:J74)</f>
        <v>166</v>
      </c>
      <c r="L74" s="8">
        <f>COUNTIFS('weather-check_no_nulls'!$H:$H,'Histograms-Data Sampling'!$A74,'weather-check_no_nulls'!$M:$M,'Histograms-Data Sampling'!L$1)</f>
        <v>10</v>
      </c>
      <c r="M74" s="18">
        <f>SUM(B74:J74,L74)</f>
        <v>176</v>
      </c>
    </row>
    <row r="75" spans="1:15" x14ac:dyDescent="0.2">
      <c r="A75" t="s">
        <v>161</v>
      </c>
      <c r="B75" s="9">
        <f>COUNTIFS('weather-check_no_nulls'!$H:$H,'Histograms-Data Sampling'!$A75,'weather-check_no_nulls'!$M:$M,'Histograms-Data Sampling'!B$1)</f>
        <v>33</v>
      </c>
      <c r="C75" s="9">
        <f>COUNTIFS('weather-check_no_nulls'!$H:$H,'Histograms-Data Sampling'!$A75,'weather-check_no_nulls'!$M:$M,'Histograms-Data Sampling'!C$1)</f>
        <v>8</v>
      </c>
      <c r="D75" s="9">
        <f>COUNTIFS('weather-check_no_nulls'!$H:$H,'Histograms-Data Sampling'!$A75,'weather-check_no_nulls'!$M:$M,'Histograms-Data Sampling'!D$1)</f>
        <v>26</v>
      </c>
      <c r="E75" s="9">
        <f>COUNTIFS('weather-check_no_nulls'!$H:$H,'Histograms-Data Sampling'!$A75,'weather-check_no_nulls'!$M:$M,'Histograms-Data Sampling'!E$1)</f>
        <v>14</v>
      </c>
      <c r="F75" s="9">
        <f>COUNTIFS('weather-check_no_nulls'!$H:$H,'Histograms-Data Sampling'!$A75,'weather-check_no_nulls'!$M:$M,'Histograms-Data Sampling'!F$1)</f>
        <v>9</v>
      </c>
      <c r="G75" s="9">
        <f>COUNTIFS('weather-check_no_nulls'!$H:$H,'Histograms-Data Sampling'!$A75,'weather-check_no_nulls'!$M:$M,'Histograms-Data Sampling'!G$1)</f>
        <v>37</v>
      </c>
      <c r="H75" s="9">
        <f>COUNTIFS('weather-check_no_nulls'!$H:$H,'Histograms-Data Sampling'!$A75,'weather-check_no_nulls'!$M:$M,'Histograms-Data Sampling'!H$1)</f>
        <v>35</v>
      </c>
      <c r="I75" s="9">
        <f>COUNTIFS('weather-check_no_nulls'!$H:$H,'Histograms-Data Sampling'!$A75,'weather-check_no_nulls'!$M:$M,'Histograms-Data Sampling'!I$1)</f>
        <v>17</v>
      </c>
      <c r="J75" s="9">
        <f>COUNTIFS('weather-check_no_nulls'!$H:$H,'Histograms-Data Sampling'!$A75,'weather-check_no_nulls'!$M:$M,'Histograms-Data Sampling'!J$1)</f>
        <v>20</v>
      </c>
      <c r="K75" s="13">
        <f t="shared" ref="K75:K78" si="34">SUM(B75:J75)</f>
        <v>199</v>
      </c>
      <c r="L75" s="8">
        <f>COUNTIFS('weather-check_no_nulls'!$H:$H,'Histograms-Data Sampling'!$A75,'weather-check_no_nulls'!$M:$M,'Histograms-Data Sampling'!L$1)</f>
        <v>5</v>
      </c>
      <c r="M75" s="18">
        <f t="shared" ref="M75:M77" si="35">SUM(B75:J75,L75)</f>
        <v>204</v>
      </c>
    </row>
    <row r="76" spans="1:15" x14ac:dyDescent="0.2">
      <c r="A76" t="s">
        <v>163</v>
      </c>
      <c r="B76" s="9">
        <f>COUNTIFS('weather-check_no_nulls'!$H:$H,'Histograms-Data Sampling'!$A76,'weather-check_no_nulls'!$M:$M,'Histograms-Data Sampling'!B$1)</f>
        <v>45</v>
      </c>
      <c r="C76" s="9">
        <f>COUNTIFS('weather-check_no_nulls'!$H:$H,'Histograms-Data Sampling'!$A76,'weather-check_no_nulls'!$M:$M,'Histograms-Data Sampling'!C$1)</f>
        <v>15</v>
      </c>
      <c r="D76" s="9">
        <f>COUNTIFS('weather-check_no_nulls'!$H:$H,'Histograms-Data Sampling'!$A76,'weather-check_no_nulls'!$M:$M,'Histograms-Data Sampling'!D$1)</f>
        <v>29</v>
      </c>
      <c r="E76" s="9">
        <f>COUNTIFS('weather-check_no_nulls'!$H:$H,'Histograms-Data Sampling'!$A76,'weather-check_no_nulls'!$M:$M,'Histograms-Data Sampling'!E$1)</f>
        <v>22</v>
      </c>
      <c r="F76" s="9">
        <f>COUNTIFS('weather-check_no_nulls'!$H:$H,'Histograms-Data Sampling'!$A76,'weather-check_no_nulls'!$M:$M,'Histograms-Data Sampling'!F$1)</f>
        <v>12</v>
      </c>
      <c r="G76" s="9">
        <f>COUNTIFS('weather-check_no_nulls'!$H:$H,'Histograms-Data Sampling'!$A76,'weather-check_no_nulls'!$M:$M,'Histograms-Data Sampling'!G$1)</f>
        <v>61</v>
      </c>
      <c r="H76" s="9">
        <f>COUNTIFS('weather-check_no_nulls'!$H:$H,'Histograms-Data Sampling'!$A76,'weather-check_no_nulls'!$M:$M,'Histograms-Data Sampling'!H$1)</f>
        <v>54</v>
      </c>
      <c r="I76" s="9">
        <f>COUNTIFS('weather-check_no_nulls'!$H:$H,'Histograms-Data Sampling'!$A76,'weather-check_no_nulls'!$M:$M,'Histograms-Data Sampling'!I$1)</f>
        <v>11</v>
      </c>
      <c r="J76" s="9">
        <f>COUNTIFS('weather-check_no_nulls'!$H:$H,'Histograms-Data Sampling'!$A76,'weather-check_no_nulls'!$M:$M,'Histograms-Data Sampling'!J$1)</f>
        <v>27</v>
      </c>
      <c r="K76" s="13">
        <f t="shared" si="34"/>
        <v>276</v>
      </c>
      <c r="L76" s="8">
        <f>COUNTIFS('weather-check_no_nulls'!$H:$H,'Histograms-Data Sampling'!$A76,'weather-check_no_nulls'!$M:$M,'Histograms-Data Sampling'!L$1)</f>
        <v>2</v>
      </c>
      <c r="M76" s="18">
        <f t="shared" si="35"/>
        <v>278</v>
      </c>
    </row>
    <row r="77" spans="1:15" x14ac:dyDescent="0.2">
      <c r="A77" t="s">
        <v>43</v>
      </c>
      <c r="B77" s="9">
        <f>COUNTIFS('weather-check_no_nulls'!$H:$H,'Histograms-Data Sampling'!$A77,'weather-check_no_nulls'!$M:$M,'Histograms-Data Sampling'!B$1)</f>
        <v>40</v>
      </c>
      <c r="C77" s="9">
        <f>COUNTIFS('weather-check_no_nulls'!$H:$H,'Histograms-Data Sampling'!$A77,'weather-check_no_nulls'!$M:$M,'Histograms-Data Sampling'!C$1)</f>
        <v>13</v>
      </c>
      <c r="D77" s="9">
        <f>COUNTIFS('weather-check_no_nulls'!$H:$H,'Histograms-Data Sampling'!$A77,'weather-check_no_nulls'!$M:$M,'Histograms-Data Sampling'!D$1)</f>
        <v>28</v>
      </c>
      <c r="E77" s="9">
        <f>COUNTIFS('weather-check_no_nulls'!$H:$H,'Histograms-Data Sampling'!$A77,'weather-check_no_nulls'!$M:$M,'Histograms-Data Sampling'!E$1)</f>
        <v>24</v>
      </c>
      <c r="F77" s="9">
        <f>COUNTIFS('weather-check_no_nulls'!$H:$H,'Histograms-Data Sampling'!$A77,'weather-check_no_nulls'!$M:$M,'Histograms-Data Sampling'!F$1)</f>
        <v>14</v>
      </c>
      <c r="G77" s="9">
        <f>COUNTIFS('weather-check_no_nulls'!$H:$H,'Histograms-Data Sampling'!$A77,'weather-check_no_nulls'!$M:$M,'Histograms-Data Sampling'!G$1)</f>
        <v>62</v>
      </c>
      <c r="H77" s="9">
        <f>COUNTIFS('weather-check_no_nulls'!$H:$H,'Histograms-Data Sampling'!$A77,'weather-check_no_nulls'!$M:$M,'Histograms-Data Sampling'!H$1)</f>
        <v>33</v>
      </c>
      <c r="I77" s="9">
        <f>COUNTIFS('weather-check_no_nulls'!$H:$H,'Histograms-Data Sampling'!$A77,'weather-check_no_nulls'!$M:$M,'Histograms-Data Sampling'!I$1)</f>
        <v>15</v>
      </c>
      <c r="J77" s="9">
        <f>COUNTIFS('weather-check_no_nulls'!$H:$H,'Histograms-Data Sampling'!$A77,'weather-check_no_nulls'!$M:$M,'Histograms-Data Sampling'!J$1)</f>
        <v>27</v>
      </c>
      <c r="K77" s="13">
        <f t="shared" si="34"/>
        <v>256</v>
      </c>
      <c r="L77" s="8">
        <f>COUNTIFS('weather-check_no_nulls'!$H:$H,'Histograms-Data Sampling'!$A77,'weather-check_no_nulls'!$M:$M,'Histograms-Data Sampling'!L$1)</f>
        <v>2</v>
      </c>
      <c r="M77" s="18">
        <f t="shared" si="35"/>
        <v>258</v>
      </c>
    </row>
    <row r="78" spans="1:15" x14ac:dyDescent="0.2">
      <c r="A78" s="13" t="s">
        <v>204</v>
      </c>
      <c r="B78" s="13">
        <f>SUM(B74:B77)</f>
        <v>141</v>
      </c>
      <c r="C78" s="13">
        <f t="shared" ref="C78:J78" si="36">SUM(C74:C77)</f>
        <v>41</v>
      </c>
      <c r="D78" s="13">
        <f t="shared" si="36"/>
        <v>104</v>
      </c>
      <c r="E78" s="13">
        <f t="shared" si="36"/>
        <v>72</v>
      </c>
      <c r="F78" s="13">
        <f t="shared" si="36"/>
        <v>52</v>
      </c>
      <c r="G78" s="13">
        <f t="shared" si="36"/>
        <v>185</v>
      </c>
      <c r="H78" s="13">
        <f t="shared" si="36"/>
        <v>154</v>
      </c>
      <c r="I78" s="13">
        <f t="shared" si="36"/>
        <v>54</v>
      </c>
      <c r="J78" s="13">
        <f t="shared" si="36"/>
        <v>94</v>
      </c>
      <c r="K78" s="13">
        <f t="shared" si="34"/>
        <v>897</v>
      </c>
      <c r="L78" s="8"/>
      <c r="M78" s="18"/>
    </row>
    <row r="79" spans="1:15" x14ac:dyDescent="0.2">
      <c r="A79" s="8" t="s">
        <v>8</v>
      </c>
      <c r="B79" s="8">
        <f>COUNTIFS('weather-check_no_nulls'!$H:$H,'Histograms-Data Sampling'!$A79,'weather-check_no_nulls'!$M:$M,'Histograms-Data Sampling'!B$1)</f>
        <v>0</v>
      </c>
      <c r="C79" s="8">
        <f>COUNTIFS('weather-check_no_nulls'!$H:$H,'Histograms-Data Sampling'!$A79,'weather-check_no_nulls'!$M:$M,'Histograms-Data Sampling'!C$1)</f>
        <v>0</v>
      </c>
      <c r="D79" s="8">
        <f>COUNTIFS('weather-check_no_nulls'!$H:$H,'Histograms-Data Sampling'!$A79,'weather-check_no_nulls'!$M:$M,'Histograms-Data Sampling'!D$1)</f>
        <v>0</v>
      </c>
      <c r="E79" s="8">
        <f>COUNTIFS('weather-check_no_nulls'!$H:$H,'Histograms-Data Sampling'!$A79,'weather-check_no_nulls'!$M:$M,'Histograms-Data Sampling'!E$1)</f>
        <v>0</v>
      </c>
      <c r="F79" s="8">
        <f>COUNTIFS('weather-check_no_nulls'!$H:$H,'Histograms-Data Sampling'!$A79,'weather-check_no_nulls'!$M:$M,'Histograms-Data Sampling'!F$1)</f>
        <v>0</v>
      </c>
      <c r="G79" s="8">
        <f>COUNTIFS('weather-check_no_nulls'!$H:$H,'Histograms-Data Sampling'!$A79,'weather-check_no_nulls'!$M:$M,'Histograms-Data Sampling'!G$1)</f>
        <v>0</v>
      </c>
      <c r="H79" s="8">
        <f>COUNTIFS('weather-check_no_nulls'!$H:$H,'Histograms-Data Sampling'!$A79,'weather-check_no_nulls'!$M:$M,'Histograms-Data Sampling'!H$1)</f>
        <v>0</v>
      </c>
      <c r="I79" s="8">
        <f>COUNTIFS('weather-check_no_nulls'!$H:$H,'Histograms-Data Sampling'!$A79,'weather-check_no_nulls'!$M:$M,'Histograms-Data Sampling'!I$1)</f>
        <v>0</v>
      </c>
      <c r="J79" s="8">
        <f>COUNTIFS('weather-check_no_nulls'!$H:$H,'Histograms-Data Sampling'!$A79,'weather-check_no_nulls'!$M:$M,'Histograms-Data Sampling'!J$1)</f>
        <v>0</v>
      </c>
      <c r="K79" s="8"/>
      <c r="L79" s="8">
        <f>COUNTIFS('weather-check_no_nulls'!$H:$H,'Histograms-Data Sampling'!$A79,'weather-check_no_nulls'!$M:$M,'Histograms-Data Sampling'!L$1)</f>
        <v>12</v>
      </c>
      <c r="M79" s="18">
        <f t="shared" ref="M79" si="37">SUM(B79:J79,L79)</f>
        <v>12</v>
      </c>
    </row>
    <row r="80" spans="1:15" x14ac:dyDescent="0.2">
      <c r="A80" s="18" t="s">
        <v>205</v>
      </c>
      <c r="B80" s="17">
        <f>SUM(B74:B78,B79:B79)</f>
        <v>282</v>
      </c>
      <c r="C80" s="17">
        <f>SUM(C74:C78,C79:C79)</f>
        <v>82</v>
      </c>
      <c r="D80" s="17">
        <f>SUM(D74:D78,D79:D79)</f>
        <v>208</v>
      </c>
      <c r="E80" s="17">
        <f>SUM(E74:E78,E79:E79)</f>
        <v>144</v>
      </c>
      <c r="F80" s="17">
        <f>SUM(F74:F78,F79:F79)</f>
        <v>104</v>
      </c>
      <c r="G80" s="17">
        <f>SUM(G74:G78,G79:G79)</f>
        <v>370</v>
      </c>
      <c r="H80" s="17">
        <f>SUM(H74:H78,H79:H79)</f>
        <v>308</v>
      </c>
      <c r="I80" s="17">
        <f>SUM(I74:I78,I79:I79)</f>
        <v>108</v>
      </c>
      <c r="J80" s="17">
        <f>SUM(J74:J78,J79:J79)</f>
        <v>188</v>
      </c>
      <c r="K80" s="16"/>
      <c r="L80" s="17">
        <f>SUM(L74:L78,L79:L79)</f>
        <v>31</v>
      </c>
      <c r="M80" s="16">
        <f>SUM(M74:M78,M79:M79)</f>
        <v>928</v>
      </c>
    </row>
    <row r="83" spans="1:13" x14ac:dyDescent="0.2">
      <c r="A83" t="s">
        <v>207</v>
      </c>
    </row>
    <row r="84" spans="1:13" ht="32" x14ac:dyDescent="0.2">
      <c r="A84" s="10" t="s">
        <v>3</v>
      </c>
      <c r="B84" s="11" t="s">
        <v>30</v>
      </c>
      <c r="C84" s="11" t="s">
        <v>42</v>
      </c>
      <c r="D84" s="11" t="s">
        <v>15</v>
      </c>
      <c r="E84" s="11" t="s">
        <v>34</v>
      </c>
      <c r="F84" s="11" t="s">
        <v>38</v>
      </c>
      <c r="G84" s="11" t="s">
        <v>24</v>
      </c>
      <c r="H84" s="11" t="s">
        <v>12</v>
      </c>
      <c r="I84" s="11" t="s">
        <v>25</v>
      </c>
      <c r="J84" s="11" t="s">
        <v>20</v>
      </c>
      <c r="K84" s="14" t="s">
        <v>198</v>
      </c>
      <c r="L84" s="8" t="s">
        <v>8</v>
      </c>
      <c r="M84" s="18" t="s">
        <v>196</v>
      </c>
    </row>
    <row r="85" spans="1:13" x14ac:dyDescent="0.2">
      <c r="A85" t="s">
        <v>162</v>
      </c>
      <c r="B85" s="28">
        <f>B74/B$78</f>
        <v>0.16312056737588654</v>
      </c>
      <c r="C85" s="28">
        <f t="shared" ref="C85:K85" si="38">C74/C$78</f>
        <v>0.12195121951219512</v>
      </c>
      <c r="D85" s="28">
        <f t="shared" si="38"/>
        <v>0.20192307692307693</v>
      </c>
      <c r="E85" s="28">
        <f t="shared" si="38"/>
        <v>0.16666666666666666</v>
      </c>
      <c r="F85" s="28">
        <f t="shared" si="38"/>
        <v>0.32692307692307693</v>
      </c>
      <c r="G85" s="28">
        <f t="shared" si="38"/>
        <v>0.13513513513513514</v>
      </c>
      <c r="H85" s="28">
        <f t="shared" si="38"/>
        <v>0.20779220779220781</v>
      </c>
      <c r="I85" s="28">
        <f t="shared" si="38"/>
        <v>0.20370370370370369</v>
      </c>
      <c r="J85" s="28">
        <f t="shared" si="38"/>
        <v>0.21276595744680851</v>
      </c>
      <c r="K85" s="20">
        <f t="shared" si="38"/>
        <v>0.18506131549609811</v>
      </c>
      <c r="L85" s="21">
        <f>L74/SUM(L$74:L$77)</f>
        <v>0.52631578947368418</v>
      </c>
      <c r="M85" s="23">
        <f>M74/SUM(M$74:M$77)</f>
        <v>0.19213973799126638</v>
      </c>
    </row>
    <row r="86" spans="1:13" x14ac:dyDescent="0.2">
      <c r="A86" t="s">
        <v>161</v>
      </c>
      <c r="B86" s="28">
        <f t="shared" ref="B86:K86" si="39">B75/B$78</f>
        <v>0.23404255319148937</v>
      </c>
      <c r="C86" s="28">
        <f t="shared" si="39"/>
        <v>0.1951219512195122</v>
      </c>
      <c r="D86" s="28">
        <f t="shared" si="39"/>
        <v>0.25</v>
      </c>
      <c r="E86" s="28">
        <f t="shared" si="39"/>
        <v>0.19444444444444445</v>
      </c>
      <c r="F86" s="28">
        <f t="shared" si="39"/>
        <v>0.17307692307692307</v>
      </c>
      <c r="G86" s="28">
        <f t="shared" si="39"/>
        <v>0.2</v>
      </c>
      <c r="H86" s="28">
        <f t="shared" si="39"/>
        <v>0.22727272727272727</v>
      </c>
      <c r="I86" s="28">
        <f t="shared" si="39"/>
        <v>0.31481481481481483</v>
      </c>
      <c r="J86" s="28">
        <f t="shared" si="39"/>
        <v>0.21276595744680851</v>
      </c>
      <c r="K86" s="20">
        <f t="shared" si="39"/>
        <v>0.22185061315496099</v>
      </c>
      <c r="L86" s="21">
        <f t="shared" ref="L86:M86" si="40">L75/SUM(L$74:L$77)</f>
        <v>0.26315789473684209</v>
      </c>
      <c r="M86" s="23">
        <f t="shared" si="40"/>
        <v>0.22270742358078602</v>
      </c>
    </row>
    <row r="87" spans="1:13" x14ac:dyDescent="0.2">
      <c r="A87" t="s">
        <v>163</v>
      </c>
      <c r="B87" s="28">
        <f t="shared" ref="B87:K87" si="41">B76/B$78</f>
        <v>0.31914893617021278</v>
      </c>
      <c r="C87" s="28">
        <f t="shared" si="41"/>
        <v>0.36585365853658536</v>
      </c>
      <c r="D87" s="28">
        <f t="shared" si="41"/>
        <v>0.27884615384615385</v>
      </c>
      <c r="E87" s="28">
        <f t="shared" si="41"/>
        <v>0.30555555555555558</v>
      </c>
      <c r="F87" s="28">
        <f t="shared" si="41"/>
        <v>0.23076923076923078</v>
      </c>
      <c r="G87" s="28">
        <f t="shared" si="41"/>
        <v>0.32972972972972975</v>
      </c>
      <c r="H87" s="28">
        <f t="shared" si="41"/>
        <v>0.35064935064935066</v>
      </c>
      <c r="I87" s="28">
        <f t="shared" si="41"/>
        <v>0.20370370370370369</v>
      </c>
      <c r="J87" s="28">
        <f t="shared" si="41"/>
        <v>0.28723404255319152</v>
      </c>
      <c r="K87" s="20">
        <f t="shared" si="41"/>
        <v>0.30769230769230771</v>
      </c>
      <c r="L87" s="21">
        <f t="shared" ref="L87:M87" si="42">L76/SUM(L$74:L$77)</f>
        <v>0.10526315789473684</v>
      </c>
      <c r="M87" s="23">
        <f t="shared" si="42"/>
        <v>0.30349344978165937</v>
      </c>
    </row>
    <row r="88" spans="1:13" x14ac:dyDescent="0.2">
      <c r="A88" t="s">
        <v>43</v>
      </c>
      <c r="B88" s="28">
        <f t="shared" ref="B88:K88" si="43">B77/B$78</f>
        <v>0.28368794326241137</v>
      </c>
      <c r="C88" s="28">
        <f t="shared" si="43"/>
        <v>0.31707317073170732</v>
      </c>
      <c r="D88" s="28">
        <f t="shared" si="43"/>
        <v>0.26923076923076922</v>
      </c>
      <c r="E88" s="28">
        <f t="shared" si="43"/>
        <v>0.33333333333333331</v>
      </c>
      <c r="F88" s="28">
        <f t="shared" si="43"/>
        <v>0.26923076923076922</v>
      </c>
      <c r="G88" s="28">
        <f t="shared" si="43"/>
        <v>0.33513513513513515</v>
      </c>
      <c r="H88" s="28">
        <f t="shared" si="43"/>
        <v>0.21428571428571427</v>
      </c>
      <c r="I88" s="28">
        <f t="shared" si="43"/>
        <v>0.27777777777777779</v>
      </c>
      <c r="J88" s="28">
        <f t="shared" si="43"/>
        <v>0.28723404255319152</v>
      </c>
      <c r="K88" s="20">
        <f t="shared" si="43"/>
        <v>0.28539576365663322</v>
      </c>
      <c r="L88" s="21">
        <f>L77/SUM(L$74:L$77)</f>
        <v>0.10526315789473684</v>
      </c>
      <c r="M88" s="23">
        <f t="shared" ref="M88" si="44">M77/SUM(M$74:M$77)</f>
        <v>0.2816593886462882</v>
      </c>
    </row>
    <row r="89" spans="1:13" x14ac:dyDescent="0.2">
      <c r="A89" s="13" t="s">
        <v>204</v>
      </c>
      <c r="B89" s="20">
        <f t="shared" ref="B89:K89" si="45">B78/B$78</f>
        <v>1</v>
      </c>
      <c r="C89" s="20">
        <f t="shared" si="45"/>
        <v>1</v>
      </c>
      <c r="D89" s="20">
        <f t="shared" si="45"/>
        <v>1</v>
      </c>
      <c r="E89" s="20">
        <f t="shared" si="45"/>
        <v>1</v>
      </c>
      <c r="F89" s="20">
        <f t="shared" si="45"/>
        <v>1</v>
      </c>
      <c r="G89" s="20">
        <f t="shared" si="45"/>
        <v>1</v>
      </c>
      <c r="H89" s="20">
        <f t="shared" si="45"/>
        <v>1</v>
      </c>
      <c r="I89" s="20">
        <f t="shared" si="45"/>
        <v>1</v>
      </c>
      <c r="J89" s="20">
        <f t="shared" si="45"/>
        <v>1</v>
      </c>
      <c r="K89" s="20">
        <f t="shared" si="45"/>
        <v>1</v>
      </c>
      <c r="L89" s="8"/>
      <c r="M89" s="18"/>
    </row>
    <row r="90" spans="1:13" x14ac:dyDescent="0.2">
      <c r="A90" s="8" t="s">
        <v>8</v>
      </c>
      <c r="B90" s="21">
        <f>B79/B80</f>
        <v>0</v>
      </c>
      <c r="C90" s="21">
        <f t="shared" ref="C90:I90" si="46">C79/C80</f>
        <v>0</v>
      </c>
      <c r="D90" s="21">
        <f t="shared" si="46"/>
        <v>0</v>
      </c>
      <c r="E90" s="21">
        <f t="shared" si="46"/>
        <v>0</v>
      </c>
      <c r="F90" s="21">
        <f t="shared" si="46"/>
        <v>0</v>
      </c>
      <c r="G90" s="21">
        <f t="shared" si="46"/>
        <v>0</v>
      </c>
      <c r="H90" s="21">
        <f t="shared" si="46"/>
        <v>0</v>
      </c>
      <c r="I90" s="21">
        <f t="shared" si="46"/>
        <v>0</v>
      </c>
      <c r="J90" s="21">
        <f>J79/J80</f>
        <v>0</v>
      </c>
      <c r="K90" s="8"/>
      <c r="L90" s="21">
        <f>L79/L$80</f>
        <v>0.38709677419354838</v>
      </c>
      <c r="M90" s="24">
        <f>M79/M$80</f>
        <v>1.2931034482758621E-2</v>
      </c>
    </row>
    <row r="91" spans="1:13" x14ac:dyDescent="0.2">
      <c r="A91" s="18" t="s">
        <v>205</v>
      </c>
      <c r="B91" s="22">
        <f>B80/B80</f>
        <v>1</v>
      </c>
      <c r="C91" s="22">
        <f t="shared" ref="C91:I91" si="47">C80/C80</f>
        <v>1</v>
      </c>
      <c r="D91" s="22">
        <f t="shared" si="47"/>
        <v>1</v>
      </c>
      <c r="E91" s="22">
        <f t="shared" si="47"/>
        <v>1</v>
      </c>
      <c r="F91" s="22">
        <f t="shared" si="47"/>
        <v>1</v>
      </c>
      <c r="G91" s="22">
        <f t="shared" si="47"/>
        <v>1</v>
      </c>
      <c r="H91" s="22">
        <f t="shared" si="47"/>
        <v>1</v>
      </c>
      <c r="I91" s="22">
        <f t="shared" si="47"/>
        <v>1</v>
      </c>
      <c r="J91" s="22">
        <f>J80/J80</f>
        <v>1</v>
      </c>
      <c r="K91" s="16"/>
      <c r="L91" s="25">
        <f>L80/L$80</f>
        <v>1</v>
      </c>
      <c r="M91" s="22">
        <f>M80/M$80</f>
        <v>1</v>
      </c>
    </row>
    <row r="95" spans="1:13" ht="32" x14ac:dyDescent="0.2">
      <c r="A95" s="10" t="s">
        <v>3</v>
      </c>
      <c r="B95" s="11" t="s">
        <v>30</v>
      </c>
      <c r="C95" s="11" t="s">
        <v>42</v>
      </c>
      <c r="D95" s="11" t="s">
        <v>15</v>
      </c>
      <c r="E95" s="11" t="s">
        <v>34</v>
      </c>
      <c r="F95" s="11" t="s">
        <v>38</v>
      </c>
      <c r="G95" s="11" t="s">
        <v>24</v>
      </c>
      <c r="H95" s="11" t="s">
        <v>12</v>
      </c>
      <c r="I95" s="11" t="s">
        <v>25</v>
      </c>
      <c r="J95" s="11" t="s">
        <v>20</v>
      </c>
      <c r="K95" s="14" t="s">
        <v>198</v>
      </c>
      <c r="L95" s="8" t="s">
        <v>8</v>
      </c>
      <c r="M95" s="18" t="s">
        <v>196</v>
      </c>
    </row>
    <row r="96" spans="1:13" x14ac:dyDescent="0.2">
      <c r="A96" t="s">
        <v>162</v>
      </c>
      <c r="B96" s="28">
        <f>B74/$K74</f>
        <v>0.13855421686746988</v>
      </c>
      <c r="C96" s="28">
        <f t="shared" ref="C96:K96" si="48">C74/$K74</f>
        <v>3.0120481927710843E-2</v>
      </c>
      <c r="D96" s="28">
        <f t="shared" si="48"/>
        <v>0.12650602409638553</v>
      </c>
      <c r="E96" s="28">
        <f t="shared" si="48"/>
        <v>7.2289156626506021E-2</v>
      </c>
      <c r="F96" s="28">
        <f t="shared" si="48"/>
        <v>0.10240963855421686</v>
      </c>
      <c r="G96" s="28">
        <f t="shared" si="48"/>
        <v>0.15060240963855423</v>
      </c>
      <c r="H96" s="28">
        <f t="shared" si="48"/>
        <v>0.19277108433734941</v>
      </c>
      <c r="I96" s="28">
        <f t="shared" si="48"/>
        <v>6.6265060240963861E-2</v>
      </c>
      <c r="J96" s="28">
        <f t="shared" si="48"/>
        <v>0.12048192771084337</v>
      </c>
      <c r="K96" s="20">
        <f t="shared" si="48"/>
        <v>1</v>
      </c>
      <c r="L96" s="21">
        <f>L74/$M74</f>
        <v>5.6818181818181816E-2</v>
      </c>
      <c r="M96" s="22">
        <f>M74/$M74</f>
        <v>1</v>
      </c>
    </row>
    <row r="97" spans="1:13" x14ac:dyDescent="0.2">
      <c r="A97" t="s">
        <v>161</v>
      </c>
      <c r="B97" s="28">
        <f t="shared" ref="B97:K97" si="49">B75/$K75</f>
        <v>0.16582914572864321</v>
      </c>
      <c r="C97" s="28">
        <f t="shared" si="49"/>
        <v>4.0201005025125629E-2</v>
      </c>
      <c r="D97" s="28">
        <f t="shared" si="49"/>
        <v>0.1306532663316583</v>
      </c>
      <c r="E97" s="28">
        <f t="shared" si="49"/>
        <v>7.0351758793969849E-2</v>
      </c>
      <c r="F97" s="28">
        <f t="shared" si="49"/>
        <v>4.5226130653266333E-2</v>
      </c>
      <c r="G97" s="28">
        <f t="shared" si="49"/>
        <v>0.18592964824120603</v>
      </c>
      <c r="H97" s="28">
        <f t="shared" si="49"/>
        <v>0.17587939698492464</v>
      </c>
      <c r="I97" s="28">
        <f t="shared" si="49"/>
        <v>8.5427135678391955E-2</v>
      </c>
      <c r="J97" s="28">
        <f t="shared" si="49"/>
        <v>0.10050251256281408</v>
      </c>
      <c r="K97" s="20">
        <f t="shared" si="49"/>
        <v>1</v>
      </c>
      <c r="L97" s="21">
        <f t="shared" ref="L97:M97" si="50">L75/$M75</f>
        <v>2.4509803921568627E-2</v>
      </c>
      <c r="M97" s="22">
        <f t="shared" si="50"/>
        <v>1</v>
      </c>
    </row>
    <row r="98" spans="1:13" x14ac:dyDescent="0.2">
      <c r="A98" t="s">
        <v>163</v>
      </c>
      <c r="B98" s="28">
        <f t="shared" ref="B98:K98" si="51">B76/$K76</f>
        <v>0.16304347826086957</v>
      </c>
      <c r="C98" s="28">
        <f t="shared" si="51"/>
        <v>5.434782608695652E-2</v>
      </c>
      <c r="D98" s="28">
        <f t="shared" si="51"/>
        <v>0.10507246376811594</v>
      </c>
      <c r="E98" s="28">
        <f t="shared" si="51"/>
        <v>7.9710144927536225E-2</v>
      </c>
      <c r="F98" s="28">
        <f t="shared" si="51"/>
        <v>4.3478260869565216E-2</v>
      </c>
      <c r="G98" s="28">
        <f t="shared" si="51"/>
        <v>0.2210144927536232</v>
      </c>
      <c r="H98" s="28">
        <f t="shared" si="51"/>
        <v>0.19565217391304349</v>
      </c>
      <c r="I98" s="28">
        <f t="shared" si="51"/>
        <v>3.9855072463768113E-2</v>
      </c>
      <c r="J98" s="28">
        <f t="shared" si="51"/>
        <v>9.7826086956521743E-2</v>
      </c>
      <c r="K98" s="20">
        <f t="shared" si="51"/>
        <v>1</v>
      </c>
      <c r="L98" s="21">
        <f t="shared" ref="L98:M98" si="52">L76/$M76</f>
        <v>7.1942446043165471E-3</v>
      </c>
      <c r="M98" s="22">
        <f t="shared" si="52"/>
        <v>1</v>
      </c>
    </row>
    <row r="99" spans="1:13" x14ac:dyDescent="0.2">
      <c r="A99" t="s">
        <v>43</v>
      </c>
      <c r="B99" s="28">
        <f t="shared" ref="B99:K99" si="53">B77/$K77</f>
        <v>0.15625</v>
      </c>
      <c r="C99" s="28">
        <f t="shared" si="53"/>
        <v>5.078125E-2</v>
      </c>
      <c r="D99" s="28">
        <f t="shared" si="53"/>
        <v>0.109375</v>
      </c>
      <c r="E99" s="28">
        <f t="shared" si="53"/>
        <v>9.375E-2</v>
      </c>
      <c r="F99" s="28">
        <f t="shared" si="53"/>
        <v>5.46875E-2</v>
      </c>
      <c r="G99" s="28">
        <f t="shared" si="53"/>
        <v>0.2421875</v>
      </c>
      <c r="H99" s="28">
        <f t="shared" si="53"/>
        <v>0.12890625</v>
      </c>
      <c r="I99" s="28">
        <f t="shared" si="53"/>
        <v>5.859375E-2</v>
      </c>
      <c r="J99" s="28">
        <f t="shared" si="53"/>
        <v>0.10546875</v>
      </c>
      <c r="K99" s="20">
        <f t="shared" si="53"/>
        <v>1</v>
      </c>
      <c r="L99" s="21">
        <f t="shared" ref="L99:M99" si="54">L77/$M77</f>
        <v>7.7519379844961239E-3</v>
      </c>
      <c r="M99" s="22">
        <f t="shared" si="54"/>
        <v>1</v>
      </c>
    </row>
    <row r="100" spans="1:13" x14ac:dyDescent="0.2">
      <c r="A100" s="13" t="s">
        <v>204</v>
      </c>
      <c r="B100" s="20">
        <f t="shared" ref="B100:K100" si="55">B78/$K78</f>
        <v>0.15719063545150502</v>
      </c>
      <c r="C100" s="20">
        <f t="shared" si="55"/>
        <v>4.5707915273132664E-2</v>
      </c>
      <c r="D100" s="20">
        <f t="shared" si="55"/>
        <v>0.11594202898550725</v>
      </c>
      <c r="E100" s="20">
        <f t="shared" si="55"/>
        <v>8.0267558528428096E-2</v>
      </c>
      <c r="F100" s="20">
        <f t="shared" si="55"/>
        <v>5.7971014492753624E-2</v>
      </c>
      <c r="G100" s="20">
        <f t="shared" si="55"/>
        <v>0.20624303232998886</v>
      </c>
      <c r="H100" s="20">
        <f t="shared" si="55"/>
        <v>0.17168338907469341</v>
      </c>
      <c r="I100" s="20">
        <f t="shared" si="55"/>
        <v>6.0200668896321072E-2</v>
      </c>
      <c r="J100" s="20">
        <f t="shared" si="55"/>
        <v>0.10479375696767002</v>
      </c>
      <c r="K100" s="20">
        <f t="shared" si="55"/>
        <v>1</v>
      </c>
      <c r="L100" s="21"/>
      <c r="M100" s="23"/>
    </row>
    <row r="101" spans="1:13" x14ac:dyDescent="0.2">
      <c r="A101" s="8" t="s">
        <v>8</v>
      </c>
      <c r="B101" s="21" t="str">
        <f>IFERROR(B79/(SUM($B79:$J79)), "NA")</f>
        <v>NA</v>
      </c>
      <c r="C101" s="21" t="str">
        <f t="shared" ref="C101:J102" si="56">IFERROR(C79/(SUM($B79:$J79)), "NA")</f>
        <v>NA</v>
      </c>
      <c r="D101" s="21" t="str">
        <f t="shared" si="56"/>
        <v>NA</v>
      </c>
      <c r="E101" s="21" t="str">
        <f t="shared" si="56"/>
        <v>NA</v>
      </c>
      <c r="F101" s="21" t="str">
        <f t="shared" si="56"/>
        <v>NA</v>
      </c>
      <c r="G101" s="21" t="str">
        <f t="shared" si="56"/>
        <v>NA</v>
      </c>
      <c r="H101" s="21" t="str">
        <f t="shared" si="56"/>
        <v>NA</v>
      </c>
      <c r="I101" s="21" t="str">
        <f t="shared" si="56"/>
        <v>NA</v>
      </c>
      <c r="J101" s="21" t="str">
        <f t="shared" si="56"/>
        <v>NA</v>
      </c>
      <c r="K101" s="21" t="str">
        <f>IFERROR((SUM($B79:$J79))/(SUM($B79:$J79)), "NA")</f>
        <v>NA</v>
      </c>
      <c r="L101" s="21">
        <f>L79/$M79</f>
        <v>1</v>
      </c>
      <c r="M101" s="24">
        <f>M79/$M79</f>
        <v>1</v>
      </c>
    </row>
    <row r="102" spans="1:13" x14ac:dyDescent="0.2">
      <c r="A102" s="18" t="s">
        <v>205</v>
      </c>
      <c r="B102" s="25">
        <f>IFERROR(B80/(SUM($B80:$J80)), "NA")</f>
        <v>0.15719063545150502</v>
      </c>
      <c r="C102" s="25">
        <f t="shared" si="56"/>
        <v>4.5707915273132664E-2</v>
      </c>
      <c r="D102" s="25">
        <f t="shared" si="56"/>
        <v>0.11594202898550725</v>
      </c>
      <c r="E102" s="25">
        <f t="shared" si="56"/>
        <v>8.0267558528428096E-2</v>
      </c>
      <c r="F102" s="25">
        <f t="shared" si="56"/>
        <v>5.7971014492753624E-2</v>
      </c>
      <c r="G102" s="25">
        <f t="shared" si="56"/>
        <v>0.20624303232998886</v>
      </c>
      <c r="H102" s="25">
        <f t="shared" si="56"/>
        <v>0.17168338907469341</v>
      </c>
      <c r="I102" s="25">
        <f t="shared" si="56"/>
        <v>6.0200668896321072E-2</v>
      </c>
      <c r="J102" s="25">
        <f t="shared" si="56"/>
        <v>0.10479375696767002</v>
      </c>
      <c r="K102" s="25">
        <f>IFERROR(SUM($B80:$J80)/(SUM($B80:$J80)), "NA")</f>
        <v>1</v>
      </c>
      <c r="L102" s="25">
        <f>L80/$M80</f>
        <v>3.3405172413793101E-2</v>
      </c>
      <c r="M102" s="22">
        <f>M80/$M80</f>
        <v>1</v>
      </c>
    </row>
    <row r="106" spans="1:13" x14ac:dyDescent="0.2">
      <c r="A106" s="10" t="s">
        <v>3</v>
      </c>
      <c r="B106" t="s">
        <v>162</v>
      </c>
      <c r="C106" t="s">
        <v>161</v>
      </c>
      <c r="D106" t="s">
        <v>163</v>
      </c>
      <c r="E106" t="s">
        <v>43</v>
      </c>
      <c r="F106" s="13" t="s">
        <v>204</v>
      </c>
      <c r="G106" s="8" t="s">
        <v>8</v>
      </c>
      <c r="H106" s="18" t="s">
        <v>205</v>
      </c>
    </row>
    <row r="107" spans="1:13" x14ac:dyDescent="0.2">
      <c r="A107" s="11" t="s">
        <v>30</v>
      </c>
      <c r="B107" s="28">
        <v>0.13855421686746988</v>
      </c>
      <c r="C107" s="28">
        <v>0.16582914572864321</v>
      </c>
      <c r="D107" s="28">
        <v>0.16304347826086957</v>
      </c>
      <c r="E107" s="28">
        <v>0.15625</v>
      </c>
      <c r="F107" s="20">
        <v>0.15719063545150502</v>
      </c>
      <c r="G107" s="21" t="s">
        <v>208</v>
      </c>
      <c r="H107" s="25">
        <v>0.15719063545150502</v>
      </c>
    </row>
    <row r="108" spans="1:13" x14ac:dyDescent="0.2">
      <c r="A108" s="11" t="s">
        <v>42</v>
      </c>
      <c r="B108" s="28">
        <v>3.0120481927710843E-2</v>
      </c>
      <c r="C108" s="28">
        <v>4.0201005025125629E-2</v>
      </c>
      <c r="D108" s="28">
        <v>5.434782608695652E-2</v>
      </c>
      <c r="E108" s="28">
        <v>5.078125E-2</v>
      </c>
      <c r="F108" s="20">
        <v>4.5707915273132664E-2</v>
      </c>
      <c r="G108" s="21" t="s">
        <v>208</v>
      </c>
      <c r="H108" s="25">
        <v>4.5707915273132664E-2</v>
      </c>
    </row>
    <row r="109" spans="1:13" x14ac:dyDescent="0.2">
      <c r="A109" s="11" t="s">
        <v>15</v>
      </c>
      <c r="B109" s="28">
        <v>0.12650602409638553</v>
      </c>
      <c r="C109" s="28">
        <v>0.1306532663316583</v>
      </c>
      <c r="D109" s="28">
        <v>0.10507246376811594</v>
      </c>
      <c r="E109" s="28">
        <v>0.109375</v>
      </c>
      <c r="F109" s="20">
        <v>0.11594202898550725</v>
      </c>
      <c r="G109" s="21" t="s">
        <v>208</v>
      </c>
      <c r="H109" s="25">
        <v>0.11594202898550725</v>
      </c>
    </row>
    <row r="110" spans="1:13" x14ac:dyDescent="0.2">
      <c r="A110" s="11" t="s">
        <v>34</v>
      </c>
      <c r="B110" s="28">
        <v>7.2289156626506021E-2</v>
      </c>
      <c r="C110" s="28">
        <v>7.0351758793969849E-2</v>
      </c>
      <c r="D110" s="28">
        <v>7.9710144927536225E-2</v>
      </c>
      <c r="E110" s="28">
        <v>9.375E-2</v>
      </c>
      <c r="F110" s="20">
        <v>8.0267558528428096E-2</v>
      </c>
      <c r="G110" s="21" t="s">
        <v>208</v>
      </c>
      <c r="H110" s="25">
        <v>8.0267558528428096E-2</v>
      </c>
    </row>
    <row r="111" spans="1:13" x14ac:dyDescent="0.2">
      <c r="A111" s="11" t="s">
        <v>38</v>
      </c>
      <c r="B111" s="28">
        <v>0.10240963855421686</v>
      </c>
      <c r="C111" s="28">
        <v>4.5226130653266333E-2</v>
      </c>
      <c r="D111" s="28">
        <v>4.3478260869565216E-2</v>
      </c>
      <c r="E111" s="28">
        <v>5.46875E-2</v>
      </c>
      <c r="F111" s="20">
        <v>5.7971014492753624E-2</v>
      </c>
      <c r="G111" s="21" t="s">
        <v>208</v>
      </c>
      <c r="H111" s="25">
        <v>5.7971014492753624E-2</v>
      </c>
    </row>
    <row r="112" spans="1:13" x14ac:dyDescent="0.2">
      <c r="A112" s="11" t="s">
        <v>24</v>
      </c>
      <c r="B112" s="28">
        <v>0.15060240963855423</v>
      </c>
      <c r="C112" s="28">
        <v>0.18592964824120603</v>
      </c>
      <c r="D112" s="28">
        <v>0.2210144927536232</v>
      </c>
      <c r="E112" s="28">
        <v>0.2421875</v>
      </c>
      <c r="F112" s="20">
        <v>0.20624303232998886</v>
      </c>
      <c r="G112" s="21" t="s">
        <v>208</v>
      </c>
      <c r="H112" s="25">
        <v>0.20624303232998886</v>
      </c>
    </row>
    <row r="113" spans="1:8" x14ac:dyDescent="0.2">
      <c r="A113" s="11" t="s">
        <v>12</v>
      </c>
      <c r="B113" s="28">
        <v>0.19277108433734941</v>
      </c>
      <c r="C113" s="28">
        <v>0.17587939698492464</v>
      </c>
      <c r="D113" s="28">
        <v>0.19565217391304349</v>
      </c>
      <c r="E113" s="28">
        <v>0.12890625</v>
      </c>
      <c r="F113" s="20">
        <v>0.17168338907469341</v>
      </c>
      <c r="G113" s="21" t="s">
        <v>208</v>
      </c>
      <c r="H113" s="25">
        <v>0.17168338907469341</v>
      </c>
    </row>
    <row r="114" spans="1:8" x14ac:dyDescent="0.2">
      <c r="A114" s="11" t="s">
        <v>25</v>
      </c>
      <c r="B114" s="28">
        <v>6.6265060240963861E-2</v>
      </c>
      <c r="C114" s="28">
        <v>8.5427135678391955E-2</v>
      </c>
      <c r="D114" s="28">
        <v>3.9855072463768113E-2</v>
      </c>
      <c r="E114" s="28">
        <v>5.859375E-2</v>
      </c>
      <c r="F114" s="20">
        <v>6.0200668896321072E-2</v>
      </c>
      <c r="G114" s="21" t="s">
        <v>208</v>
      </c>
      <c r="H114" s="25">
        <v>6.0200668896321072E-2</v>
      </c>
    </row>
    <row r="115" spans="1:8" x14ac:dyDescent="0.2">
      <c r="A115" s="11" t="s">
        <v>20</v>
      </c>
      <c r="B115" s="28">
        <v>0.12048192771084337</v>
      </c>
      <c r="C115" s="28">
        <v>0.10050251256281408</v>
      </c>
      <c r="D115" s="28">
        <v>9.7826086956521743E-2</v>
      </c>
      <c r="E115" s="28">
        <v>0.10546875</v>
      </c>
      <c r="F115" s="20">
        <v>0.10479375696767002</v>
      </c>
      <c r="G115" s="21" t="s">
        <v>208</v>
      </c>
      <c r="H115" s="25">
        <v>0.10479375696767002</v>
      </c>
    </row>
    <row r="116" spans="1:8" x14ac:dyDescent="0.2">
      <c r="A116" s="14" t="s">
        <v>198</v>
      </c>
      <c r="B116" s="20">
        <v>1</v>
      </c>
      <c r="C116" s="20">
        <v>1</v>
      </c>
      <c r="D116" s="20">
        <v>1</v>
      </c>
      <c r="E116" s="20">
        <v>1</v>
      </c>
      <c r="F116" s="20">
        <v>1</v>
      </c>
      <c r="G116" s="21" t="s">
        <v>208</v>
      </c>
      <c r="H116" s="25">
        <v>1</v>
      </c>
    </row>
    <row r="117" spans="1:8" x14ac:dyDescent="0.2">
      <c r="A117" s="8" t="s">
        <v>8</v>
      </c>
      <c r="B117" s="21">
        <v>5.6818181818181816E-2</v>
      </c>
      <c r="C117" s="21">
        <v>2.4509803921568627E-2</v>
      </c>
      <c r="D117" s="21">
        <v>7.1942446043165471E-3</v>
      </c>
      <c r="E117" s="21">
        <v>7.7519379844961239E-3</v>
      </c>
      <c r="F117" s="21"/>
      <c r="G117" s="21">
        <v>1</v>
      </c>
      <c r="H117" s="25">
        <v>3.3405172413793101E-2</v>
      </c>
    </row>
    <row r="118" spans="1:8" x14ac:dyDescent="0.2">
      <c r="A118" s="18" t="s">
        <v>196</v>
      </c>
      <c r="B118" s="22">
        <v>1</v>
      </c>
      <c r="C118" s="22">
        <v>1</v>
      </c>
      <c r="D118" s="22">
        <v>1</v>
      </c>
      <c r="E118" s="22">
        <v>1</v>
      </c>
      <c r="F118" s="23"/>
      <c r="G118" s="24">
        <v>1</v>
      </c>
      <c r="H118" s="22">
        <v>1</v>
      </c>
    </row>
  </sheetData>
  <conditionalFormatting sqref="B20:J29">
    <cfRule type="dataBar" priority="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{3C9794B1-1D93-8746-BC63-041DFFABD3F0}</x14:id>
        </ext>
      </extLst>
    </cfRule>
  </conditionalFormatting>
  <conditionalFormatting sqref="B56:K64"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{5B0F6398-0153-854B-8A6A-FFB2FB1F837D}</x14:id>
        </ext>
      </extLst>
    </cfRule>
  </conditionalFormatting>
  <conditionalFormatting sqref="K20:K29">
    <cfRule type="dataBar" priority="16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{CE932D27-2007-114F-A86E-A1A1521F1BE5}</x14:id>
        </ext>
      </extLst>
    </cfRule>
  </conditionalFormatting>
  <conditionalFormatting sqref="M20:M29">
    <cfRule type="dataBar" priority="15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{1CAE989F-BF14-0540-B66F-0ABEB80BADE0}</x14:id>
        </ext>
      </extLst>
    </cfRule>
  </conditionalFormatting>
  <conditionalFormatting sqref="L56:L64">
    <cfRule type="dataBar" priority="14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{0122D799-A06A-7C43-ACC2-44292EFDEDD6}</x14:id>
        </ext>
      </extLst>
    </cfRule>
  </conditionalFormatting>
  <conditionalFormatting sqref="O56:O64">
    <cfRule type="dataBar" priority="13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{5B30BD75-5C12-E64A-A08A-AEEC843020FD}</x14:id>
        </ext>
      </extLst>
    </cfRule>
  </conditionalFormatting>
  <conditionalFormatting sqref="B85:J88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{7A0F0729-51E1-DA42-8EDE-CCC66A85853F}</x14:id>
        </ext>
      </extLst>
    </cfRule>
  </conditionalFormatting>
  <conditionalFormatting sqref="K85:K87">
    <cfRule type="dataBar" priority="11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{8E6A5496-A07B-C74A-9104-66FB455257C9}</x14:id>
        </ext>
      </extLst>
    </cfRule>
  </conditionalFormatting>
  <conditionalFormatting sqref="K88">
    <cfRule type="dataBar" priority="10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{2EC4F740-BC15-954F-840C-BA6AA60963A3}</x14:id>
        </ext>
      </extLst>
    </cfRule>
  </conditionalFormatting>
  <conditionalFormatting sqref="M85:M88">
    <cfRule type="dataBar" priority="9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{696F5542-3DB9-7E4D-BFE7-245A584DFC3D}</x14:id>
        </ext>
      </extLst>
    </cfRule>
  </conditionalFormatting>
  <conditionalFormatting sqref="B107:E115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{A8C3A827-618F-5449-9C9E-42FB4CAE87F8}</x14:id>
        </ext>
      </extLst>
    </cfRule>
  </conditionalFormatting>
  <conditionalFormatting sqref="F107:F115">
    <cfRule type="dataBar" priority="3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{032A7416-41D3-7444-98AA-9A5A1D2A2F40}</x14:id>
        </ext>
      </extLst>
    </cfRule>
  </conditionalFormatting>
  <conditionalFormatting sqref="H107:H115">
    <cfRule type="dataBar" priority="2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{DAA4EA27-F353-CD40-B4A1-A6D487B02CD2}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C9794B1-1D93-8746-BC63-041DFFABD3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B20:J29</xm:sqref>
        </x14:conditionalFormatting>
        <x14:conditionalFormatting xmlns:xm="http://schemas.microsoft.com/office/excel/2006/main">
          <x14:cfRule type="dataBar" id="{5B0F6398-0153-854B-8A6A-FFB2FB1F837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B56:K64</xm:sqref>
        </x14:conditionalFormatting>
        <x14:conditionalFormatting xmlns:xm="http://schemas.microsoft.com/office/excel/2006/main">
          <x14:cfRule type="dataBar" id="{CE932D27-2007-114F-A86E-A1A1521F1BE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K20:K29</xm:sqref>
        </x14:conditionalFormatting>
        <x14:conditionalFormatting xmlns:xm="http://schemas.microsoft.com/office/excel/2006/main">
          <x14:cfRule type="dataBar" id="{1CAE989F-BF14-0540-B66F-0ABEB80BADE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M20:M29</xm:sqref>
        </x14:conditionalFormatting>
        <x14:conditionalFormatting xmlns:xm="http://schemas.microsoft.com/office/excel/2006/main">
          <x14:cfRule type="dataBar" id="{0122D799-A06A-7C43-ACC2-44292EFDED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L56:L64</xm:sqref>
        </x14:conditionalFormatting>
        <x14:conditionalFormatting xmlns:xm="http://schemas.microsoft.com/office/excel/2006/main">
          <x14:cfRule type="dataBar" id="{5B30BD75-5C12-E64A-A08A-AEEC843020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O56:O64</xm:sqref>
        </x14:conditionalFormatting>
        <x14:conditionalFormatting xmlns:xm="http://schemas.microsoft.com/office/excel/2006/main">
          <x14:cfRule type="dataBar" id="{7A0F0729-51E1-DA42-8EDE-CCC66A85853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B85:J88</xm:sqref>
        </x14:conditionalFormatting>
        <x14:conditionalFormatting xmlns:xm="http://schemas.microsoft.com/office/excel/2006/main">
          <x14:cfRule type="dataBar" id="{8E6A5496-A07B-C74A-9104-66FB455257C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K85:K87</xm:sqref>
        </x14:conditionalFormatting>
        <x14:conditionalFormatting xmlns:xm="http://schemas.microsoft.com/office/excel/2006/main">
          <x14:cfRule type="dataBar" id="{2EC4F740-BC15-954F-840C-BA6AA60963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K88</xm:sqref>
        </x14:conditionalFormatting>
        <x14:conditionalFormatting xmlns:xm="http://schemas.microsoft.com/office/excel/2006/main">
          <x14:cfRule type="dataBar" id="{696F5542-3DB9-7E4D-BFE7-245A584DFC3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M85:M88</xm:sqref>
        </x14:conditionalFormatting>
        <x14:conditionalFormatting xmlns:xm="http://schemas.microsoft.com/office/excel/2006/main">
          <x14:cfRule type="dataBar" id="{A8C3A827-618F-5449-9C9E-42FB4CAE87F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B107:E115</xm:sqref>
        </x14:conditionalFormatting>
        <x14:conditionalFormatting xmlns:xm="http://schemas.microsoft.com/office/excel/2006/main">
          <x14:cfRule type="dataBar" id="{032A7416-41D3-7444-98AA-9A5A1D2A2F4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F107:F115</xm:sqref>
        </x14:conditionalFormatting>
        <x14:conditionalFormatting xmlns:xm="http://schemas.microsoft.com/office/excel/2006/main">
          <x14:cfRule type="dataBar" id="{DAA4EA27-F353-CD40-B4A1-A6D487B02C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H107:H115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20"/>
  <sheetViews>
    <sheetView workbookViewId="0">
      <selection activeCell="H35" sqref="H35"/>
    </sheetView>
  </sheetViews>
  <sheetFormatPr baseColWidth="10" defaultRowHeight="16" x14ac:dyDescent="0.2"/>
  <cols>
    <col min="1" max="1" width="44.33203125" bestFit="1" customWidth="1"/>
    <col min="2" max="2" width="23.33203125" bestFit="1" customWidth="1"/>
    <col min="3" max="3" width="42.1640625" bestFit="1" customWidth="1"/>
    <col min="4" max="4" width="30.83203125" bestFit="1" customWidth="1"/>
    <col min="8" max="8" width="31.5" bestFit="1" customWidth="1"/>
    <col min="14" max="14" width="12.83203125" customWidth="1"/>
  </cols>
  <sheetData>
    <row r="1" spans="1:14" x14ac:dyDescent="0.2">
      <c r="A1" t="s">
        <v>253</v>
      </c>
    </row>
    <row r="2" spans="1:14" x14ac:dyDescent="0.2">
      <c r="A2" s="1" t="s">
        <v>245</v>
      </c>
      <c r="B2" s="1" t="s">
        <v>247</v>
      </c>
      <c r="C2" s="1" t="s">
        <v>246</v>
      </c>
      <c r="D2" s="1" t="s">
        <v>258</v>
      </c>
      <c r="E2" s="1" t="s">
        <v>263</v>
      </c>
      <c r="F2" s="1" t="s">
        <v>268</v>
      </c>
    </row>
    <row r="3" spans="1:14" x14ac:dyDescent="0.2">
      <c r="A3" t="s">
        <v>27</v>
      </c>
      <c r="B3" t="s">
        <v>248</v>
      </c>
      <c r="C3" t="s">
        <v>27</v>
      </c>
      <c r="D3" t="s">
        <v>259</v>
      </c>
      <c r="F3" t="s">
        <v>265</v>
      </c>
    </row>
    <row r="4" spans="1:14" x14ac:dyDescent="0.2">
      <c r="A4" t="s">
        <v>31</v>
      </c>
      <c r="B4" t="s">
        <v>248</v>
      </c>
      <c r="C4" t="s">
        <v>256</v>
      </c>
      <c r="D4" t="s">
        <v>260</v>
      </c>
      <c r="F4" s="34" t="s">
        <v>266</v>
      </c>
    </row>
    <row r="5" spans="1:14" x14ac:dyDescent="0.2">
      <c r="A5" t="s">
        <v>51</v>
      </c>
      <c r="B5" t="s">
        <v>248</v>
      </c>
      <c r="C5" t="s">
        <v>251</v>
      </c>
      <c r="D5" t="s">
        <v>181</v>
      </c>
      <c r="F5" s="34" t="s">
        <v>270</v>
      </c>
    </row>
    <row r="6" spans="1:14" x14ac:dyDescent="0.2">
      <c r="A6" t="s">
        <v>40</v>
      </c>
      <c r="B6" t="s">
        <v>248</v>
      </c>
      <c r="C6" t="s">
        <v>251</v>
      </c>
      <c r="D6" t="s">
        <v>181</v>
      </c>
      <c r="F6" s="35" t="s">
        <v>264</v>
      </c>
    </row>
    <row r="7" spans="1:14" x14ac:dyDescent="0.2">
      <c r="A7" t="s">
        <v>41</v>
      </c>
      <c r="B7" t="s">
        <v>248</v>
      </c>
      <c r="C7" t="s">
        <v>255</v>
      </c>
      <c r="D7" t="s">
        <v>255</v>
      </c>
      <c r="F7" s="34" t="s">
        <v>269</v>
      </c>
    </row>
    <row r="8" spans="1:14" x14ac:dyDescent="0.2">
      <c r="A8" t="s">
        <v>7</v>
      </c>
      <c r="B8" t="s">
        <v>248</v>
      </c>
      <c r="C8" t="s">
        <v>250</v>
      </c>
      <c r="D8" t="s">
        <v>261</v>
      </c>
      <c r="F8" t="s">
        <v>267</v>
      </c>
    </row>
    <row r="9" spans="1:14" x14ac:dyDescent="0.2">
      <c r="A9" t="s">
        <v>21</v>
      </c>
      <c r="B9" t="s">
        <v>139</v>
      </c>
      <c r="C9" t="s">
        <v>252</v>
      </c>
      <c r="D9" t="s">
        <v>259</v>
      </c>
      <c r="F9" s="36" t="s">
        <v>271</v>
      </c>
    </row>
    <row r="10" spans="1:14" x14ac:dyDescent="0.2">
      <c r="A10" s="30" t="s">
        <v>254</v>
      </c>
      <c r="B10" s="30" t="s">
        <v>249</v>
      </c>
      <c r="C10" t="s">
        <v>257</v>
      </c>
      <c r="D10" t="s">
        <v>262</v>
      </c>
    </row>
    <row r="11" spans="1:14" x14ac:dyDescent="0.2">
      <c r="A11" s="6" t="s">
        <v>8</v>
      </c>
      <c r="B11" t="s">
        <v>259</v>
      </c>
      <c r="C11" t="s">
        <v>259</v>
      </c>
      <c r="D11" t="s">
        <v>259</v>
      </c>
    </row>
    <row r="12" spans="1:14" ht="17" thickBot="1" x14ac:dyDescent="0.25"/>
    <row r="13" spans="1:14" ht="17" thickTop="1" x14ac:dyDescent="0.2">
      <c r="E13" s="50" t="s">
        <v>277</v>
      </c>
      <c r="F13" s="51"/>
      <c r="G13" s="51"/>
      <c r="H13" s="51"/>
      <c r="I13" s="51"/>
      <c r="J13" s="51"/>
      <c r="K13" s="51"/>
      <c r="L13" s="51"/>
      <c r="M13" s="51"/>
      <c r="N13" s="52"/>
    </row>
    <row r="14" spans="1:14" x14ac:dyDescent="0.2">
      <c r="C14" t="s">
        <v>273</v>
      </c>
      <c r="D14" t="s">
        <v>101</v>
      </c>
      <c r="E14" s="53" t="s">
        <v>274</v>
      </c>
      <c r="F14" s="54">
        <v>0.41</v>
      </c>
      <c r="G14" s="55" t="s">
        <v>278</v>
      </c>
      <c r="H14" s="56" t="s">
        <v>280</v>
      </c>
      <c r="I14" s="56"/>
      <c r="J14" s="56"/>
      <c r="K14" s="56"/>
      <c r="L14" s="56"/>
      <c r="M14" s="56"/>
      <c r="N14" s="57"/>
    </row>
    <row r="15" spans="1:14" x14ac:dyDescent="0.2">
      <c r="E15" s="53" t="s">
        <v>275</v>
      </c>
      <c r="F15" s="54">
        <v>0.27</v>
      </c>
      <c r="G15" s="55" t="s">
        <v>279</v>
      </c>
      <c r="H15" s="56" t="s">
        <v>280</v>
      </c>
      <c r="I15" s="56"/>
      <c r="J15" s="56"/>
      <c r="K15" s="56"/>
      <c r="L15" s="56"/>
      <c r="M15" s="56"/>
      <c r="N15" s="57"/>
    </row>
    <row r="16" spans="1:14" x14ac:dyDescent="0.2">
      <c r="E16" s="58" t="s">
        <v>272</v>
      </c>
      <c r="F16" s="59">
        <v>7.0000000000000007E-2</v>
      </c>
      <c r="G16" s="56" t="s">
        <v>279</v>
      </c>
      <c r="H16" s="56"/>
      <c r="I16" s="56"/>
      <c r="J16" s="56"/>
      <c r="K16" s="56"/>
      <c r="L16" s="56"/>
      <c r="M16" s="56"/>
      <c r="N16" s="57"/>
    </row>
    <row r="17" spans="5:14" x14ac:dyDescent="0.2">
      <c r="E17" s="58" t="s">
        <v>276</v>
      </c>
      <c r="F17" s="59">
        <f>1-SUM(F14:F16)</f>
        <v>0.25</v>
      </c>
      <c r="G17" s="56"/>
      <c r="H17" s="56"/>
      <c r="I17" s="56"/>
      <c r="J17" s="56"/>
      <c r="K17" s="56"/>
      <c r="L17" s="56"/>
      <c r="M17" s="56"/>
      <c r="N17" s="57"/>
    </row>
    <row r="18" spans="5:14" x14ac:dyDescent="0.2">
      <c r="E18" s="58"/>
      <c r="F18" s="56"/>
      <c r="G18" s="56"/>
      <c r="H18" s="56"/>
      <c r="I18" s="56"/>
      <c r="J18" s="56"/>
      <c r="K18" s="56"/>
      <c r="L18" s="56"/>
      <c r="M18" s="56"/>
      <c r="N18" s="57"/>
    </row>
    <row r="19" spans="5:14" ht="17" thickBot="1" x14ac:dyDescent="0.25">
      <c r="E19" s="60" t="s">
        <v>302</v>
      </c>
      <c r="F19" s="61" t="s">
        <v>301</v>
      </c>
      <c r="G19" s="61"/>
      <c r="H19" s="61"/>
      <c r="I19" s="61"/>
      <c r="J19" s="61"/>
      <c r="K19" s="61"/>
      <c r="L19" s="61"/>
      <c r="M19" s="61"/>
      <c r="N19" s="62"/>
    </row>
    <row r="20" spans="5:14" ht="17" thickTop="1" x14ac:dyDescent="0.2"/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Y101"/>
  <sheetViews>
    <sheetView zoomScale="99" workbookViewId="0">
      <selection activeCell="R28" sqref="R28:S28"/>
    </sheetView>
  </sheetViews>
  <sheetFormatPr baseColWidth="10" defaultRowHeight="16" x14ac:dyDescent="0.2"/>
  <cols>
    <col min="10" max="10" width="17.5" bestFit="1" customWidth="1"/>
    <col min="12" max="12" width="51.83203125" bestFit="1" customWidth="1"/>
    <col min="13" max="13" width="30.1640625" bestFit="1" customWidth="1"/>
    <col min="14" max="14" width="18.83203125" customWidth="1"/>
    <col min="15" max="15" width="26.33203125" bestFit="1" customWidth="1"/>
    <col min="18" max="18" width="44.33203125" bestFit="1" customWidth="1"/>
    <col min="20" max="20" width="28.6640625" bestFit="1" customWidth="1"/>
    <col min="22" max="22" width="18.1640625" bestFit="1" customWidth="1"/>
    <col min="23" max="23" width="12.6640625" bestFit="1" customWidth="1"/>
  </cols>
  <sheetData>
    <row r="1" spans="1:25" x14ac:dyDescent="0.2">
      <c r="A1" s="1" t="s">
        <v>4</v>
      </c>
      <c r="D1" s="1" t="s">
        <v>3</v>
      </c>
      <c r="G1" s="1" t="s">
        <v>2</v>
      </c>
      <c r="J1" s="1" t="s">
        <v>5</v>
      </c>
      <c r="L1" s="1" t="s">
        <v>167</v>
      </c>
      <c r="M1" s="1" t="s">
        <v>190</v>
      </c>
      <c r="N1" s="1" t="s">
        <v>288</v>
      </c>
      <c r="O1" s="1" t="s">
        <v>285</v>
      </c>
      <c r="P1" s="1" t="s">
        <v>191</v>
      </c>
      <c r="R1" s="1" t="s">
        <v>166</v>
      </c>
      <c r="T1" s="1" t="s">
        <v>294</v>
      </c>
      <c r="U1" s="1" t="s">
        <v>191</v>
      </c>
      <c r="V1" s="1" t="s">
        <v>281</v>
      </c>
      <c r="W1" s="1" t="s">
        <v>282</v>
      </c>
    </row>
    <row r="2" spans="1:25" x14ac:dyDescent="0.2">
      <c r="A2" t="s">
        <v>29</v>
      </c>
      <c r="B2">
        <v>1</v>
      </c>
      <c r="D2" t="s">
        <v>162</v>
      </c>
      <c r="E2">
        <v>1</v>
      </c>
      <c r="G2" t="s">
        <v>22</v>
      </c>
      <c r="H2">
        <v>1</v>
      </c>
      <c r="J2" t="s">
        <v>30</v>
      </c>
      <c r="L2" t="s">
        <v>106</v>
      </c>
      <c r="M2" t="s">
        <v>55</v>
      </c>
      <c r="N2" s="43" t="s">
        <v>287</v>
      </c>
      <c r="O2" t="s">
        <v>286</v>
      </c>
      <c r="P2">
        <f>COUNTIF('weather-check_no_nulls'!E:E,L2)</f>
        <v>1</v>
      </c>
      <c r="R2" t="s">
        <v>1</v>
      </c>
      <c r="T2" s="46" t="s">
        <v>21</v>
      </c>
      <c r="U2" s="47">
        <f>COUNTIF('weather-check_no_nulls'!N:N,mappings!T2)+139</f>
        <v>183</v>
      </c>
      <c r="V2" s="48">
        <f>U2/SUM(U$2:U$15)</f>
        <v>0.58280254777070062</v>
      </c>
      <c r="W2" s="49">
        <f>U2/SUM(U$2:U$15,U$17)</f>
        <v>0.17150890346766634</v>
      </c>
      <c r="X2" t="s">
        <v>299</v>
      </c>
      <c r="Y2" t="s">
        <v>300</v>
      </c>
    </row>
    <row r="3" spans="1:25" x14ac:dyDescent="0.2">
      <c r="A3" t="s">
        <v>32</v>
      </c>
      <c r="B3">
        <v>2</v>
      </c>
      <c r="D3" t="s">
        <v>161</v>
      </c>
      <c r="E3">
        <v>2</v>
      </c>
      <c r="G3" t="s">
        <v>28</v>
      </c>
      <c r="H3">
        <v>2</v>
      </c>
      <c r="J3" t="s">
        <v>42</v>
      </c>
      <c r="L3" t="s">
        <v>57</v>
      </c>
      <c r="M3" t="s">
        <v>73</v>
      </c>
      <c r="N3" t="s">
        <v>261</v>
      </c>
      <c r="O3" t="s">
        <v>265</v>
      </c>
      <c r="P3">
        <f>COUNTIF('weather-check_no_nulls'!E:E,L3)</f>
        <v>1</v>
      </c>
      <c r="R3" t="s">
        <v>27</v>
      </c>
      <c r="T3" s="46" t="s">
        <v>290</v>
      </c>
      <c r="U3" s="47">
        <f>COUNTIF('weather-check_no_nulls'!N:N,mappings!T3)</f>
        <v>22</v>
      </c>
      <c r="V3" s="48">
        <f>U3/SUM(U$2:U$15)</f>
        <v>7.0063694267515922E-2</v>
      </c>
      <c r="W3" s="49">
        <f>U3/SUM(U$2:U$15,U$17)</f>
        <v>2.0618556701030927E-2</v>
      </c>
      <c r="X3" t="s">
        <v>310</v>
      </c>
    </row>
    <row r="4" spans="1:25" x14ac:dyDescent="0.2">
      <c r="A4" t="s">
        <v>23</v>
      </c>
      <c r="B4">
        <v>3</v>
      </c>
      <c r="D4" t="s">
        <v>163</v>
      </c>
      <c r="E4">
        <v>3</v>
      </c>
      <c r="G4" t="s">
        <v>16</v>
      </c>
      <c r="H4">
        <v>3</v>
      </c>
      <c r="J4" t="s">
        <v>15</v>
      </c>
      <c r="L4" t="s">
        <v>73</v>
      </c>
      <c r="M4" t="s">
        <v>73</v>
      </c>
      <c r="N4" t="s">
        <v>261</v>
      </c>
      <c r="O4" t="s">
        <v>265</v>
      </c>
      <c r="P4">
        <f>COUNTIF('weather-check_no_nulls'!E:E,L4)</f>
        <v>1</v>
      </c>
      <c r="R4" t="s">
        <v>31</v>
      </c>
      <c r="T4" t="s">
        <v>44</v>
      </c>
      <c r="U4" s="37">
        <f>COUNTIF('weather-check_no_nulls'!N:N,mappings!T4)</f>
        <v>24</v>
      </c>
      <c r="V4" s="29">
        <f>U4/SUM(U$2:U$15)</f>
        <v>7.6433121019108277E-2</v>
      </c>
      <c r="W4" s="39">
        <f>U4/SUM(U$2:U$15,U$17)</f>
        <v>2.2492970946579195E-2</v>
      </c>
    </row>
    <row r="5" spans="1:25" x14ac:dyDescent="0.2">
      <c r="A5" t="s">
        <v>11</v>
      </c>
      <c r="B5">
        <v>4</v>
      </c>
      <c r="D5" t="s">
        <v>43</v>
      </c>
      <c r="E5">
        <v>4</v>
      </c>
      <c r="G5" t="s">
        <v>9</v>
      </c>
      <c r="H5">
        <v>4</v>
      </c>
      <c r="J5" t="s">
        <v>34</v>
      </c>
      <c r="L5" t="s">
        <v>50</v>
      </c>
      <c r="M5" t="s">
        <v>50</v>
      </c>
      <c r="N5" t="s">
        <v>287</v>
      </c>
      <c r="O5" t="s">
        <v>286</v>
      </c>
      <c r="P5">
        <f>COUNTIF('weather-check_no_nulls'!E:E,L5)</f>
        <v>17</v>
      </c>
      <c r="R5" t="s">
        <v>51</v>
      </c>
      <c r="T5" t="s">
        <v>50</v>
      </c>
      <c r="U5" s="37">
        <f>COUNTIF('weather-check_no_nulls'!N:N,mappings!T5)</f>
        <v>20</v>
      </c>
      <c r="V5" s="29">
        <f>U5/SUM(U$2:U$15)</f>
        <v>6.3694267515923567E-2</v>
      </c>
      <c r="W5" s="39">
        <f>U5/SUM(U$2:U$15,U$17)</f>
        <v>1.874414245548266E-2</v>
      </c>
    </row>
    <row r="6" spans="1:25" x14ac:dyDescent="0.2">
      <c r="A6" t="s">
        <v>33</v>
      </c>
      <c r="B6">
        <v>5</v>
      </c>
      <c r="D6" t="s">
        <v>8</v>
      </c>
      <c r="E6" t="s">
        <v>164</v>
      </c>
      <c r="G6" t="s">
        <v>8</v>
      </c>
      <c r="H6" t="s">
        <v>164</v>
      </c>
      <c r="J6" t="s">
        <v>38</v>
      </c>
      <c r="L6" t="s">
        <v>19</v>
      </c>
      <c r="M6" t="s">
        <v>50</v>
      </c>
      <c r="N6" t="s">
        <v>261</v>
      </c>
      <c r="O6" t="s">
        <v>286</v>
      </c>
      <c r="P6">
        <f>COUNTIF('weather-check_no_nulls'!E:E,L6)</f>
        <v>1</v>
      </c>
      <c r="R6" t="s">
        <v>40</v>
      </c>
      <c r="T6" t="s">
        <v>291</v>
      </c>
      <c r="U6" s="37">
        <f>COUNTIF('weather-check_no_nulls'!N:N,mappings!T6)</f>
        <v>19</v>
      </c>
      <c r="V6" s="29">
        <f>U6/SUM(U$2:U$15)</f>
        <v>6.0509554140127389E-2</v>
      </c>
      <c r="W6" s="39">
        <f>U6/SUM(U$2:U$15,U$17)</f>
        <v>1.780693533270853E-2</v>
      </c>
    </row>
    <row r="7" spans="1:25" x14ac:dyDescent="0.2">
      <c r="A7" t="s">
        <v>14</v>
      </c>
      <c r="B7">
        <v>6</v>
      </c>
      <c r="J7" t="s">
        <v>24</v>
      </c>
      <c r="L7" t="s">
        <v>92</v>
      </c>
      <c r="M7" t="s">
        <v>50</v>
      </c>
      <c r="N7" t="s">
        <v>287</v>
      </c>
      <c r="O7" t="s">
        <v>286</v>
      </c>
      <c r="P7">
        <f>COUNTIF('weather-check_no_nulls'!E:E,L7)</f>
        <v>1</v>
      </c>
      <c r="R7" s="6" t="s">
        <v>8</v>
      </c>
      <c r="T7" t="s">
        <v>55</v>
      </c>
      <c r="U7" s="37">
        <f>COUNTIF('weather-check_no_nulls'!N:N,mappings!T7)</f>
        <v>13</v>
      </c>
      <c r="V7" s="29">
        <f>U7/SUM(U$2:U$15)</f>
        <v>4.1401273885350316E-2</v>
      </c>
      <c r="W7" s="39">
        <f>U7/SUM(U$2:U$15,U$17)</f>
        <v>1.2183692596063731E-2</v>
      </c>
    </row>
    <row r="8" spans="1:25" x14ac:dyDescent="0.2">
      <c r="A8" t="s">
        <v>48</v>
      </c>
      <c r="B8">
        <v>7</v>
      </c>
      <c r="J8" t="s">
        <v>12</v>
      </c>
      <c r="L8" t="s">
        <v>79</v>
      </c>
      <c r="M8" t="s">
        <v>184</v>
      </c>
      <c r="N8" t="s">
        <v>287</v>
      </c>
      <c r="O8" t="s">
        <v>286</v>
      </c>
      <c r="P8">
        <f>COUNTIF('weather-check_no_nulls'!E:E,L8)</f>
        <v>1</v>
      </c>
      <c r="R8" t="s">
        <v>41</v>
      </c>
      <c r="T8" t="s">
        <v>184</v>
      </c>
      <c r="U8" s="37">
        <f>COUNTIF('weather-check_no_nulls'!N:N,mappings!T8)</f>
        <v>6</v>
      </c>
      <c r="V8" s="29">
        <f>U8/SUM(U$2:U$15)</f>
        <v>1.9108280254777069E-2</v>
      </c>
      <c r="W8" s="39">
        <f>U8/SUM(U$2:U$15,U$17)</f>
        <v>5.6232427366447986E-3</v>
      </c>
    </row>
    <row r="9" spans="1:25" x14ac:dyDescent="0.2">
      <c r="A9" t="s">
        <v>18</v>
      </c>
      <c r="B9">
        <v>8</v>
      </c>
      <c r="J9" t="s">
        <v>25</v>
      </c>
      <c r="L9" t="s">
        <v>83</v>
      </c>
      <c r="M9" t="s">
        <v>290</v>
      </c>
      <c r="N9" t="s">
        <v>261</v>
      </c>
      <c r="O9" t="s">
        <v>284</v>
      </c>
      <c r="P9">
        <f>COUNTIF('weather-check_no_nulls'!E:E,L9)</f>
        <v>1</v>
      </c>
      <c r="R9" t="s">
        <v>7</v>
      </c>
      <c r="T9" t="s">
        <v>181</v>
      </c>
      <c r="U9" s="37">
        <f>COUNTIF('weather-check_no_nulls'!N:N,mappings!T9)</f>
        <v>5</v>
      </c>
      <c r="V9" s="29">
        <f>U9/SUM(U$2:U$15)</f>
        <v>1.5923566878980892E-2</v>
      </c>
      <c r="W9" s="39">
        <f>U9/SUM(U$2:U$15,U$17)</f>
        <v>4.6860356138706651E-3</v>
      </c>
    </row>
    <row r="10" spans="1:25" x14ac:dyDescent="0.2">
      <c r="A10" t="s">
        <v>47</v>
      </c>
      <c r="B10">
        <v>9</v>
      </c>
      <c r="J10" t="s">
        <v>20</v>
      </c>
      <c r="L10" t="s">
        <v>52</v>
      </c>
      <c r="M10" t="s">
        <v>290</v>
      </c>
      <c r="N10" t="s">
        <v>261</v>
      </c>
      <c r="O10" t="s">
        <v>284</v>
      </c>
      <c r="P10">
        <f>COUNTIF('weather-check_no_nulls'!E:E,L10)</f>
        <v>1</v>
      </c>
      <c r="R10" t="s">
        <v>21</v>
      </c>
      <c r="T10" t="s">
        <v>185</v>
      </c>
      <c r="U10" s="37">
        <f>COUNTIF('weather-check_no_nulls'!N:N,mappings!T10)</f>
        <v>5</v>
      </c>
      <c r="V10" s="29">
        <f>U10/SUM(U$2:U$15)</f>
        <v>1.5923566878980892E-2</v>
      </c>
      <c r="W10" s="39">
        <f>U10/SUM(U$2:U$15,U$17)</f>
        <v>4.6860356138706651E-3</v>
      </c>
    </row>
    <row r="11" spans="1:25" x14ac:dyDescent="0.2">
      <c r="A11" t="s">
        <v>39</v>
      </c>
      <c r="B11">
        <v>10</v>
      </c>
      <c r="J11" t="s">
        <v>8</v>
      </c>
      <c r="L11" t="s">
        <v>147</v>
      </c>
      <c r="M11" t="s">
        <v>290</v>
      </c>
      <c r="N11" t="s">
        <v>261</v>
      </c>
      <c r="O11" t="s">
        <v>284</v>
      </c>
      <c r="P11">
        <f>COUNTIF('weather-check_no_nulls'!E:E,L11)</f>
        <v>1</v>
      </c>
      <c r="T11" t="s">
        <v>186</v>
      </c>
      <c r="U11" s="37">
        <f>COUNTIF('weather-check_no_nulls'!N:N,mappings!T11)</f>
        <v>4</v>
      </c>
      <c r="V11" s="29">
        <f>U11/SUM(U$2:U$15)</f>
        <v>1.2738853503184714E-2</v>
      </c>
      <c r="W11" s="39">
        <f>U11/SUM(U$2:U$15,U$17)</f>
        <v>3.7488284910965324E-3</v>
      </c>
    </row>
    <row r="12" spans="1:25" x14ac:dyDescent="0.2">
      <c r="A12" t="s">
        <v>13</v>
      </c>
      <c r="B12">
        <v>11</v>
      </c>
      <c r="L12" t="s">
        <v>176</v>
      </c>
      <c r="M12" t="s">
        <v>290</v>
      </c>
      <c r="N12" t="s">
        <v>261</v>
      </c>
      <c r="O12" t="s">
        <v>284</v>
      </c>
      <c r="P12">
        <f>COUNTIF('weather-check_no_nulls'!E:E,L12)</f>
        <v>1</v>
      </c>
      <c r="T12" t="s">
        <v>121</v>
      </c>
      <c r="U12" s="37">
        <f>COUNTIF('weather-check_no_nulls'!N:N,mappings!T12)</f>
        <v>5</v>
      </c>
      <c r="V12" s="29">
        <f>U12/SUM(U$2:U$15)</f>
        <v>1.5923566878980892E-2</v>
      </c>
      <c r="W12" s="39">
        <f>U12/SUM(U$2:U$15,U$17)</f>
        <v>4.6860356138706651E-3</v>
      </c>
    </row>
    <row r="13" spans="1:25" x14ac:dyDescent="0.2">
      <c r="A13" t="s">
        <v>8</v>
      </c>
      <c r="B13" t="s">
        <v>164</v>
      </c>
      <c r="L13" t="s">
        <v>130</v>
      </c>
      <c r="M13" t="s">
        <v>290</v>
      </c>
      <c r="N13" t="s">
        <v>261</v>
      </c>
      <c r="O13" t="s">
        <v>284</v>
      </c>
      <c r="P13">
        <f>COUNTIF('weather-check_no_nulls'!E:E,L13)</f>
        <v>1</v>
      </c>
      <c r="T13" t="s">
        <v>179</v>
      </c>
      <c r="U13" s="37">
        <f>COUNTIF('weather-check_no_nulls'!N:N,mappings!T13)</f>
        <v>3</v>
      </c>
      <c r="V13" s="29">
        <f>U13/SUM(U$2:U$15)</f>
        <v>9.5541401273885346E-3</v>
      </c>
      <c r="W13" s="39">
        <f>U13/SUM(U$2:U$15,U$17)</f>
        <v>2.8116213683223993E-3</v>
      </c>
    </row>
    <row r="14" spans="1:25" x14ac:dyDescent="0.2">
      <c r="L14" t="s">
        <v>134</v>
      </c>
      <c r="M14" t="s">
        <v>184</v>
      </c>
      <c r="N14" t="s">
        <v>289</v>
      </c>
      <c r="O14" t="s">
        <v>286</v>
      </c>
      <c r="P14">
        <f>COUNTIF('weather-check_no_nulls'!E:E,L14)</f>
        <v>1</v>
      </c>
      <c r="T14" t="s">
        <v>187</v>
      </c>
      <c r="U14" s="37">
        <f>COUNTIF('weather-check_no_nulls'!N:N,mappings!T14)</f>
        <v>3</v>
      </c>
      <c r="V14" s="29">
        <f>U14/SUM(U$2:U$15)</f>
        <v>9.5541401273885346E-3</v>
      </c>
      <c r="W14" s="39">
        <f>U14/SUM(U$2:U$15,U$17)</f>
        <v>2.8116213683223993E-3</v>
      </c>
    </row>
    <row r="15" spans="1:25" x14ac:dyDescent="0.2">
      <c r="L15" t="s">
        <v>146</v>
      </c>
      <c r="M15" t="s">
        <v>184</v>
      </c>
      <c r="N15" t="s">
        <v>261</v>
      </c>
      <c r="O15" t="s">
        <v>265</v>
      </c>
      <c r="P15">
        <f>COUNTIF('weather-check_no_nulls'!E:E,L15)</f>
        <v>1</v>
      </c>
      <c r="T15" t="s">
        <v>73</v>
      </c>
      <c r="U15" s="37">
        <f>COUNTIF('weather-check_no_nulls'!N:N,mappings!T15)</f>
        <v>2</v>
      </c>
      <c r="V15" s="29">
        <f>U15/SUM(U$2:U$15)</f>
        <v>6.369426751592357E-3</v>
      </c>
      <c r="W15" s="39">
        <f>U15/SUM(U$2:U$15,U$17)</f>
        <v>1.8744142455482662E-3</v>
      </c>
    </row>
    <row r="16" spans="1:25" x14ac:dyDescent="0.2">
      <c r="L16" t="s">
        <v>78</v>
      </c>
      <c r="M16" t="s">
        <v>181</v>
      </c>
      <c r="N16" t="s">
        <v>261</v>
      </c>
      <c r="O16" t="s">
        <v>286</v>
      </c>
      <c r="P16">
        <f>COUNTIF('weather-check_no_nulls'!E:E,L16)</f>
        <v>1</v>
      </c>
      <c r="T16" t="s">
        <v>292</v>
      </c>
      <c r="U16" s="44">
        <f>SUM(U2:U15)</f>
        <v>314</v>
      </c>
      <c r="V16" s="45">
        <f>U16/SUM(U$2:U$15)</f>
        <v>1</v>
      </c>
      <c r="W16" s="39"/>
    </row>
    <row r="17" spans="1:23" x14ac:dyDescent="0.2">
      <c r="A17" s="64" t="s">
        <v>309</v>
      </c>
      <c r="L17" t="s">
        <v>144</v>
      </c>
      <c r="M17" t="s">
        <v>290</v>
      </c>
      <c r="N17" t="s">
        <v>261</v>
      </c>
      <c r="O17" t="s">
        <v>284</v>
      </c>
      <c r="P17">
        <f>COUNTIF('weather-check_no_nulls'!E:E,L17)</f>
        <v>1</v>
      </c>
      <c r="T17" t="s">
        <v>8</v>
      </c>
      <c r="U17" s="38">
        <f>COUNTIF('weather-check_no_nulls'!N:N,mappings!T17)</f>
        <v>753</v>
      </c>
      <c r="V17" s="38"/>
      <c r="W17" s="39">
        <f>U17/SUM(U$2:U$15,U$17)</f>
        <v>0.70571696344892221</v>
      </c>
    </row>
    <row r="18" spans="1:23" x14ac:dyDescent="0.2">
      <c r="L18" t="s">
        <v>149</v>
      </c>
      <c r="M18" t="s">
        <v>291</v>
      </c>
      <c r="N18" t="s">
        <v>261</v>
      </c>
      <c r="O18" t="s">
        <v>286</v>
      </c>
      <c r="P18">
        <f>COUNTIF('weather-check_no_nulls'!E:E,L18)</f>
        <v>1</v>
      </c>
      <c r="T18" t="s">
        <v>283</v>
      </c>
      <c r="U18" s="40">
        <f>SUM(U16:U17)</f>
        <v>1067</v>
      </c>
      <c r="V18" s="41"/>
      <c r="W18" s="42">
        <f>U18/SUM(U$2:U$15,U$17)</f>
        <v>1</v>
      </c>
    </row>
    <row r="19" spans="1:23" x14ac:dyDescent="0.2">
      <c r="L19" t="s">
        <v>126</v>
      </c>
      <c r="M19" t="s">
        <v>291</v>
      </c>
      <c r="N19" t="s">
        <v>261</v>
      </c>
      <c r="O19" t="s">
        <v>286</v>
      </c>
      <c r="P19">
        <f>COUNTIF('weather-check_no_nulls'!E:E,L19)</f>
        <v>1</v>
      </c>
    </row>
    <row r="20" spans="1:23" x14ac:dyDescent="0.2">
      <c r="L20" t="s">
        <v>62</v>
      </c>
      <c r="M20" t="s">
        <v>291</v>
      </c>
      <c r="N20" t="s">
        <v>261</v>
      </c>
      <c r="O20" t="s">
        <v>286</v>
      </c>
      <c r="P20">
        <f>COUNTIF('weather-check_no_nulls'!E:E,L20)</f>
        <v>1</v>
      </c>
    </row>
    <row r="21" spans="1:23" x14ac:dyDescent="0.2">
      <c r="L21" t="s">
        <v>63</v>
      </c>
      <c r="M21" t="s">
        <v>291</v>
      </c>
      <c r="N21" t="s">
        <v>287</v>
      </c>
      <c r="O21" t="s">
        <v>286</v>
      </c>
      <c r="P21">
        <f>COUNTIF('weather-check_no_nulls'!E:E,L21)</f>
        <v>1</v>
      </c>
    </row>
    <row r="22" spans="1:23" x14ac:dyDescent="0.2">
      <c r="L22" t="s">
        <v>54</v>
      </c>
      <c r="M22" t="s">
        <v>184</v>
      </c>
      <c r="N22" t="s">
        <v>289</v>
      </c>
      <c r="O22" t="s">
        <v>286</v>
      </c>
      <c r="P22">
        <f>COUNTIF('weather-check_no_nulls'!E:E,L22)</f>
        <v>1</v>
      </c>
    </row>
    <row r="23" spans="1:23" x14ac:dyDescent="0.2">
      <c r="L23" t="s">
        <v>123</v>
      </c>
      <c r="M23" t="s">
        <v>184</v>
      </c>
      <c r="N23" t="s">
        <v>261</v>
      </c>
      <c r="O23" t="s">
        <v>265</v>
      </c>
      <c r="P23">
        <f>COUNTIF('weather-check_no_nulls'!E:E,L23)</f>
        <v>1</v>
      </c>
    </row>
    <row r="24" spans="1:23" x14ac:dyDescent="0.2">
      <c r="L24" t="s">
        <v>145</v>
      </c>
      <c r="M24" t="s">
        <v>184</v>
      </c>
      <c r="N24" t="s">
        <v>261</v>
      </c>
      <c r="O24" t="s">
        <v>265</v>
      </c>
      <c r="P24">
        <f>COUNTIF('weather-check_no_nulls'!E:E,L24)</f>
        <v>1</v>
      </c>
    </row>
    <row r="25" spans="1:23" x14ac:dyDescent="0.2">
      <c r="L25" t="s">
        <v>137</v>
      </c>
      <c r="M25" t="s">
        <v>181</v>
      </c>
      <c r="N25" t="s">
        <v>181</v>
      </c>
      <c r="O25" t="s">
        <v>286</v>
      </c>
      <c r="P25">
        <f>COUNTIF('weather-check_no_nulls'!E:E,L25)</f>
        <v>1</v>
      </c>
    </row>
    <row r="26" spans="1:23" x14ac:dyDescent="0.2">
      <c r="L26" t="s">
        <v>89</v>
      </c>
      <c r="M26" t="s">
        <v>185</v>
      </c>
      <c r="N26" t="s">
        <v>287</v>
      </c>
      <c r="O26" t="s">
        <v>286</v>
      </c>
      <c r="P26">
        <f>COUNTIF('weather-check_no_nulls'!E:E,L26)</f>
        <v>3</v>
      </c>
    </row>
    <row r="27" spans="1:23" x14ac:dyDescent="0.2">
      <c r="L27" t="s">
        <v>153</v>
      </c>
      <c r="M27" t="s">
        <v>185</v>
      </c>
      <c r="N27" t="s">
        <v>287</v>
      </c>
      <c r="O27" t="s">
        <v>286</v>
      </c>
      <c r="P27">
        <f>COUNTIF('weather-check_no_nulls'!E:E,L27)</f>
        <v>1</v>
      </c>
    </row>
    <row r="28" spans="1:23" x14ac:dyDescent="0.2">
      <c r="L28" t="s">
        <v>64</v>
      </c>
      <c r="M28" t="s">
        <v>185</v>
      </c>
      <c r="N28" t="s">
        <v>287</v>
      </c>
      <c r="O28" t="s">
        <v>286</v>
      </c>
      <c r="P28">
        <f>COUNTIF('weather-check_no_nulls'!E:E,L28)</f>
        <v>1</v>
      </c>
    </row>
    <row r="29" spans="1:23" x14ac:dyDescent="0.2">
      <c r="L29" t="s">
        <v>82</v>
      </c>
      <c r="M29" t="s">
        <v>291</v>
      </c>
      <c r="N29" t="s">
        <v>287</v>
      </c>
      <c r="O29" t="s">
        <v>286</v>
      </c>
      <c r="P29">
        <f>COUNTIF('weather-check_no_nulls'!E:E,L29)</f>
        <v>1</v>
      </c>
    </row>
    <row r="30" spans="1:23" x14ac:dyDescent="0.2">
      <c r="L30" t="s">
        <v>107</v>
      </c>
      <c r="M30" t="s">
        <v>291</v>
      </c>
      <c r="N30" t="s">
        <v>261</v>
      </c>
      <c r="O30" t="s">
        <v>284</v>
      </c>
      <c r="P30">
        <f>COUNTIF('weather-check_no_nulls'!E:E,L30)</f>
        <v>2</v>
      </c>
    </row>
    <row r="31" spans="1:23" x14ac:dyDescent="0.2">
      <c r="L31" t="s">
        <v>17</v>
      </c>
      <c r="M31" t="s">
        <v>290</v>
      </c>
      <c r="N31" t="s">
        <v>261</v>
      </c>
      <c r="O31" t="s">
        <v>284</v>
      </c>
      <c r="P31">
        <f>COUNTIF('weather-check_no_nulls'!E:E,L31)</f>
        <v>2</v>
      </c>
    </row>
    <row r="32" spans="1:23" x14ac:dyDescent="0.2">
      <c r="L32" t="s">
        <v>68</v>
      </c>
      <c r="M32" t="s">
        <v>290</v>
      </c>
      <c r="N32" t="s">
        <v>261</v>
      </c>
      <c r="O32" t="s">
        <v>284</v>
      </c>
      <c r="P32">
        <f>COUNTIF('weather-check_no_nulls'!E:E,L32)</f>
        <v>3</v>
      </c>
    </row>
    <row r="33" spans="12:16" x14ac:dyDescent="0.2">
      <c r="L33" t="s">
        <v>65</v>
      </c>
      <c r="M33" t="s">
        <v>290</v>
      </c>
      <c r="N33" t="s">
        <v>261</v>
      </c>
      <c r="O33" t="s">
        <v>284</v>
      </c>
      <c r="P33">
        <f>COUNTIF('weather-check_no_nulls'!E:E,L33)</f>
        <v>1</v>
      </c>
    </row>
    <row r="34" spans="12:16" x14ac:dyDescent="0.2">
      <c r="L34" t="s">
        <v>100</v>
      </c>
      <c r="M34" t="s">
        <v>186</v>
      </c>
      <c r="N34" t="s">
        <v>287</v>
      </c>
      <c r="O34" t="s">
        <v>286</v>
      </c>
      <c r="P34">
        <f>COUNTIF('weather-check_no_nulls'!E:E,L34)</f>
        <v>1</v>
      </c>
    </row>
    <row r="35" spans="12:16" x14ac:dyDescent="0.2">
      <c r="L35" t="s">
        <v>91</v>
      </c>
      <c r="M35" t="s">
        <v>186</v>
      </c>
      <c r="N35" t="s">
        <v>287</v>
      </c>
      <c r="O35" t="s">
        <v>286</v>
      </c>
      <c r="P35">
        <f>COUNTIF('weather-check_no_nulls'!E:E,L35)</f>
        <v>1</v>
      </c>
    </row>
    <row r="36" spans="12:16" x14ac:dyDescent="0.2">
      <c r="L36" t="s">
        <v>94</v>
      </c>
      <c r="M36" t="s">
        <v>181</v>
      </c>
      <c r="N36" t="s">
        <v>181</v>
      </c>
      <c r="O36" t="s">
        <v>286</v>
      </c>
      <c r="P36">
        <f>COUNTIF('weather-check_no_nulls'!E:E,L36)</f>
        <v>1</v>
      </c>
    </row>
    <row r="37" spans="12:16" x14ac:dyDescent="0.2">
      <c r="L37" t="s">
        <v>120</v>
      </c>
      <c r="M37" t="s">
        <v>50</v>
      </c>
      <c r="N37" t="s">
        <v>287</v>
      </c>
      <c r="O37" t="s">
        <v>286</v>
      </c>
      <c r="P37">
        <f>COUNTIF('weather-check_no_nulls'!E:E,L37)</f>
        <v>1</v>
      </c>
    </row>
    <row r="38" spans="12:16" x14ac:dyDescent="0.2">
      <c r="L38" t="s">
        <v>143</v>
      </c>
      <c r="M38" t="s">
        <v>181</v>
      </c>
      <c r="N38" t="s">
        <v>181</v>
      </c>
      <c r="O38" t="s">
        <v>286</v>
      </c>
      <c r="P38">
        <f>COUNTIF('weather-check_no_nulls'!E:E,L38)</f>
        <v>1</v>
      </c>
    </row>
    <row r="39" spans="12:16" x14ac:dyDescent="0.2">
      <c r="L39" t="s">
        <v>178</v>
      </c>
      <c r="M39" t="s">
        <v>291</v>
      </c>
      <c r="N39" t="s">
        <v>261</v>
      </c>
      <c r="O39" t="s">
        <v>286</v>
      </c>
      <c r="P39">
        <f>COUNTIF('weather-check_no_nulls'!E:E,L39)</f>
        <v>1</v>
      </c>
    </row>
    <row r="40" spans="12:16" x14ac:dyDescent="0.2">
      <c r="L40" t="s">
        <v>154</v>
      </c>
      <c r="M40" t="s">
        <v>291</v>
      </c>
      <c r="N40" t="s">
        <v>261</v>
      </c>
      <c r="O40" t="s">
        <v>286</v>
      </c>
      <c r="P40">
        <f>COUNTIF('weather-check_no_nulls'!E:E,L40)</f>
        <v>1</v>
      </c>
    </row>
    <row r="41" spans="12:16" x14ac:dyDescent="0.2">
      <c r="L41" t="s">
        <v>121</v>
      </c>
      <c r="M41" t="s">
        <v>121</v>
      </c>
      <c r="N41" t="s">
        <v>287</v>
      </c>
      <c r="O41" t="s">
        <v>286</v>
      </c>
      <c r="P41">
        <f>COUNTIF('weather-check_no_nulls'!E:E,L41)</f>
        <v>1</v>
      </c>
    </row>
    <row r="42" spans="12:16" x14ac:dyDescent="0.2">
      <c r="L42" t="s">
        <v>115</v>
      </c>
      <c r="M42" t="s">
        <v>121</v>
      </c>
      <c r="N42" t="s">
        <v>287</v>
      </c>
      <c r="O42" t="s">
        <v>286</v>
      </c>
      <c r="P42">
        <f>COUNTIF('weather-check_no_nulls'!E:E,L42)</f>
        <v>2</v>
      </c>
    </row>
    <row r="43" spans="12:16" x14ac:dyDescent="0.2">
      <c r="L43" t="s">
        <v>35</v>
      </c>
      <c r="M43" t="s">
        <v>291</v>
      </c>
      <c r="N43" t="s">
        <v>261</v>
      </c>
      <c r="O43" t="s">
        <v>265</v>
      </c>
      <c r="P43">
        <f>COUNTIF('weather-check_no_nulls'!E:E,L43)</f>
        <v>1</v>
      </c>
    </row>
    <row r="44" spans="12:16" x14ac:dyDescent="0.2">
      <c r="L44" t="s">
        <v>80</v>
      </c>
      <c r="M44" t="s">
        <v>179</v>
      </c>
      <c r="N44" t="s">
        <v>287</v>
      </c>
      <c r="O44" t="s">
        <v>286</v>
      </c>
      <c r="P44">
        <f>COUNTIF('weather-check_no_nulls'!E:E,L44)</f>
        <v>1</v>
      </c>
    </row>
    <row r="45" spans="12:16" x14ac:dyDescent="0.2">
      <c r="L45" t="s">
        <v>109</v>
      </c>
      <c r="M45" t="s">
        <v>179</v>
      </c>
      <c r="N45" t="s">
        <v>261</v>
      </c>
      <c r="O45" t="s">
        <v>286</v>
      </c>
      <c r="P45">
        <f>COUNTIF('weather-check_no_nulls'!E:E,L45)</f>
        <v>1</v>
      </c>
    </row>
    <row r="46" spans="12:16" x14ac:dyDescent="0.2">
      <c r="L46" t="s">
        <v>72</v>
      </c>
      <c r="M46" t="s">
        <v>179</v>
      </c>
      <c r="N46" t="s">
        <v>287</v>
      </c>
      <c r="O46" t="s">
        <v>286</v>
      </c>
      <c r="P46">
        <f>COUNTIF('weather-check_no_nulls'!E:E,L46)</f>
        <v>1</v>
      </c>
    </row>
    <row r="47" spans="12:16" x14ac:dyDescent="0.2">
      <c r="L47" t="s">
        <v>97</v>
      </c>
      <c r="M47" t="s">
        <v>186</v>
      </c>
      <c r="N47" t="s">
        <v>261</v>
      </c>
      <c r="O47" t="s">
        <v>286</v>
      </c>
      <c r="P47">
        <f>COUNTIF('weather-check_no_nulls'!E:E,L47)</f>
        <v>1</v>
      </c>
    </row>
    <row r="48" spans="12:16" x14ac:dyDescent="0.2">
      <c r="L48" t="s">
        <v>131</v>
      </c>
      <c r="M48" t="s">
        <v>291</v>
      </c>
      <c r="N48" t="s">
        <v>261</v>
      </c>
      <c r="O48" t="s">
        <v>286</v>
      </c>
      <c r="P48">
        <f>COUNTIF('weather-check_no_nulls'!E:E,L48)</f>
        <v>1</v>
      </c>
    </row>
    <row r="49" spans="12:16" x14ac:dyDescent="0.2">
      <c r="L49" t="s">
        <v>128</v>
      </c>
      <c r="M49" t="s">
        <v>291</v>
      </c>
      <c r="N49" t="s">
        <v>261</v>
      </c>
      <c r="O49" t="s">
        <v>286</v>
      </c>
      <c r="P49">
        <f>COUNTIF('weather-check_no_nulls'!E:E,L49)</f>
        <v>1</v>
      </c>
    </row>
    <row r="50" spans="12:16" x14ac:dyDescent="0.2">
      <c r="L50" t="s">
        <v>99</v>
      </c>
      <c r="M50" t="s">
        <v>186</v>
      </c>
      <c r="N50" t="s">
        <v>287</v>
      </c>
      <c r="O50" t="s">
        <v>286</v>
      </c>
      <c r="P50">
        <f>COUNTIF('weather-check_no_nulls'!E:E,L50)</f>
        <v>1</v>
      </c>
    </row>
    <row r="51" spans="12:16" x14ac:dyDescent="0.2">
      <c r="L51" t="s">
        <v>136</v>
      </c>
      <c r="M51" t="s">
        <v>181</v>
      </c>
      <c r="N51" t="s">
        <v>181</v>
      </c>
      <c r="O51" t="s">
        <v>286</v>
      </c>
      <c r="P51">
        <f>COUNTIF('weather-check_no_nulls'!E:E,L51)</f>
        <v>1</v>
      </c>
    </row>
    <row r="52" spans="12:16" x14ac:dyDescent="0.2">
      <c r="L52" t="s">
        <v>150</v>
      </c>
      <c r="M52" t="s">
        <v>290</v>
      </c>
      <c r="N52" t="s">
        <v>261</v>
      </c>
      <c r="O52" t="s">
        <v>284</v>
      </c>
      <c r="P52">
        <f>COUNTIF('weather-check_no_nulls'!E:E,L52)</f>
        <v>1</v>
      </c>
    </row>
    <row r="53" spans="12:16" x14ac:dyDescent="0.2">
      <c r="L53" t="s">
        <v>140</v>
      </c>
      <c r="M53" t="s">
        <v>290</v>
      </c>
      <c r="N53" t="s">
        <v>261</v>
      </c>
      <c r="O53" t="s">
        <v>284</v>
      </c>
      <c r="P53">
        <f>COUNTIF('weather-check_no_nulls'!E:E,L53)</f>
        <v>1</v>
      </c>
    </row>
    <row r="54" spans="12:16" x14ac:dyDescent="0.2">
      <c r="L54" t="s">
        <v>21</v>
      </c>
      <c r="M54" t="s">
        <v>21</v>
      </c>
      <c r="N54" s="43" t="s">
        <v>287</v>
      </c>
      <c r="O54" t="s">
        <v>286</v>
      </c>
      <c r="P54">
        <f>COUNTIF('weather-check_no_nulls'!E:E,L54)</f>
        <v>4</v>
      </c>
    </row>
    <row r="55" spans="12:16" x14ac:dyDescent="0.2">
      <c r="L55" t="s">
        <v>151</v>
      </c>
      <c r="M55" t="s">
        <v>21</v>
      </c>
      <c r="N55" s="43" t="s">
        <v>287</v>
      </c>
      <c r="O55" t="s">
        <v>286</v>
      </c>
      <c r="P55">
        <f>COUNTIF('weather-check_no_nulls'!E:E,L55)</f>
        <v>1</v>
      </c>
    </row>
    <row r="56" spans="12:16" x14ac:dyDescent="0.2">
      <c r="L56" t="s">
        <v>53</v>
      </c>
      <c r="M56" t="s">
        <v>21</v>
      </c>
      <c r="N56" t="s">
        <v>261</v>
      </c>
      <c r="O56" t="s">
        <v>286</v>
      </c>
      <c r="P56">
        <f>COUNTIF('weather-check_no_nulls'!E:E,L56)</f>
        <v>7</v>
      </c>
    </row>
    <row r="57" spans="12:16" x14ac:dyDescent="0.2">
      <c r="L57" t="s">
        <v>98</v>
      </c>
      <c r="M57" t="s">
        <v>21</v>
      </c>
      <c r="N57" t="s">
        <v>261</v>
      </c>
      <c r="O57" t="s">
        <v>286</v>
      </c>
      <c r="P57">
        <f>COUNTIF('weather-check_no_nulls'!E:E,L57)</f>
        <v>2</v>
      </c>
    </row>
    <row r="58" spans="12:16" x14ac:dyDescent="0.2">
      <c r="L58" t="s">
        <v>124</v>
      </c>
      <c r="M58" t="s">
        <v>21</v>
      </c>
      <c r="N58" t="s">
        <v>261</v>
      </c>
      <c r="O58" t="s">
        <v>286</v>
      </c>
      <c r="P58">
        <f>COUNTIF('weather-check_no_nulls'!E:E,L58)</f>
        <v>1</v>
      </c>
    </row>
    <row r="59" spans="12:16" x14ac:dyDescent="0.2">
      <c r="L59" t="s">
        <v>119</v>
      </c>
      <c r="M59" t="s">
        <v>21</v>
      </c>
      <c r="N59" t="s">
        <v>261</v>
      </c>
      <c r="O59" t="s">
        <v>284</v>
      </c>
      <c r="P59">
        <f>COUNTIF('weather-check_no_nulls'!E:E,L59)</f>
        <v>1</v>
      </c>
    </row>
    <row r="60" spans="12:16" x14ac:dyDescent="0.2">
      <c r="L60" t="s">
        <v>141</v>
      </c>
      <c r="M60" t="s">
        <v>290</v>
      </c>
      <c r="N60" t="s">
        <v>261</v>
      </c>
      <c r="O60" t="s">
        <v>284</v>
      </c>
      <c r="P60">
        <f>COUNTIF('weather-check_no_nulls'!E:E,L60)</f>
        <v>1</v>
      </c>
    </row>
    <row r="61" spans="12:16" x14ac:dyDescent="0.2">
      <c r="L61" t="s">
        <v>110</v>
      </c>
      <c r="M61" t="s">
        <v>290</v>
      </c>
      <c r="N61" t="s">
        <v>261</v>
      </c>
      <c r="O61" t="s">
        <v>284</v>
      </c>
      <c r="P61">
        <f>COUNTIF('weather-check_no_nulls'!E:E,L61)</f>
        <v>1</v>
      </c>
    </row>
    <row r="62" spans="12:16" x14ac:dyDescent="0.2">
      <c r="L62" t="s">
        <v>157</v>
      </c>
      <c r="M62" t="s">
        <v>291</v>
      </c>
      <c r="N62" t="s">
        <v>261</v>
      </c>
      <c r="O62" t="s">
        <v>286</v>
      </c>
      <c r="P62">
        <f>COUNTIF('weather-check_no_nulls'!E:E,L62)</f>
        <v>1</v>
      </c>
    </row>
    <row r="63" spans="12:16" x14ac:dyDescent="0.2">
      <c r="L63" t="s">
        <v>113</v>
      </c>
      <c r="M63" t="s">
        <v>291</v>
      </c>
      <c r="N63" t="s">
        <v>261</v>
      </c>
      <c r="O63" t="s">
        <v>286</v>
      </c>
      <c r="P63">
        <f>COUNTIF('weather-check_no_nulls'!E:E,L63)</f>
        <v>2</v>
      </c>
    </row>
    <row r="64" spans="12:16" x14ac:dyDescent="0.2">
      <c r="L64" t="s">
        <v>160</v>
      </c>
      <c r="M64" t="s">
        <v>290</v>
      </c>
      <c r="N64" t="s">
        <v>261</v>
      </c>
      <c r="O64" t="s">
        <v>284</v>
      </c>
      <c r="P64">
        <f>COUNTIF('weather-check_no_nulls'!E:E,L64)</f>
        <v>1</v>
      </c>
    </row>
    <row r="65" spans="12:16" x14ac:dyDescent="0.2">
      <c r="L65" t="s">
        <v>61</v>
      </c>
      <c r="M65" t="s">
        <v>44</v>
      </c>
      <c r="N65" s="43" t="s">
        <v>287</v>
      </c>
      <c r="O65" t="s">
        <v>286</v>
      </c>
      <c r="P65">
        <f>COUNTIF('weather-check_no_nulls'!E:E,L65)</f>
        <v>8</v>
      </c>
    </row>
    <row r="66" spans="12:16" x14ac:dyDescent="0.2">
      <c r="L66" t="s">
        <v>75</v>
      </c>
      <c r="M66" t="s">
        <v>44</v>
      </c>
      <c r="N66" t="s">
        <v>261</v>
      </c>
      <c r="O66" t="s">
        <v>286</v>
      </c>
      <c r="P66">
        <f>COUNTIF('weather-check_no_nulls'!E:E,L66)</f>
        <v>2</v>
      </c>
    </row>
    <row r="67" spans="12:16" x14ac:dyDescent="0.2">
      <c r="L67" t="s">
        <v>116</v>
      </c>
      <c r="M67" t="s">
        <v>21</v>
      </c>
      <c r="N67" s="43" t="s">
        <v>287</v>
      </c>
      <c r="O67" t="s">
        <v>286</v>
      </c>
      <c r="P67">
        <f>COUNTIF('weather-check_no_nulls'!E:E,L67)</f>
        <v>4</v>
      </c>
    </row>
    <row r="68" spans="12:16" x14ac:dyDescent="0.2">
      <c r="L68" t="s">
        <v>45</v>
      </c>
      <c r="M68" t="s">
        <v>21</v>
      </c>
      <c r="N68" t="s">
        <v>261</v>
      </c>
      <c r="O68" t="s">
        <v>286</v>
      </c>
      <c r="P68">
        <f>COUNTIF('weather-check_no_nulls'!E:E,L68)</f>
        <v>5</v>
      </c>
    </row>
    <row r="69" spans="12:16" x14ac:dyDescent="0.2">
      <c r="L69" t="s">
        <v>108</v>
      </c>
      <c r="M69" t="s">
        <v>21</v>
      </c>
      <c r="N69" t="s">
        <v>261</v>
      </c>
      <c r="O69" t="s">
        <v>265</v>
      </c>
      <c r="P69">
        <f>COUNTIF('weather-check_no_nulls'!E:E,L69)</f>
        <v>1</v>
      </c>
    </row>
    <row r="70" spans="12:16" x14ac:dyDescent="0.2">
      <c r="L70" t="s">
        <v>138</v>
      </c>
      <c r="M70" t="s">
        <v>21</v>
      </c>
      <c r="N70" t="s">
        <v>261</v>
      </c>
      <c r="O70" t="s">
        <v>284</v>
      </c>
      <c r="P70">
        <f>COUNTIF('weather-check_no_nulls'!E:E,L70)</f>
        <v>1</v>
      </c>
    </row>
    <row r="71" spans="12:16" x14ac:dyDescent="0.2">
      <c r="L71" t="s">
        <v>96</v>
      </c>
      <c r="M71" t="s">
        <v>21</v>
      </c>
      <c r="N71" t="s">
        <v>261</v>
      </c>
      <c r="O71" t="s">
        <v>284</v>
      </c>
      <c r="P71">
        <f>COUNTIF('weather-check_no_nulls'!E:E,L71)</f>
        <v>1</v>
      </c>
    </row>
    <row r="72" spans="12:16" x14ac:dyDescent="0.2">
      <c r="L72" t="s">
        <v>105</v>
      </c>
      <c r="M72" t="s">
        <v>21</v>
      </c>
      <c r="N72" t="s">
        <v>261</v>
      </c>
      <c r="O72" t="s">
        <v>286</v>
      </c>
      <c r="P72">
        <f>COUNTIF('weather-check_no_nulls'!E:E,L72)</f>
        <v>1</v>
      </c>
    </row>
    <row r="73" spans="12:16" x14ac:dyDescent="0.2">
      <c r="L73" t="s">
        <v>104</v>
      </c>
      <c r="M73" t="s">
        <v>21</v>
      </c>
      <c r="N73" s="33" t="s">
        <v>287</v>
      </c>
      <c r="O73" t="s">
        <v>286</v>
      </c>
      <c r="P73">
        <f>COUNTIF('weather-check_no_nulls'!E:E,L73)</f>
        <v>1</v>
      </c>
    </row>
    <row r="74" spans="12:16" x14ac:dyDescent="0.2">
      <c r="L74" t="s">
        <v>81</v>
      </c>
      <c r="M74" t="s">
        <v>291</v>
      </c>
      <c r="N74" s="33" t="s">
        <v>261</v>
      </c>
      <c r="O74" t="s">
        <v>265</v>
      </c>
      <c r="P74">
        <f>COUNTIF('weather-check_no_nulls'!E:E,L74)</f>
        <v>1</v>
      </c>
    </row>
    <row r="75" spans="12:16" x14ac:dyDescent="0.2">
      <c r="L75" t="s">
        <v>49</v>
      </c>
      <c r="M75" t="s">
        <v>291</v>
      </c>
      <c r="N75" s="33" t="s">
        <v>261</v>
      </c>
      <c r="O75" t="s">
        <v>265</v>
      </c>
      <c r="P75">
        <f>COUNTIF('weather-check_no_nulls'!E:E,L75)</f>
        <v>1</v>
      </c>
    </row>
    <row r="76" spans="12:16" x14ac:dyDescent="0.2">
      <c r="L76" t="s">
        <v>90</v>
      </c>
      <c r="M76" t="s">
        <v>187</v>
      </c>
      <c r="N76" t="s">
        <v>287</v>
      </c>
      <c r="O76" t="s">
        <v>286</v>
      </c>
      <c r="P76">
        <f>COUNTIF('weather-check_no_nulls'!E:E,L76)</f>
        <v>1</v>
      </c>
    </row>
    <row r="77" spans="12:16" x14ac:dyDescent="0.2">
      <c r="L77" t="s">
        <v>56</v>
      </c>
      <c r="M77" t="s">
        <v>291</v>
      </c>
      <c r="N77" t="s">
        <v>261</v>
      </c>
      <c r="O77" t="s">
        <v>265</v>
      </c>
      <c r="P77">
        <f>COUNTIF('weather-check_no_nulls'!E:E,L77)</f>
        <v>1</v>
      </c>
    </row>
    <row r="78" spans="12:16" x14ac:dyDescent="0.2">
      <c r="L78" t="s">
        <v>55</v>
      </c>
      <c r="M78" t="s">
        <v>55</v>
      </c>
      <c r="N78" s="43" t="s">
        <v>287</v>
      </c>
      <c r="O78" t="s">
        <v>286</v>
      </c>
      <c r="P78">
        <f>COUNTIF('weather-check_no_nulls'!E:E,L78)</f>
        <v>6</v>
      </c>
    </row>
    <row r="79" spans="12:16" x14ac:dyDescent="0.2">
      <c r="L79" t="s">
        <v>112</v>
      </c>
      <c r="M79" t="s">
        <v>55</v>
      </c>
      <c r="N79" t="s">
        <v>261</v>
      </c>
      <c r="O79" t="s">
        <v>286</v>
      </c>
      <c r="P79">
        <f>COUNTIF('weather-check_no_nulls'!E:E,L79)</f>
        <v>1</v>
      </c>
    </row>
    <row r="80" spans="12:16" x14ac:dyDescent="0.2">
      <c r="L80" t="s">
        <v>59</v>
      </c>
      <c r="M80" t="s">
        <v>55</v>
      </c>
      <c r="N80" s="43" t="s">
        <v>287</v>
      </c>
      <c r="O80" t="s">
        <v>286</v>
      </c>
      <c r="P80">
        <f>COUNTIF('weather-check_no_nulls'!E:E,L80)</f>
        <v>1</v>
      </c>
    </row>
    <row r="81" spans="12:16" x14ac:dyDescent="0.2">
      <c r="L81" t="s">
        <v>37</v>
      </c>
      <c r="M81" t="s">
        <v>21</v>
      </c>
      <c r="N81" t="s">
        <v>287</v>
      </c>
      <c r="O81" t="s">
        <v>286</v>
      </c>
      <c r="P81">
        <f>COUNTIF('weather-check_no_nulls'!E:E,L81)</f>
        <v>13</v>
      </c>
    </row>
    <row r="82" spans="12:16" x14ac:dyDescent="0.2">
      <c r="L82" t="s">
        <v>155</v>
      </c>
      <c r="M82" t="s">
        <v>121</v>
      </c>
      <c r="N82" s="33" t="s">
        <v>287</v>
      </c>
      <c r="O82" t="s">
        <v>286</v>
      </c>
      <c r="P82">
        <f>COUNTIF('weather-check_no_nulls'!E:E,L82)</f>
        <v>1</v>
      </c>
    </row>
    <row r="83" spans="12:16" x14ac:dyDescent="0.2">
      <c r="L83" t="s">
        <v>44</v>
      </c>
      <c r="M83" t="s">
        <v>44</v>
      </c>
      <c r="N83" s="43" t="s">
        <v>287</v>
      </c>
      <c r="O83" t="s">
        <v>286</v>
      </c>
      <c r="P83">
        <f>COUNTIF('weather-check_no_nulls'!E:E,L83)</f>
        <v>10</v>
      </c>
    </row>
    <row r="84" spans="12:16" x14ac:dyDescent="0.2">
      <c r="L84" t="s">
        <v>60</v>
      </c>
      <c r="M84" t="s">
        <v>44</v>
      </c>
      <c r="N84" t="s">
        <v>261</v>
      </c>
      <c r="O84" t="s">
        <v>286</v>
      </c>
      <c r="P84">
        <f>COUNTIF('weather-check_no_nulls'!E:E,L84)</f>
        <v>1</v>
      </c>
    </row>
    <row r="85" spans="12:16" x14ac:dyDescent="0.2">
      <c r="L85" t="s">
        <v>102</v>
      </c>
      <c r="M85" t="s">
        <v>44</v>
      </c>
      <c r="N85" t="s">
        <v>261</v>
      </c>
      <c r="O85" t="s">
        <v>286</v>
      </c>
      <c r="P85">
        <f>COUNTIF('weather-check_no_nulls'!E:E,L85)</f>
        <v>1</v>
      </c>
    </row>
    <row r="86" spans="12:16" x14ac:dyDescent="0.2">
      <c r="L86" t="s">
        <v>93</v>
      </c>
      <c r="M86" t="s">
        <v>44</v>
      </c>
      <c r="N86" s="43" t="s">
        <v>287</v>
      </c>
      <c r="O86" t="s">
        <v>286</v>
      </c>
      <c r="P86">
        <f>COUNTIF('weather-check_no_nulls'!E:E,L86)</f>
        <v>1</v>
      </c>
    </row>
    <row r="87" spans="12:16" x14ac:dyDescent="0.2">
      <c r="L87" t="s">
        <v>67</v>
      </c>
      <c r="M87" t="s">
        <v>44</v>
      </c>
      <c r="N87" s="33" t="s">
        <v>287</v>
      </c>
      <c r="O87" t="s">
        <v>286</v>
      </c>
      <c r="P87">
        <f>COUNTIF('weather-check_no_nulls'!E:E,L87)</f>
        <v>1</v>
      </c>
    </row>
    <row r="88" spans="12:16" x14ac:dyDescent="0.2">
      <c r="L88" t="s">
        <v>111</v>
      </c>
      <c r="M88" t="s">
        <v>187</v>
      </c>
      <c r="N88" s="33" t="s">
        <v>287</v>
      </c>
      <c r="O88" t="s">
        <v>286</v>
      </c>
      <c r="P88">
        <f>COUNTIF('weather-check_no_nulls'!E:E,L88)</f>
        <v>1</v>
      </c>
    </row>
    <row r="89" spans="12:16" x14ac:dyDescent="0.2">
      <c r="L89" t="s">
        <v>86</v>
      </c>
      <c r="M89" t="s">
        <v>55</v>
      </c>
      <c r="N89" s="43" t="s">
        <v>287</v>
      </c>
      <c r="O89" t="s">
        <v>286</v>
      </c>
      <c r="P89">
        <f>COUNTIF('weather-check_no_nulls'!E:E,L89)</f>
        <v>1</v>
      </c>
    </row>
    <row r="90" spans="12:16" x14ac:dyDescent="0.2">
      <c r="L90" t="s">
        <v>152</v>
      </c>
      <c r="M90" t="s">
        <v>55</v>
      </c>
      <c r="N90" s="33" t="s">
        <v>287</v>
      </c>
      <c r="O90" t="s">
        <v>286</v>
      </c>
      <c r="P90">
        <f>COUNTIF('weather-check_no_nulls'!E:E,L90)</f>
        <v>1</v>
      </c>
    </row>
    <row r="91" spans="12:16" x14ac:dyDescent="0.2">
      <c r="L91" t="s">
        <v>87</v>
      </c>
      <c r="M91" t="s">
        <v>55</v>
      </c>
      <c r="N91" s="33" t="s">
        <v>287</v>
      </c>
      <c r="O91" t="s">
        <v>286</v>
      </c>
      <c r="P91">
        <f>COUNTIF('weather-check_no_nulls'!E:E,L91)</f>
        <v>1</v>
      </c>
    </row>
    <row r="92" spans="12:16" x14ac:dyDescent="0.2">
      <c r="L92" t="s">
        <v>159</v>
      </c>
      <c r="M92" t="s">
        <v>21</v>
      </c>
      <c r="N92" s="33" t="s">
        <v>287</v>
      </c>
      <c r="O92" t="s">
        <v>286</v>
      </c>
      <c r="P92">
        <f>COUNTIF('weather-check_no_nulls'!E:E,L92)</f>
        <v>1</v>
      </c>
    </row>
    <row r="93" spans="12:16" x14ac:dyDescent="0.2">
      <c r="L93" t="s">
        <v>156</v>
      </c>
      <c r="M93" t="s">
        <v>121</v>
      </c>
      <c r="N93" s="33" t="s">
        <v>287</v>
      </c>
      <c r="O93" t="s">
        <v>286</v>
      </c>
      <c r="P93">
        <f>COUNTIF('weather-check_no_nulls'!E:E,L93)</f>
        <v>1</v>
      </c>
    </row>
    <row r="94" spans="12:16" x14ac:dyDescent="0.2">
      <c r="L94" t="s">
        <v>71</v>
      </c>
      <c r="M94" t="s">
        <v>55</v>
      </c>
      <c r="N94" s="33" t="s">
        <v>287</v>
      </c>
      <c r="O94" t="s">
        <v>286</v>
      </c>
      <c r="P94">
        <f>COUNTIF('weather-check_no_nulls'!E:E,L94)</f>
        <v>1</v>
      </c>
    </row>
    <row r="95" spans="12:16" x14ac:dyDescent="0.2">
      <c r="L95" t="s">
        <v>74</v>
      </c>
      <c r="M95" t="s">
        <v>290</v>
      </c>
      <c r="N95" s="33" t="s">
        <v>287</v>
      </c>
      <c r="O95" t="s">
        <v>286</v>
      </c>
      <c r="P95">
        <f>COUNTIF('weather-check_no_nulls'!E:E,L95)</f>
        <v>1</v>
      </c>
    </row>
    <row r="96" spans="12:16" x14ac:dyDescent="0.2">
      <c r="L96" t="s">
        <v>101</v>
      </c>
      <c r="M96" t="s">
        <v>290</v>
      </c>
      <c r="N96" s="43" t="s">
        <v>287</v>
      </c>
      <c r="O96" t="s">
        <v>286</v>
      </c>
      <c r="P96">
        <f>COUNTIF('weather-check_no_nulls'!E:E,L96)</f>
        <v>2</v>
      </c>
    </row>
    <row r="97" spans="12:16" x14ac:dyDescent="0.2">
      <c r="L97" t="s">
        <v>158</v>
      </c>
      <c r="M97" t="s">
        <v>290</v>
      </c>
      <c r="N97" t="s">
        <v>261</v>
      </c>
      <c r="O97" t="s">
        <v>286</v>
      </c>
      <c r="P97">
        <f>COUNTIF('weather-check_no_nulls'!E:E,L97)</f>
        <v>1</v>
      </c>
    </row>
    <row r="98" spans="12:16" x14ac:dyDescent="0.2">
      <c r="L98" t="s">
        <v>46</v>
      </c>
      <c r="M98" t="s">
        <v>290</v>
      </c>
      <c r="N98" t="s">
        <v>261</v>
      </c>
      <c r="O98" t="s">
        <v>284</v>
      </c>
      <c r="P98">
        <f>COUNTIF('weather-check_no_nulls'!E:E,L98)</f>
        <v>1</v>
      </c>
    </row>
    <row r="99" spans="12:16" x14ac:dyDescent="0.2">
      <c r="L99" t="s">
        <v>76</v>
      </c>
      <c r="M99" t="s">
        <v>291</v>
      </c>
      <c r="N99" t="s">
        <v>261</v>
      </c>
      <c r="O99" t="s">
        <v>265</v>
      </c>
      <c r="P99">
        <f>COUNTIF('weather-check_no_nulls'!E:E,L99)</f>
        <v>1</v>
      </c>
    </row>
    <row r="100" spans="12:16" x14ac:dyDescent="0.2">
      <c r="L100" t="s">
        <v>84</v>
      </c>
      <c r="M100" t="s">
        <v>187</v>
      </c>
      <c r="N100" t="s">
        <v>287</v>
      </c>
      <c r="O100" t="s">
        <v>286</v>
      </c>
      <c r="P100">
        <f>COUNTIF('weather-check_no_nulls'!E:E,L100)</f>
        <v>1</v>
      </c>
    </row>
    <row r="101" spans="12:16" x14ac:dyDescent="0.2">
      <c r="L101" t="s">
        <v>8</v>
      </c>
      <c r="M101" t="s">
        <v>8</v>
      </c>
      <c r="N101" t="s">
        <v>8</v>
      </c>
      <c r="O101" t="s">
        <v>8</v>
      </c>
      <c r="P101">
        <f>COUNTIF('weather-check_no_nulls'!E:E,L101)</f>
        <v>753</v>
      </c>
    </row>
  </sheetData>
  <autoFilter ref="A1:W101"/>
  <sortState ref="T4:V20">
    <sortCondition descending="1" ref="U4:U20"/>
  </sortState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101"/>
  <sheetViews>
    <sheetView workbookViewId="0">
      <selection activeCell="N14" sqref="N14"/>
    </sheetView>
  </sheetViews>
  <sheetFormatPr baseColWidth="10" defaultRowHeight="16" x14ac:dyDescent="0.2"/>
  <cols>
    <col min="1" max="1" width="46" customWidth="1"/>
    <col min="2" max="2" width="16.5" customWidth="1"/>
    <col min="3" max="3" width="20" customWidth="1"/>
    <col min="4" max="4" width="16.5" customWidth="1"/>
    <col min="5" max="7" width="13.1640625" customWidth="1"/>
    <col min="8" max="11" width="15.83203125" customWidth="1"/>
    <col min="12" max="12" width="10.6640625" customWidth="1"/>
    <col min="13" max="13" width="8.1640625" customWidth="1"/>
    <col min="14" max="14" width="50.5" customWidth="1"/>
    <col min="15" max="15" width="15.5" customWidth="1"/>
    <col min="16" max="17" width="5.83203125" customWidth="1"/>
    <col min="18" max="18" width="5.5" customWidth="1"/>
    <col min="19" max="20" width="10.6640625" customWidth="1"/>
    <col min="21" max="22" width="5.83203125" customWidth="1"/>
    <col min="23" max="23" width="5.5" customWidth="1"/>
    <col min="24" max="24" width="20.6640625" bestFit="1" customWidth="1"/>
    <col min="25" max="25" width="15.1640625" bestFit="1" customWidth="1"/>
    <col min="26" max="27" width="5.83203125" customWidth="1"/>
    <col min="28" max="28" width="5.5" customWidth="1"/>
    <col min="29" max="29" width="18.1640625" bestFit="1" customWidth="1"/>
    <col min="31" max="32" width="5.83203125" customWidth="1"/>
    <col min="33" max="33" width="5.5" customWidth="1"/>
    <col min="34" max="34" width="13.6640625" bestFit="1" customWidth="1"/>
    <col min="35" max="35" width="13.33203125" bestFit="1" customWidth="1"/>
    <col min="36" max="37" width="5.83203125" customWidth="1"/>
    <col min="38" max="38" width="5.5" customWidth="1"/>
    <col min="39" max="39" width="16.33203125" bestFit="1" customWidth="1"/>
    <col min="40" max="40" width="8" customWidth="1"/>
    <col min="41" max="42" width="5.83203125" customWidth="1"/>
    <col min="43" max="43" width="5.5" customWidth="1"/>
    <col min="45" max="45" width="14.1640625" bestFit="1" customWidth="1"/>
    <col min="46" max="47" width="5.83203125" customWidth="1"/>
    <col min="48" max="48" width="5.5" customWidth="1"/>
    <col min="49" max="49" width="17.1640625" bestFit="1" customWidth="1"/>
    <col min="50" max="50" width="18.5" bestFit="1" customWidth="1"/>
    <col min="51" max="52" width="5.83203125" customWidth="1"/>
    <col min="53" max="53" width="5.5" customWidth="1"/>
    <col min="54" max="54" width="21.5" bestFit="1" customWidth="1"/>
    <col min="55" max="55" width="18.5" bestFit="1" customWidth="1"/>
    <col min="56" max="57" width="5.83203125" customWidth="1"/>
    <col min="58" max="58" width="5.5" customWidth="1"/>
    <col min="59" max="59" width="21.5" bestFit="1" customWidth="1"/>
    <col min="60" max="60" width="10.6640625" customWidth="1"/>
  </cols>
  <sheetData>
    <row r="1" spans="1:22" x14ac:dyDescent="0.2">
      <c r="A1" t="s">
        <v>223</v>
      </c>
      <c r="N1" t="s">
        <v>223</v>
      </c>
    </row>
    <row r="2" spans="1:22" x14ac:dyDescent="0.2">
      <c r="A2" s="31" t="s">
        <v>218</v>
      </c>
      <c r="B2" s="31"/>
      <c r="C2" s="31"/>
      <c r="D2" s="31"/>
      <c r="N2" s="31" t="s">
        <v>303</v>
      </c>
      <c r="O2" s="31"/>
      <c r="P2" s="31"/>
      <c r="Q2" s="31"/>
      <c r="R2" s="30"/>
      <c r="S2" s="30"/>
      <c r="T2" s="30"/>
      <c r="U2" s="30"/>
      <c r="V2" s="30"/>
    </row>
    <row r="4" spans="1:22" x14ac:dyDescent="0.2">
      <c r="A4" s="3" t="s">
        <v>216</v>
      </c>
      <c r="B4" s="3" t="s">
        <v>217</v>
      </c>
      <c r="N4" s="3" t="s">
        <v>216</v>
      </c>
      <c r="O4" s="3" t="s">
        <v>217</v>
      </c>
    </row>
    <row r="5" spans="1:22" x14ac:dyDescent="0.2">
      <c r="A5" s="3" t="s">
        <v>192</v>
      </c>
      <c r="B5" t="s">
        <v>30</v>
      </c>
      <c r="C5" t="s">
        <v>42</v>
      </c>
      <c r="D5" t="s">
        <v>15</v>
      </c>
      <c r="E5" t="s">
        <v>34</v>
      </c>
      <c r="F5" t="s">
        <v>38</v>
      </c>
      <c r="G5" t="s">
        <v>24</v>
      </c>
      <c r="H5" t="s">
        <v>12</v>
      </c>
      <c r="I5" t="s">
        <v>25</v>
      </c>
      <c r="J5" t="s">
        <v>20</v>
      </c>
      <c r="K5" t="s">
        <v>193</v>
      </c>
      <c r="N5" s="3" t="s">
        <v>192</v>
      </c>
      <c r="O5" t="s">
        <v>162</v>
      </c>
      <c r="P5" t="s">
        <v>161</v>
      </c>
      <c r="Q5" t="s">
        <v>163</v>
      </c>
      <c r="R5" t="s">
        <v>43</v>
      </c>
      <c r="S5" t="s">
        <v>193</v>
      </c>
    </row>
    <row r="6" spans="1:22" x14ac:dyDescent="0.2">
      <c r="A6" s="4" t="s">
        <v>6</v>
      </c>
      <c r="B6" s="19">
        <v>0.85815602836879434</v>
      </c>
      <c r="C6" s="19">
        <v>0.92682926829268297</v>
      </c>
      <c r="D6" s="19">
        <v>0.88461538461538458</v>
      </c>
      <c r="E6" s="19">
        <v>0.79166666666666663</v>
      </c>
      <c r="F6" s="19">
        <v>0.94230769230769229</v>
      </c>
      <c r="G6" s="19">
        <v>0.69729729729729728</v>
      </c>
      <c r="H6" s="19">
        <v>0.74025974025974028</v>
      </c>
      <c r="I6" s="19">
        <v>0.81481481481481477</v>
      </c>
      <c r="J6" s="19">
        <v>0.9042553191489362</v>
      </c>
      <c r="K6" s="19">
        <v>0.81270903010033446</v>
      </c>
      <c r="N6" s="4" t="s">
        <v>6</v>
      </c>
      <c r="O6" s="19">
        <v>0.68181818181818177</v>
      </c>
      <c r="P6" s="19">
        <v>0.78921568627450978</v>
      </c>
      <c r="Q6" s="19">
        <v>0.84172661870503596</v>
      </c>
      <c r="R6" s="19">
        <v>0.86821705426356588</v>
      </c>
      <c r="S6" s="19">
        <v>0.80676855895196509</v>
      </c>
    </row>
    <row r="7" spans="1:22" x14ac:dyDescent="0.2">
      <c r="A7" s="4" t="s">
        <v>26</v>
      </c>
      <c r="B7" s="19">
        <v>0.14184397163120568</v>
      </c>
      <c r="C7" s="19">
        <v>7.3170731707317069E-2</v>
      </c>
      <c r="D7" s="19">
        <v>0.11538461538461539</v>
      </c>
      <c r="E7" s="19">
        <v>0.20833333333333334</v>
      </c>
      <c r="F7" s="19">
        <v>5.7692307692307696E-2</v>
      </c>
      <c r="G7" s="19">
        <v>0.30270270270270272</v>
      </c>
      <c r="H7" s="19">
        <v>0.25974025974025972</v>
      </c>
      <c r="I7" s="19">
        <v>0.18518518518518517</v>
      </c>
      <c r="J7" s="19">
        <v>9.5744680851063829E-2</v>
      </c>
      <c r="K7" s="19">
        <v>0.18729096989966554</v>
      </c>
      <c r="N7" s="4" t="s">
        <v>26</v>
      </c>
      <c r="O7" s="19">
        <v>0.31818181818181818</v>
      </c>
      <c r="P7" s="19">
        <v>0.2107843137254902</v>
      </c>
      <c r="Q7" s="19">
        <v>0.15827338129496402</v>
      </c>
      <c r="R7" s="19">
        <v>0.13178294573643412</v>
      </c>
      <c r="S7" s="19">
        <v>0.19323144104803494</v>
      </c>
    </row>
    <row r="8" spans="1:22" x14ac:dyDescent="0.2">
      <c r="A8" s="4" t="s">
        <v>193</v>
      </c>
      <c r="B8" s="19">
        <v>1</v>
      </c>
      <c r="C8" s="19">
        <v>1</v>
      </c>
      <c r="D8" s="19">
        <v>1</v>
      </c>
      <c r="E8" s="19">
        <v>1</v>
      </c>
      <c r="F8" s="19">
        <v>1</v>
      </c>
      <c r="G8" s="19">
        <v>1</v>
      </c>
      <c r="H8" s="19">
        <v>1</v>
      </c>
      <c r="I8" s="19">
        <v>1</v>
      </c>
      <c r="J8" s="19">
        <v>1</v>
      </c>
      <c r="K8" s="19">
        <v>1</v>
      </c>
      <c r="N8" s="4" t="s">
        <v>193</v>
      </c>
      <c r="O8" s="19">
        <v>1</v>
      </c>
      <c r="P8" s="19">
        <v>1</v>
      </c>
      <c r="Q8" s="19">
        <v>1</v>
      </c>
      <c r="R8" s="19">
        <v>1</v>
      </c>
      <c r="S8" s="19">
        <v>1</v>
      </c>
    </row>
    <row r="12" spans="1:22" x14ac:dyDescent="0.2">
      <c r="A12" s="1" t="s">
        <v>221</v>
      </c>
    </row>
    <row r="13" spans="1:22" x14ac:dyDescent="0.2">
      <c r="A13" t="s">
        <v>222</v>
      </c>
    </row>
    <row r="14" spans="1:22" x14ac:dyDescent="0.2">
      <c r="A14" t="s">
        <v>225</v>
      </c>
    </row>
    <row r="17" spans="1:4" x14ac:dyDescent="0.2">
      <c r="A17" s="3" t="s">
        <v>5</v>
      </c>
      <c r="B17" t="s">
        <v>219</v>
      </c>
    </row>
    <row r="18" spans="1:4" x14ac:dyDescent="0.2">
      <c r="A18" s="3" t="s">
        <v>170</v>
      </c>
      <c r="B18" t="s">
        <v>219</v>
      </c>
    </row>
    <row r="19" spans="1:4" x14ac:dyDescent="0.2">
      <c r="A19" s="3" t="s">
        <v>172</v>
      </c>
      <c r="B19" t="s">
        <v>219</v>
      </c>
    </row>
    <row r="20" spans="1:4" x14ac:dyDescent="0.2">
      <c r="A20" s="3" t="s">
        <v>173</v>
      </c>
      <c r="B20" t="s">
        <v>219</v>
      </c>
    </row>
    <row r="22" spans="1:4" x14ac:dyDescent="0.2">
      <c r="A22" s="3" t="s">
        <v>220</v>
      </c>
      <c r="B22" s="3" t="s">
        <v>217</v>
      </c>
    </row>
    <row r="23" spans="1:4" x14ac:dyDescent="0.2">
      <c r="A23" s="3" t="s">
        <v>192</v>
      </c>
      <c r="B23" t="s">
        <v>6</v>
      </c>
      <c r="C23" t="s">
        <v>26</v>
      </c>
      <c r="D23" t="s">
        <v>193</v>
      </c>
    </row>
    <row r="24" spans="1:4" x14ac:dyDescent="0.2">
      <c r="A24" s="4" t="s">
        <v>1</v>
      </c>
      <c r="B24" s="19">
        <v>0.21045576407506703</v>
      </c>
      <c r="C24" s="19">
        <v>9.8901098901098897E-2</v>
      </c>
      <c r="D24" s="19">
        <v>0.18857758620689655</v>
      </c>
    </row>
    <row r="25" spans="1:4" x14ac:dyDescent="0.2">
      <c r="A25" s="4" t="s">
        <v>27</v>
      </c>
      <c r="B25" s="19">
        <v>0.12064343163538874</v>
      </c>
      <c r="C25" s="19">
        <v>0.21978021978021978</v>
      </c>
      <c r="D25" s="19">
        <v>0.14008620689655171</v>
      </c>
    </row>
    <row r="26" spans="1:4" x14ac:dyDescent="0.2">
      <c r="A26" s="4" t="s">
        <v>31</v>
      </c>
      <c r="B26" s="19">
        <v>0.19839142091152814</v>
      </c>
      <c r="C26" s="19">
        <v>0.22527472527472528</v>
      </c>
      <c r="D26" s="19">
        <v>0.20366379310344829</v>
      </c>
    </row>
    <row r="27" spans="1:4" x14ac:dyDescent="0.2">
      <c r="A27" s="4" t="s">
        <v>51</v>
      </c>
      <c r="B27" s="19">
        <v>8.0428954423592495E-3</v>
      </c>
      <c r="C27" s="19">
        <v>1.098901098901099E-2</v>
      </c>
      <c r="D27" s="19">
        <v>8.6206896551724137E-3</v>
      </c>
    </row>
    <row r="28" spans="1:4" x14ac:dyDescent="0.2">
      <c r="A28" s="4" t="s">
        <v>40</v>
      </c>
      <c r="B28" s="19">
        <v>3.2171581769436998E-2</v>
      </c>
      <c r="C28" s="19">
        <v>4.3956043956043959E-2</v>
      </c>
      <c r="D28" s="19">
        <v>3.4482758620689655E-2</v>
      </c>
    </row>
    <row r="29" spans="1:4" x14ac:dyDescent="0.2">
      <c r="A29" s="4" t="s">
        <v>8</v>
      </c>
      <c r="B29" s="19">
        <v>8.0428954423592495E-3</v>
      </c>
      <c r="C29" s="19">
        <v>2.7472527472527472E-2</v>
      </c>
      <c r="D29" s="19">
        <v>1.1853448275862068E-2</v>
      </c>
    </row>
    <row r="30" spans="1:4" x14ac:dyDescent="0.2">
      <c r="A30" s="4" t="s">
        <v>41</v>
      </c>
      <c r="B30" s="19">
        <v>3.0831099195710455E-2</v>
      </c>
      <c r="C30" s="19">
        <v>4.3956043956043959E-2</v>
      </c>
      <c r="D30" s="19">
        <v>3.3405172413793101E-2</v>
      </c>
    </row>
    <row r="31" spans="1:4" x14ac:dyDescent="0.2">
      <c r="A31" s="4" t="s">
        <v>7</v>
      </c>
      <c r="B31" s="19">
        <v>0.22788203753351208</v>
      </c>
      <c r="C31" s="19">
        <v>0.23626373626373626</v>
      </c>
      <c r="D31" s="19">
        <v>0.22952586206896552</v>
      </c>
    </row>
    <row r="32" spans="1:4" x14ac:dyDescent="0.2">
      <c r="A32" s="4" t="s">
        <v>21</v>
      </c>
      <c r="B32" s="19">
        <v>0.16353887399463807</v>
      </c>
      <c r="C32" s="19">
        <v>9.3406593406593408E-2</v>
      </c>
      <c r="D32" s="19">
        <v>0.14978448275862069</v>
      </c>
    </row>
    <row r="33" spans="1:12" x14ac:dyDescent="0.2">
      <c r="A33" s="4" t="s">
        <v>193</v>
      </c>
      <c r="B33" s="19">
        <v>1</v>
      </c>
      <c r="C33" s="19">
        <v>1</v>
      </c>
      <c r="D33" s="19">
        <v>1</v>
      </c>
    </row>
    <row r="38" spans="1:12" x14ac:dyDescent="0.2">
      <c r="A38" s="1" t="s">
        <v>228</v>
      </c>
    </row>
    <row r="41" spans="1:12" x14ac:dyDescent="0.2">
      <c r="A41" s="3" t="s">
        <v>5</v>
      </c>
      <c r="B41" t="s">
        <v>219</v>
      </c>
    </row>
    <row r="42" spans="1:12" x14ac:dyDescent="0.2">
      <c r="A42" s="3" t="s">
        <v>172</v>
      </c>
      <c r="B42" t="s">
        <v>219</v>
      </c>
    </row>
    <row r="43" spans="1:12" x14ac:dyDescent="0.2">
      <c r="A43" s="3" t="s">
        <v>173</v>
      </c>
      <c r="B43" t="s">
        <v>219</v>
      </c>
    </row>
    <row r="45" spans="1:12" x14ac:dyDescent="0.2">
      <c r="A45" s="3" t="s">
        <v>220</v>
      </c>
      <c r="B45" s="3" t="s">
        <v>217</v>
      </c>
    </row>
    <row r="46" spans="1:12" x14ac:dyDescent="0.2">
      <c r="B46" t="s">
        <v>6</v>
      </c>
      <c r="F46" t="s">
        <v>226</v>
      </c>
      <c r="G46" t="s">
        <v>26</v>
      </c>
      <c r="K46" t="s">
        <v>227</v>
      </c>
      <c r="L46" t="s">
        <v>193</v>
      </c>
    </row>
    <row r="47" spans="1:12" x14ac:dyDescent="0.2">
      <c r="A47" s="3" t="s">
        <v>192</v>
      </c>
      <c r="B47" t="s">
        <v>162</v>
      </c>
      <c r="C47" t="s">
        <v>161</v>
      </c>
      <c r="D47" t="s">
        <v>163</v>
      </c>
      <c r="E47" t="s">
        <v>43</v>
      </c>
      <c r="G47" t="s">
        <v>162</v>
      </c>
      <c r="H47" t="s">
        <v>161</v>
      </c>
      <c r="I47" t="s">
        <v>163</v>
      </c>
      <c r="J47" t="s">
        <v>43</v>
      </c>
    </row>
    <row r="48" spans="1:12" x14ac:dyDescent="0.2">
      <c r="A48" s="4" t="s">
        <v>1</v>
      </c>
      <c r="B48" s="19">
        <v>0.20833333333333334</v>
      </c>
      <c r="C48" s="19">
        <v>0.24223602484472051</v>
      </c>
      <c r="D48" s="19">
        <v>0.20940170940170941</v>
      </c>
      <c r="E48" s="19">
        <v>0.19642857142857142</v>
      </c>
      <c r="F48" s="19">
        <v>0.21244925575101489</v>
      </c>
      <c r="G48" s="19">
        <v>5.3571428571428568E-2</v>
      </c>
      <c r="H48" s="19">
        <v>0.13953488372093023</v>
      </c>
      <c r="I48" s="19">
        <v>0.18181818181818182</v>
      </c>
      <c r="J48" s="19">
        <v>2.9411764705882353E-2</v>
      </c>
      <c r="K48" s="19">
        <v>0.10169491525423729</v>
      </c>
      <c r="L48" s="19">
        <v>0.19104803493449782</v>
      </c>
    </row>
    <row r="49" spans="1:12" x14ac:dyDescent="0.2">
      <c r="A49" s="4" t="s">
        <v>27</v>
      </c>
      <c r="B49" s="19">
        <v>0.15833333333333333</v>
      </c>
      <c r="C49" s="19">
        <v>0.11180124223602485</v>
      </c>
      <c r="D49" s="19">
        <v>0.11538461538461539</v>
      </c>
      <c r="E49" s="19">
        <v>0.11607142857142858</v>
      </c>
      <c r="F49" s="19">
        <v>0.12178619756427606</v>
      </c>
      <c r="G49" s="19">
        <v>0.2857142857142857</v>
      </c>
      <c r="H49" s="19">
        <v>0.18604651162790697</v>
      </c>
      <c r="I49" s="19">
        <v>0.13636363636363635</v>
      </c>
      <c r="J49" s="19">
        <v>0.29411764705882354</v>
      </c>
      <c r="K49" s="19">
        <v>0.22598870056497175</v>
      </c>
      <c r="L49" s="19">
        <v>0.14192139737991266</v>
      </c>
    </row>
    <row r="50" spans="1:12" x14ac:dyDescent="0.2">
      <c r="A50" s="4" t="s">
        <v>31</v>
      </c>
      <c r="B50" s="19">
        <v>6.6666666666666666E-2</v>
      </c>
      <c r="C50" s="19">
        <v>0.16770186335403728</v>
      </c>
      <c r="D50" s="19">
        <v>0.20512820512820512</v>
      </c>
      <c r="E50" s="19">
        <v>0.29017857142857145</v>
      </c>
      <c r="F50" s="19">
        <v>0.20027063599458728</v>
      </c>
      <c r="G50" s="19">
        <v>0.10714285714285714</v>
      </c>
      <c r="H50" s="19">
        <v>0.16279069767441862</v>
      </c>
      <c r="I50" s="19">
        <v>0.43181818181818182</v>
      </c>
      <c r="J50" s="19">
        <v>0.26470588235294118</v>
      </c>
      <c r="K50" s="19">
        <v>0.23163841807909605</v>
      </c>
      <c r="L50" s="19">
        <v>0.20633187772925765</v>
      </c>
    </row>
    <row r="51" spans="1:12" x14ac:dyDescent="0.2">
      <c r="A51" s="4" t="s">
        <v>51</v>
      </c>
      <c r="B51" s="19">
        <v>0</v>
      </c>
      <c r="C51" s="19">
        <v>6.2111801242236021E-3</v>
      </c>
      <c r="D51" s="19">
        <v>8.5470085470085479E-3</v>
      </c>
      <c r="E51" s="19">
        <v>1.3392857142857142E-2</v>
      </c>
      <c r="F51" s="19">
        <v>8.119079837618403E-3</v>
      </c>
      <c r="G51" s="19">
        <v>3.5714285714285712E-2</v>
      </c>
      <c r="H51" s="19">
        <v>0</v>
      </c>
      <c r="I51" s="19">
        <v>0</v>
      </c>
      <c r="J51" s="19">
        <v>0</v>
      </c>
      <c r="K51" s="19">
        <v>1.1299435028248588E-2</v>
      </c>
      <c r="L51" s="19">
        <v>8.7336244541484712E-3</v>
      </c>
    </row>
    <row r="52" spans="1:12" x14ac:dyDescent="0.2">
      <c r="A52" s="4" t="s">
        <v>40</v>
      </c>
      <c r="B52" s="19">
        <v>0</v>
      </c>
      <c r="C52" s="19">
        <v>0</v>
      </c>
      <c r="D52" s="19">
        <v>4.2735042735042736E-2</v>
      </c>
      <c r="E52" s="19">
        <v>6.25E-2</v>
      </c>
      <c r="F52" s="19">
        <v>3.2476319350473612E-2</v>
      </c>
      <c r="G52" s="19">
        <v>3.5714285714285712E-2</v>
      </c>
      <c r="H52" s="19">
        <v>2.3255813953488372E-2</v>
      </c>
      <c r="I52" s="19">
        <v>6.8181818181818177E-2</v>
      </c>
      <c r="J52" s="19">
        <v>5.8823529411764705E-2</v>
      </c>
      <c r="K52" s="19">
        <v>4.519774011299435E-2</v>
      </c>
      <c r="L52" s="19">
        <v>3.4934497816593885E-2</v>
      </c>
    </row>
    <row r="53" spans="1:12" x14ac:dyDescent="0.2">
      <c r="A53" s="4" t="s">
        <v>41</v>
      </c>
      <c r="B53" s="19">
        <v>2.5000000000000001E-2</v>
      </c>
      <c r="C53" s="19">
        <v>1.8633540372670808E-2</v>
      </c>
      <c r="D53" s="19">
        <v>2.1367521367521368E-2</v>
      </c>
      <c r="E53" s="19">
        <v>5.3571428571428568E-2</v>
      </c>
      <c r="F53" s="19">
        <v>3.1123139377537211E-2</v>
      </c>
      <c r="G53" s="19">
        <v>3.5714285714285712E-2</v>
      </c>
      <c r="H53" s="19">
        <v>6.9767441860465115E-2</v>
      </c>
      <c r="I53" s="19">
        <v>2.2727272727272728E-2</v>
      </c>
      <c r="J53" s="19">
        <v>5.8823529411764705E-2</v>
      </c>
      <c r="K53" s="19">
        <v>4.519774011299435E-2</v>
      </c>
      <c r="L53" s="19">
        <v>3.384279475982533E-2</v>
      </c>
    </row>
    <row r="54" spans="1:12" x14ac:dyDescent="0.2">
      <c r="A54" s="4" t="s">
        <v>7</v>
      </c>
      <c r="B54" s="19">
        <v>0.375</v>
      </c>
      <c r="C54" s="19">
        <v>0.31677018633540371</v>
      </c>
      <c r="D54" s="19">
        <v>0.18803418803418803</v>
      </c>
      <c r="E54" s="19">
        <v>0.13392857142857142</v>
      </c>
      <c r="F54" s="19">
        <v>0.23004059539918809</v>
      </c>
      <c r="G54" s="19">
        <v>0.3392857142857143</v>
      </c>
      <c r="H54" s="19">
        <v>0.27906976744186046</v>
      </c>
      <c r="I54" s="19">
        <v>0.15909090909090909</v>
      </c>
      <c r="J54" s="19">
        <v>0.14705882352941177</v>
      </c>
      <c r="K54" s="19">
        <v>0.24293785310734464</v>
      </c>
      <c r="L54" s="19">
        <v>0.23253275109170304</v>
      </c>
    </row>
    <row r="55" spans="1:12" x14ac:dyDescent="0.2">
      <c r="A55" s="4" t="s">
        <v>21</v>
      </c>
      <c r="B55" s="19">
        <v>0.16666666666666666</v>
      </c>
      <c r="C55" s="19">
        <v>0.13664596273291926</v>
      </c>
      <c r="D55" s="19">
        <v>0.20940170940170941</v>
      </c>
      <c r="E55" s="19">
        <v>0.13392857142857142</v>
      </c>
      <c r="F55" s="19">
        <v>0.16373477672530445</v>
      </c>
      <c r="G55" s="19">
        <v>0.10714285714285714</v>
      </c>
      <c r="H55" s="19">
        <v>0.13953488372093023</v>
      </c>
      <c r="I55" s="19">
        <v>0</v>
      </c>
      <c r="J55" s="19">
        <v>0.14705882352941177</v>
      </c>
      <c r="K55" s="19">
        <v>9.6045197740112997E-2</v>
      </c>
      <c r="L55" s="19">
        <v>0.15065502183406113</v>
      </c>
    </row>
    <row r="56" spans="1:12" x14ac:dyDescent="0.2">
      <c r="A56" s="4" t="s">
        <v>193</v>
      </c>
      <c r="B56" s="19">
        <v>1</v>
      </c>
      <c r="C56" s="19">
        <v>1</v>
      </c>
      <c r="D56" s="19">
        <v>1</v>
      </c>
      <c r="E56" s="19">
        <v>1</v>
      </c>
      <c r="F56" s="19">
        <v>1</v>
      </c>
      <c r="G56" s="19">
        <v>1</v>
      </c>
      <c r="H56" s="19">
        <v>1</v>
      </c>
      <c r="I56" s="19">
        <v>1</v>
      </c>
      <c r="J56" s="19">
        <v>1</v>
      </c>
      <c r="K56" s="19">
        <v>1</v>
      </c>
      <c r="L56" s="19">
        <v>1</v>
      </c>
    </row>
    <row r="60" spans="1:12" x14ac:dyDescent="0.2">
      <c r="A60" s="1" t="s">
        <v>242</v>
      </c>
    </row>
    <row r="61" spans="1:12" x14ac:dyDescent="0.2">
      <c r="A61" s="1"/>
    </row>
    <row r="62" spans="1:12" x14ac:dyDescent="0.2">
      <c r="A62" s="1"/>
    </row>
    <row r="63" spans="1:12" x14ac:dyDescent="0.2">
      <c r="A63" s="1"/>
    </row>
    <row r="64" spans="1:12" x14ac:dyDescent="0.2">
      <c r="A64" s="1"/>
    </row>
    <row r="65" spans="1:7" x14ac:dyDescent="0.2">
      <c r="A65" s="1"/>
    </row>
    <row r="66" spans="1:7" x14ac:dyDescent="0.2">
      <c r="A66" s="1"/>
    </row>
    <row r="67" spans="1:7" x14ac:dyDescent="0.2">
      <c r="A67" s="1"/>
    </row>
    <row r="68" spans="1:7" x14ac:dyDescent="0.2">
      <c r="A68" s="1"/>
    </row>
    <row r="69" spans="1:7" x14ac:dyDescent="0.2">
      <c r="A69" s="1"/>
    </row>
    <row r="70" spans="1:7" x14ac:dyDescent="0.2">
      <c r="A70" s="1"/>
    </row>
    <row r="71" spans="1:7" x14ac:dyDescent="0.2">
      <c r="A71" s="1"/>
    </row>
    <row r="72" spans="1:7" x14ac:dyDescent="0.2">
      <c r="A72" s="1"/>
    </row>
    <row r="73" spans="1:7" x14ac:dyDescent="0.2">
      <c r="A73" s="1"/>
    </row>
    <row r="74" spans="1:7" x14ac:dyDescent="0.2">
      <c r="A74" s="1"/>
    </row>
    <row r="75" spans="1:7" x14ac:dyDescent="0.2">
      <c r="A75" s="1"/>
    </row>
    <row r="78" spans="1:7" x14ac:dyDescent="0.2">
      <c r="B78" s="3" t="s">
        <v>217</v>
      </c>
    </row>
    <row r="79" spans="1:7" x14ac:dyDescent="0.2">
      <c r="B79" t="s">
        <v>6</v>
      </c>
      <c r="D79" t="s">
        <v>26</v>
      </c>
      <c r="F79" t="s">
        <v>243</v>
      </c>
      <c r="G79" t="s">
        <v>224</v>
      </c>
    </row>
    <row r="80" spans="1:7" x14ac:dyDescent="0.2">
      <c r="A80" s="3" t="s">
        <v>192</v>
      </c>
      <c r="B80" t="s">
        <v>244</v>
      </c>
      <c r="C80" t="s">
        <v>220</v>
      </c>
      <c r="D80" t="s">
        <v>244</v>
      </c>
      <c r="E80" t="s">
        <v>220</v>
      </c>
    </row>
    <row r="81" spans="1:7" x14ac:dyDescent="0.2">
      <c r="A81" s="4" t="s">
        <v>1</v>
      </c>
      <c r="B81" s="5">
        <v>157</v>
      </c>
      <c r="C81" s="19">
        <v>1</v>
      </c>
      <c r="D81" s="5">
        <v>18</v>
      </c>
      <c r="E81" s="19">
        <v>1</v>
      </c>
      <c r="F81" s="5">
        <v>175</v>
      </c>
      <c r="G81" s="19">
        <v>1</v>
      </c>
    </row>
    <row r="82" spans="1:7" x14ac:dyDescent="0.2">
      <c r="A82" s="32" t="s">
        <v>50</v>
      </c>
      <c r="B82" s="5">
        <v>19</v>
      </c>
      <c r="C82" s="19">
        <v>0.12101910828025478</v>
      </c>
      <c r="D82" s="5">
        <v>1</v>
      </c>
      <c r="E82" s="19">
        <v>5.5555555555555552E-2</v>
      </c>
      <c r="F82" s="5">
        <v>20</v>
      </c>
      <c r="G82" s="19">
        <v>0.11428571428571428</v>
      </c>
    </row>
    <row r="83" spans="1:7" x14ac:dyDescent="0.2">
      <c r="A83" s="32" t="s">
        <v>180</v>
      </c>
      <c r="B83" s="5">
        <v>8</v>
      </c>
      <c r="C83" s="19">
        <v>5.0955414012738856E-2</v>
      </c>
      <c r="D83" s="5"/>
      <c r="E83" s="19">
        <v>0</v>
      </c>
      <c r="F83" s="5">
        <v>8</v>
      </c>
      <c r="G83" s="19">
        <v>4.5714285714285714E-2</v>
      </c>
    </row>
    <row r="84" spans="1:7" x14ac:dyDescent="0.2">
      <c r="A84" s="32" t="s">
        <v>147</v>
      </c>
      <c r="B84" s="5">
        <v>14</v>
      </c>
      <c r="C84" s="19">
        <v>8.9171974522292988E-2</v>
      </c>
      <c r="D84" s="5">
        <v>3</v>
      </c>
      <c r="E84" s="19">
        <v>0.16666666666666666</v>
      </c>
      <c r="F84" s="5">
        <v>17</v>
      </c>
      <c r="G84" s="19">
        <v>9.7142857142857142E-2</v>
      </c>
    </row>
    <row r="85" spans="1:7" x14ac:dyDescent="0.2">
      <c r="A85" s="32" t="s">
        <v>177</v>
      </c>
      <c r="B85" s="5">
        <v>3</v>
      </c>
      <c r="C85" s="19">
        <v>1.9108280254777069E-2</v>
      </c>
      <c r="D85" s="5"/>
      <c r="E85" s="19">
        <v>0</v>
      </c>
      <c r="F85" s="5">
        <v>3</v>
      </c>
      <c r="G85" s="19">
        <v>1.7142857142857144E-2</v>
      </c>
    </row>
    <row r="86" spans="1:7" x14ac:dyDescent="0.2">
      <c r="A86" s="32" t="s">
        <v>185</v>
      </c>
      <c r="B86" s="5">
        <v>5</v>
      </c>
      <c r="C86" s="19">
        <v>3.1847133757961783E-2</v>
      </c>
      <c r="D86" s="5"/>
      <c r="E86" s="19">
        <v>0</v>
      </c>
      <c r="F86" s="5">
        <v>5</v>
      </c>
      <c r="G86" s="19">
        <v>2.8571428571428571E-2</v>
      </c>
    </row>
    <row r="87" spans="1:7" x14ac:dyDescent="0.2">
      <c r="A87" s="32" t="s">
        <v>186</v>
      </c>
      <c r="B87" s="5">
        <v>4</v>
      </c>
      <c r="C87" s="19">
        <v>2.5477707006369428E-2</v>
      </c>
      <c r="D87" s="5"/>
      <c r="E87" s="19">
        <v>0</v>
      </c>
      <c r="F87" s="5">
        <v>4</v>
      </c>
      <c r="G87" s="19">
        <v>2.2857142857142857E-2</v>
      </c>
    </row>
    <row r="88" spans="1:7" x14ac:dyDescent="0.2">
      <c r="A88" s="32" t="s">
        <v>121</v>
      </c>
      <c r="B88" s="5">
        <v>2</v>
      </c>
      <c r="C88" s="19">
        <v>1.2738853503184714E-2</v>
      </c>
      <c r="D88" s="5">
        <v>3</v>
      </c>
      <c r="E88" s="19">
        <v>0.16666666666666666</v>
      </c>
      <c r="F88" s="5">
        <v>5</v>
      </c>
      <c r="G88" s="19">
        <v>2.8571428571428571E-2</v>
      </c>
    </row>
    <row r="89" spans="1:7" x14ac:dyDescent="0.2">
      <c r="A89" s="32" t="s">
        <v>179</v>
      </c>
      <c r="B89" s="5">
        <v>3</v>
      </c>
      <c r="C89" s="19">
        <v>1.9108280254777069E-2</v>
      </c>
      <c r="D89" s="5"/>
      <c r="E89" s="19">
        <v>0</v>
      </c>
      <c r="F89" s="5">
        <v>3</v>
      </c>
      <c r="G89" s="19">
        <v>1.7142857142857144E-2</v>
      </c>
    </row>
    <row r="90" spans="1:7" x14ac:dyDescent="0.2">
      <c r="A90" s="32" t="s">
        <v>181</v>
      </c>
      <c r="B90" s="5">
        <v>1</v>
      </c>
      <c r="C90" s="19">
        <v>6.369426751592357E-3</v>
      </c>
      <c r="D90" s="5">
        <v>4</v>
      </c>
      <c r="E90" s="19">
        <v>0.22222222222222221</v>
      </c>
      <c r="F90" s="5">
        <v>5</v>
      </c>
      <c r="G90" s="19">
        <v>2.8571428571428571E-2</v>
      </c>
    </row>
    <row r="91" spans="1:7" x14ac:dyDescent="0.2">
      <c r="A91" s="32" t="s">
        <v>182</v>
      </c>
      <c r="B91" s="5">
        <v>4</v>
      </c>
      <c r="C91" s="19">
        <v>2.5477707006369428E-2</v>
      </c>
      <c r="D91" s="5">
        <v>1</v>
      </c>
      <c r="E91" s="19">
        <v>5.5555555555555552E-2</v>
      </c>
      <c r="F91" s="5">
        <v>5</v>
      </c>
      <c r="G91" s="19">
        <v>2.8571428571428571E-2</v>
      </c>
    </row>
    <row r="92" spans="1:7" x14ac:dyDescent="0.2">
      <c r="A92" s="32" t="s">
        <v>183</v>
      </c>
      <c r="B92" s="5">
        <v>3</v>
      </c>
      <c r="C92" s="19">
        <v>1.9108280254777069E-2</v>
      </c>
      <c r="D92" s="5">
        <v>1</v>
      </c>
      <c r="E92" s="19">
        <v>5.5555555555555552E-2</v>
      </c>
      <c r="F92" s="5">
        <v>4</v>
      </c>
      <c r="G92" s="19">
        <v>2.2857142857142857E-2</v>
      </c>
    </row>
    <row r="93" spans="1:7" x14ac:dyDescent="0.2">
      <c r="A93" s="32" t="s">
        <v>189</v>
      </c>
      <c r="B93" s="5">
        <v>2</v>
      </c>
      <c r="C93" s="19">
        <v>1.2738853503184714E-2</v>
      </c>
      <c r="D93" s="5"/>
      <c r="E93" s="19">
        <v>0</v>
      </c>
      <c r="F93" s="5">
        <v>2</v>
      </c>
      <c r="G93" s="19">
        <v>1.1428571428571429E-2</v>
      </c>
    </row>
    <row r="94" spans="1:7" x14ac:dyDescent="0.2">
      <c r="A94" s="32" t="s">
        <v>188</v>
      </c>
      <c r="B94" s="5">
        <v>2</v>
      </c>
      <c r="C94" s="19">
        <v>1.2738853503184714E-2</v>
      </c>
      <c r="D94" s="5">
        <v>1</v>
      </c>
      <c r="E94" s="19">
        <v>5.5555555555555552E-2</v>
      </c>
      <c r="F94" s="5">
        <v>3</v>
      </c>
      <c r="G94" s="19">
        <v>1.7142857142857144E-2</v>
      </c>
    </row>
    <row r="95" spans="1:7" x14ac:dyDescent="0.2">
      <c r="A95" s="32" t="s">
        <v>184</v>
      </c>
      <c r="B95" s="5">
        <v>2</v>
      </c>
      <c r="C95" s="19">
        <v>1.2738853503184714E-2</v>
      </c>
      <c r="D95" s="5"/>
      <c r="E95" s="19">
        <v>0</v>
      </c>
      <c r="F95" s="5">
        <v>2</v>
      </c>
      <c r="G95" s="19">
        <v>1.1428571428571429E-2</v>
      </c>
    </row>
    <row r="96" spans="1:7" x14ac:dyDescent="0.2">
      <c r="A96" s="32" t="s">
        <v>187</v>
      </c>
      <c r="B96" s="5">
        <v>3</v>
      </c>
      <c r="C96" s="19">
        <v>1.9108280254777069E-2</v>
      </c>
      <c r="D96" s="5"/>
      <c r="E96" s="19">
        <v>0</v>
      </c>
      <c r="F96" s="5">
        <v>3</v>
      </c>
      <c r="G96" s="19">
        <v>1.7142857142857144E-2</v>
      </c>
    </row>
    <row r="97" spans="1:7" x14ac:dyDescent="0.2">
      <c r="A97" s="32" t="s">
        <v>21</v>
      </c>
      <c r="B97" s="5">
        <v>40</v>
      </c>
      <c r="C97" s="19">
        <v>0.25477707006369427</v>
      </c>
      <c r="D97" s="5">
        <v>4</v>
      </c>
      <c r="E97" s="19">
        <v>0.22222222222222221</v>
      </c>
      <c r="F97" s="5">
        <v>44</v>
      </c>
      <c r="G97" s="19">
        <v>0.25142857142857145</v>
      </c>
    </row>
    <row r="98" spans="1:7" x14ac:dyDescent="0.2">
      <c r="A98" s="32" t="s">
        <v>55</v>
      </c>
      <c r="B98" s="5">
        <v>13</v>
      </c>
      <c r="C98" s="19">
        <v>8.2802547770700632E-2</v>
      </c>
      <c r="D98" s="5"/>
      <c r="E98" s="19">
        <v>0</v>
      </c>
      <c r="F98" s="5">
        <v>13</v>
      </c>
      <c r="G98" s="19">
        <v>7.4285714285714288E-2</v>
      </c>
    </row>
    <row r="99" spans="1:7" x14ac:dyDescent="0.2">
      <c r="A99" s="32" t="s">
        <v>44</v>
      </c>
      <c r="B99" s="5">
        <v>24</v>
      </c>
      <c r="C99" s="19">
        <v>0.15286624203821655</v>
      </c>
      <c r="D99" s="5"/>
      <c r="E99" s="19">
        <v>0</v>
      </c>
      <c r="F99" s="5">
        <v>24</v>
      </c>
      <c r="G99" s="19">
        <v>0.13714285714285715</v>
      </c>
    </row>
    <row r="100" spans="1:7" x14ac:dyDescent="0.2">
      <c r="A100" s="32" t="s">
        <v>101</v>
      </c>
      <c r="B100" s="5">
        <v>5</v>
      </c>
      <c r="C100" s="19">
        <v>3.1847133757961783E-2</v>
      </c>
      <c r="D100" s="5"/>
      <c r="E100" s="19">
        <v>0</v>
      </c>
      <c r="F100" s="5">
        <v>5</v>
      </c>
      <c r="G100" s="19">
        <v>2.8571428571428571E-2</v>
      </c>
    </row>
    <row r="101" spans="1:7" x14ac:dyDescent="0.2">
      <c r="A101" s="4" t="s">
        <v>193</v>
      </c>
      <c r="B101" s="5">
        <v>157</v>
      </c>
      <c r="C101" s="19">
        <v>1</v>
      </c>
      <c r="D101" s="5">
        <v>18</v>
      </c>
      <c r="E101" s="19">
        <v>1</v>
      </c>
      <c r="F101" s="5">
        <v>175</v>
      </c>
      <c r="G101" s="19">
        <v>1</v>
      </c>
    </row>
  </sheetData>
  <conditionalFormatting pivot="1" sqref="B6:K6">
    <cfRule type="colorScale" priority="6">
      <colorScale>
        <cfvo type="num" val="0.7"/>
        <cfvo type="num" val="0.8"/>
        <cfvo type="num" val="0.9"/>
        <color theme="5" tint="0.79998168889431442"/>
        <color theme="7" tint="0.79998168889431442"/>
        <color theme="9" tint="0.79998168889431442"/>
      </colorScale>
    </cfRule>
  </conditionalFormatting>
  <conditionalFormatting pivot="1" sqref="B24:D32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{A3124547-939B-144F-8F14-5B12F40E96E9}</x14:id>
        </ext>
      </extLst>
    </cfRule>
  </conditionalFormatting>
  <conditionalFormatting pivot="1" sqref="B48:L55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{6E425C29-799C-5E41-891B-CBC88FCB77B4}</x14:id>
        </ext>
      </extLst>
    </cfRule>
  </conditionalFormatting>
  <conditionalFormatting pivot="1" sqref="C81 E81 G81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{CE8A4B9B-39D9-D94A-BA8A-75E9DDCB016A}</x14:id>
        </ext>
      </extLst>
    </cfRule>
  </conditionalFormatting>
  <conditionalFormatting pivot="1" sqref="O6:S6">
    <cfRule type="colorScale" priority="1">
      <colorScale>
        <cfvo type="num" val="0.7"/>
        <cfvo type="num" val="0.8"/>
        <cfvo type="num" val="0.9"/>
        <color theme="5" tint="0.79998168889431442"/>
        <color theme="7" tint="0.79998168889431442"/>
        <color theme="9" tint="0.79998168889431442"/>
      </colorScale>
    </cfRule>
  </conditionalFormatting>
  <pageMargins left="0.7" right="0.7" top="0.75" bottom="0.75" header="0.3" footer="0.3"/>
  <drawing r:id="rId6"/>
  <extLst>
    <ext xmlns:x14="http://schemas.microsoft.com/office/spreadsheetml/2009/9/main" uri="{78C0D931-6437-407d-A8EE-F0AAD7539E65}">
      <x14:conditionalFormattings>
        <x14:conditionalFormatting xmlns:xm="http://schemas.microsoft.com/office/excel/2006/main" pivot="1">
          <x14:cfRule type="dataBar" id="{A3124547-939B-144F-8F14-5B12F40E96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B24:D32</xm:sqref>
        </x14:conditionalFormatting>
        <x14:conditionalFormatting xmlns:xm="http://schemas.microsoft.com/office/excel/2006/main" pivot="1">
          <x14:cfRule type="dataBar" id="{6E425C29-799C-5E41-891B-CBC88FCB77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B48:L55</xm:sqref>
        </x14:conditionalFormatting>
        <x14:conditionalFormatting xmlns:xm="http://schemas.microsoft.com/office/excel/2006/main" pivot="1">
          <x14:cfRule type="dataBar" id="{CE8A4B9B-39D9-D94A-BA8A-75E9DDCB01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C81 E81 G81</xm:sqref>
        </x14:conditionalFormatting>
      </x14:conditionalFormattings>
    </ext>
    <ext xmlns:x14="http://schemas.microsoft.com/office/spreadsheetml/2009/9/main" uri="{A8765BA9-456A-4dab-B4F3-ACF838C121DE}">
      <x14:slicerList>
        <x14:slicer r:id="rId7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162"/>
  <sheetViews>
    <sheetView workbookViewId="0">
      <selection activeCell="K53" sqref="K53"/>
    </sheetView>
  </sheetViews>
  <sheetFormatPr baseColWidth="10" defaultRowHeight="16" x14ac:dyDescent="0.2"/>
  <cols>
    <col min="1" max="1" width="15" customWidth="1"/>
    <col min="2" max="2" width="12.1640625" customWidth="1"/>
    <col min="3" max="3" width="49.1640625" customWidth="1"/>
  </cols>
  <sheetData>
    <row r="2" spans="1:2" x14ac:dyDescent="0.2">
      <c r="A2" t="s">
        <v>295</v>
      </c>
    </row>
    <row r="3" spans="1:2" x14ac:dyDescent="0.2">
      <c r="A3" s="3" t="s">
        <v>192</v>
      </c>
      <c r="B3" t="s">
        <v>194</v>
      </c>
    </row>
    <row r="4" spans="1:2" x14ac:dyDescent="0.2">
      <c r="A4" s="4" t="s">
        <v>50</v>
      </c>
      <c r="B4" s="5">
        <v>17</v>
      </c>
    </row>
    <row r="5" spans="1:2" x14ac:dyDescent="0.2">
      <c r="A5" s="4" t="s">
        <v>37</v>
      </c>
      <c r="B5" s="5">
        <v>13</v>
      </c>
    </row>
    <row r="6" spans="1:2" x14ac:dyDescent="0.2">
      <c r="A6" s="4" t="s">
        <v>44</v>
      </c>
      <c r="B6" s="5">
        <v>10</v>
      </c>
    </row>
    <row r="7" spans="1:2" x14ac:dyDescent="0.2">
      <c r="A7" s="4" t="s">
        <v>61</v>
      </c>
      <c r="B7" s="5">
        <v>8</v>
      </c>
    </row>
    <row r="8" spans="1:2" x14ac:dyDescent="0.2">
      <c r="A8" s="4" t="s">
        <v>53</v>
      </c>
      <c r="B8" s="5">
        <v>7</v>
      </c>
    </row>
    <row r="9" spans="1:2" x14ac:dyDescent="0.2">
      <c r="A9" s="4" t="s">
        <v>55</v>
      </c>
      <c r="B9" s="5">
        <v>6</v>
      </c>
    </row>
    <row r="10" spans="1:2" x14ac:dyDescent="0.2">
      <c r="A10" s="4" t="s">
        <v>45</v>
      </c>
      <c r="B10" s="5">
        <v>5</v>
      </c>
    </row>
    <row r="11" spans="1:2" x14ac:dyDescent="0.2">
      <c r="A11" s="4" t="s">
        <v>116</v>
      </c>
      <c r="B11" s="5">
        <v>4</v>
      </c>
    </row>
    <row r="12" spans="1:2" x14ac:dyDescent="0.2">
      <c r="A12" s="4" t="s">
        <v>21</v>
      </c>
      <c r="B12" s="5">
        <v>4</v>
      </c>
    </row>
    <row r="13" spans="1:2" x14ac:dyDescent="0.2">
      <c r="A13" s="4" t="s">
        <v>89</v>
      </c>
      <c r="B13" s="5">
        <v>3</v>
      </c>
    </row>
    <row r="14" spans="1:2" x14ac:dyDescent="0.2">
      <c r="A14" s="4" t="s">
        <v>68</v>
      </c>
      <c r="B14" s="5">
        <v>3</v>
      </c>
    </row>
    <row r="15" spans="1:2" x14ac:dyDescent="0.2">
      <c r="A15" s="4" t="s">
        <v>98</v>
      </c>
      <c r="B15" s="5">
        <v>2</v>
      </c>
    </row>
    <row r="16" spans="1:2" x14ac:dyDescent="0.2">
      <c r="A16" s="4" t="s">
        <v>107</v>
      </c>
      <c r="B16" s="5">
        <v>2</v>
      </c>
    </row>
    <row r="17" spans="1:2" x14ac:dyDescent="0.2">
      <c r="A17" s="4" t="s">
        <v>17</v>
      </c>
      <c r="B17" s="5">
        <v>2</v>
      </c>
    </row>
    <row r="18" spans="1:2" x14ac:dyDescent="0.2">
      <c r="A18" s="4" t="s">
        <v>75</v>
      </c>
      <c r="B18" s="5">
        <v>2</v>
      </c>
    </row>
    <row r="19" spans="1:2" x14ac:dyDescent="0.2">
      <c r="A19" s="4" t="s">
        <v>115</v>
      </c>
      <c r="B19" s="5">
        <v>2</v>
      </c>
    </row>
    <row r="20" spans="1:2" x14ac:dyDescent="0.2">
      <c r="A20" s="4" t="s">
        <v>113</v>
      </c>
      <c r="B20" s="5">
        <v>2</v>
      </c>
    </row>
    <row r="21" spans="1:2" x14ac:dyDescent="0.2">
      <c r="A21" s="4" t="s">
        <v>101</v>
      </c>
      <c r="B21" s="5">
        <v>2</v>
      </c>
    </row>
    <row r="22" spans="1:2" x14ac:dyDescent="0.2">
      <c r="A22" s="4" t="s">
        <v>126</v>
      </c>
      <c r="B22" s="5">
        <v>1</v>
      </c>
    </row>
    <row r="23" spans="1:2" x14ac:dyDescent="0.2">
      <c r="A23" s="4" t="s">
        <v>146</v>
      </c>
      <c r="B23" s="5">
        <v>1</v>
      </c>
    </row>
    <row r="24" spans="1:2" x14ac:dyDescent="0.2">
      <c r="A24" s="4" t="s">
        <v>119</v>
      </c>
      <c r="B24" s="5">
        <v>1</v>
      </c>
    </row>
    <row r="25" spans="1:2" x14ac:dyDescent="0.2">
      <c r="A25" s="4" t="s">
        <v>63</v>
      </c>
      <c r="B25" s="5">
        <v>1</v>
      </c>
    </row>
    <row r="26" spans="1:2" x14ac:dyDescent="0.2">
      <c r="A26" s="4" t="s">
        <v>49</v>
      </c>
      <c r="B26" s="5">
        <v>1</v>
      </c>
    </row>
    <row r="27" spans="1:2" x14ac:dyDescent="0.2">
      <c r="A27" s="4" t="s">
        <v>54</v>
      </c>
      <c r="B27" s="5">
        <v>1</v>
      </c>
    </row>
    <row r="28" spans="1:2" x14ac:dyDescent="0.2">
      <c r="A28" s="4" t="s">
        <v>87</v>
      </c>
      <c r="B28" s="5">
        <v>1</v>
      </c>
    </row>
    <row r="29" spans="1:2" x14ac:dyDescent="0.2">
      <c r="A29" s="4" t="s">
        <v>123</v>
      </c>
      <c r="B29" s="5">
        <v>1</v>
      </c>
    </row>
    <row r="30" spans="1:2" x14ac:dyDescent="0.2">
      <c r="A30" s="4" t="s">
        <v>176</v>
      </c>
      <c r="B30" s="5">
        <v>1</v>
      </c>
    </row>
    <row r="31" spans="1:2" x14ac:dyDescent="0.2">
      <c r="A31" s="4" t="s">
        <v>145</v>
      </c>
      <c r="B31" s="5">
        <v>1</v>
      </c>
    </row>
    <row r="32" spans="1:2" x14ac:dyDescent="0.2">
      <c r="A32" s="4" t="s">
        <v>96</v>
      </c>
      <c r="B32" s="5">
        <v>1</v>
      </c>
    </row>
    <row r="33" spans="1:2" x14ac:dyDescent="0.2">
      <c r="A33" s="4" t="s">
        <v>137</v>
      </c>
      <c r="B33" s="5">
        <v>1</v>
      </c>
    </row>
    <row r="34" spans="1:2" x14ac:dyDescent="0.2">
      <c r="A34" s="4" t="s">
        <v>112</v>
      </c>
      <c r="B34" s="5">
        <v>1</v>
      </c>
    </row>
    <row r="35" spans="1:2" x14ac:dyDescent="0.2">
      <c r="A35" s="4" t="s">
        <v>73</v>
      </c>
      <c r="B35" s="5">
        <v>1</v>
      </c>
    </row>
    <row r="36" spans="1:2" x14ac:dyDescent="0.2">
      <c r="A36" s="4" t="s">
        <v>67</v>
      </c>
      <c r="B36" s="5">
        <v>1</v>
      </c>
    </row>
    <row r="37" spans="1:2" x14ac:dyDescent="0.2">
      <c r="A37" s="4" t="s">
        <v>153</v>
      </c>
      <c r="B37" s="5">
        <v>1</v>
      </c>
    </row>
    <row r="38" spans="1:2" x14ac:dyDescent="0.2">
      <c r="A38" s="4" t="s">
        <v>62</v>
      </c>
      <c r="B38" s="5">
        <v>1</v>
      </c>
    </row>
    <row r="39" spans="1:2" x14ac:dyDescent="0.2">
      <c r="A39" s="4" t="s">
        <v>64</v>
      </c>
      <c r="B39" s="5">
        <v>1</v>
      </c>
    </row>
    <row r="40" spans="1:2" x14ac:dyDescent="0.2">
      <c r="A40" s="4" t="s">
        <v>110</v>
      </c>
      <c r="B40" s="5">
        <v>1</v>
      </c>
    </row>
    <row r="41" spans="1:2" x14ac:dyDescent="0.2">
      <c r="A41" s="4" t="s">
        <v>82</v>
      </c>
      <c r="B41" s="5">
        <v>1</v>
      </c>
    </row>
    <row r="42" spans="1:2" x14ac:dyDescent="0.2">
      <c r="A42" s="4" t="s">
        <v>130</v>
      </c>
      <c r="B42" s="5">
        <v>1</v>
      </c>
    </row>
    <row r="43" spans="1:2" x14ac:dyDescent="0.2">
      <c r="A43" s="4" t="s">
        <v>57</v>
      </c>
      <c r="B43" s="5">
        <v>1</v>
      </c>
    </row>
    <row r="44" spans="1:2" x14ac:dyDescent="0.2">
      <c r="A44" s="4" t="s">
        <v>108</v>
      </c>
      <c r="B44" s="5">
        <v>1</v>
      </c>
    </row>
    <row r="45" spans="1:2" x14ac:dyDescent="0.2">
      <c r="A45" s="4" t="s">
        <v>19</v>
      </c>
      <c r="B45" s="5">
        <v>1</v>
      </c>
    </row>
    <row r="46" spans="1:2" x14ac:dyDescent="0.2">
      <c r="A46" s="4" t="s">
        <v>104</v>
      </c>
      <c r="B46" s="5">
        <v>1</v>
      </c>
    </row>
    <row r="47" spans="1:2" x14ac:dyDescent="0.2">
      <c r="A47" s="4" t="s">
        <v>92</v>
      </c>
      <c r="B47" s="5">
        <v>1</v>
      </c>
    </row>
    <row r="48" spans="1:2" x14ac:dyDescent="0.2">
      <c r="A48" s="4" t="s">
        <v>56</v>
      </c>
      <c r="B48" s="5">
        <v>1</v>
      </c>
    </row>
    <row r="49" spans="1:2" x14ac:dyDescent="0.2">
      <c r="A49" s="4" t="s">
        <v>65</v>
      </c>
      <c r="B49" s="5">
        <v>1</v>
      </c>
    </row>
    <row r="50" spans="1:2" x14ac:dyDescent="0.2">
      <c r="A50" s="4" t="s">
        <v>149</v>
      </c>
      <c r="B50" s="5">
        <v>1</v>
      </c>
    </row>
    <row r="51" spans="1:2" x14ac:dyDescent="0.2">
      <c r="A51" s="4" t="s">
        <v>100</v>
      </c>
      <c r="B51" s="5">
        <v>1</v>
      </c>
    </row>
    <row r="52" spans="1:2" x14ac:dyDescent="0.2">
      <c r="A52" s="4" t="s">
        <v>102</v>
      </c>
      <c r="B52" s="5">
        <v>1</v>
      </c>
    </row>
    <row r="53" spans="1:2" x14ac:dyDescent="0.2">
      <c r="A53" s="4" t="s">
        <v>91</v>
      </c>
      <c r="B53" s="5">
        <v>1</v>
      </c>
    </row>
    <row r="54" spans="1:2" x14ac:dyDescent="0.2">
      <c r="A54" s="4" t="s">
        <v>86</v>
      </c>
      <c r="B54" s="5">
        <v>1</v>
      </c>
    </row>
    <row r="55" spans="1:2" x14ac:dyDescent="0.2">
      <c r="A55" s="4" t="s">
        <v>94</v>
      </c>
      <c r="B55" s="5">
        <v>1</v>
      </c>
    </row>
    <row r="56" spans="1:2" x14ac:dyDescent="0.2">
      <c r="A56" s="4" t="s">
        <v>156</v>
      </c>
      <c r="B56" s="5">
        <v>1</v>
      </c>
    </row>
    <row r="57" spans="1:2" x14ac:dyDescent="0.2">
      <c r="A57" s="4" t="s">
        <v>120</v>
      </c>
      <c r="B57" s="5">
        <v>1</v>
      </c>
    </row>
    <row r="58" spans="1:2" x14ac:dyDescent="0.2">
      <c r="A58" s="4" t="s">
        <v>124</v>
      </c>
      <c r="B58" s="5">
        <v>1</v>
      </c>
    </row>
    <row r="59" spans="1:2" x14ac:dyDescent="0.2">
      <c r="A59" s="4" t="s">
        <v>143</v>
      </c>
      <c r="B59" s="5">
        <v>1</v>
      </c>
    </row>
    <row r="60" spans="1:2" x14ac:dyDescent="0.2">
      <c r="A60" s="4" t="s">
        <v>141</v>
      </c>
      <c r="B60" s="5">
        <v>1</v>
      </c>
    </row>
    <row r="61" spans="1:2" x14ac:dyDescent="0.2">
      <c r="A61" s="4" t="s">
        <v>178</v>
      </c>
      <c r="B61" s="5">
        <v>1</v>
      </c>
    </row>
    <row r="62" spans="1:2" x14ac:dyDescent="0.2">
      <c r="A62" s="4" t="s">
        <v>157</v>
      </c>
      <c r="B62" s="5">
        <v>1</v>
      </c>
    </row>
    <row r="63" spans="1:2" x14ac:dyDescent="0.2">
      <c r="A63" s="4" t="s">
        <v>154</v>
      </c>
      <c r="B63" s="5">
        <v>1</v>
      </c>
    </row>
    <row r="64" spans="1:2" x14ac:dyDescent="0.2">
      <c r="A64" s="4" t="s">
        <v>160</v>
      </c>
      <c r="B64" s="5">
        <v>1</v>
      </c>
    </row>
    <row r="65" spans="1:2" x14ac:dyDescent="0.2">
      <c r="A65" s="4" t="s">
        <v>121</v>
      </c>
      <c r="B65" s="5">
        <v>1</v>
      </c>
    </row>
    <row r="66" spans="1:2" x14ac:dyDescent="0.2">
      <c r="A66" s="4" t="s">
        <v>134</v>
      </c>
      <c r="B66" s="5">
        <v>1</v>
      </c>
    </row>
    <row r="67" spans="1:2" x14ac:dyDescent="0.2">
      <c r="A67" s="4" t="s">
        <v>79</v>
      </c>
      <c r="B67" s="5">
        <v>1</v>
      </c>
    </row>
    <row r="68" spans="1:2" x14ac:dyDescent="0.2">
      <c r="A68" s="4" t="s">
        <v>78</v>
      </c>
      <c r="B68" s="5">
        <v>1</v>
      </c>
    </row>
    <row r="69" spans="1:2" x14ac:dyDescent="0.2">
      <c r="A69" s="4" t="s">
        <v>35</v>
      </c>
      <c r="B69" s="5">
        <v>1</v>
      </c>
    </row>
    <row r="70" spans="1:2" x14ac:dyDescent="0.2">
      <c r="A70" s="4" t="s">
        <v>138</v>
      </c>
      <c r="B70" s="5">
        <v>1</v>
      </c>
    </row>
    <row r="71" spans="1:2" x14ac:dyDescent="0.2">
      <c r="A71" s="4" t="s">
        <v>80</v>
      </c>
      <c r="B71" s="5">
        <v>1</v>
      </c>
    </row>
    <row r="72" spans="1:2" x14ac:dyDescent="0.2">
      <c r="A72" s="4" t="s">
        <v>105</v>
      </c>
      <c r="B72" s="5">
        <v>1</v>
      </c>
    </row>
    <row r="73" spans="1:2" x14ac:dyDescent="0.2">
      <c r="A73" s="4" t="s">
        <v>109</v>
      </c>
      <c r="B73" s="5">
        <v>1</v>
      </c>
    </row>
    <row r="74" spans="1:2" x14ac:dyDescent="0.2">
      <c r="A74" s="4" t="s">
        <v>81</v>
      </c>
      <c r="B74" s="5">
        <v>1</v>
      </c>
    </row>
    <row r="75" spans="1:2" x14ac:dyDescent="0.2">
      <c r="A75" s="4" t="s">
        <v>72</v>
      </c>
      <c r="B75" s="5">
        <v>1</v>
      </c>
    </row>
    <row r="76" spans="1:2" x14ac:dyDescent="0.2">
      <c r="A76" s="4" t="s">
        <v>90</v>
      </c>
      <c r="B76" s="5">
        <v>1</v>
      </c>
    </row>
    <row r="77" spans="1:2" x14ac:dyDescent="0.2">
      <c r="A77" s="4" t="s">
        <v>97</v>
      </c>
      <c r="B77" s="5">
        <v>1</v>
      </c>
    </row>
    <row r="78" spans="1:2" x14ac:dyDescent="0.2">
      <c r="A78" s="4" t="s">
        <v>144</v>
      </c>
      <c r="B78" s="5">
        <v>1</v>
      </c>
    </row>
    <row r="79" spans="1:2" x14ac:dyDescent="0.2">
      <c r="A79" s="4" t="s">
        <v>74</v>
      </c>
      <c r="B79" s="5">
        <v>1</v>
      </c>
    </row>
    <row r="80" spans="1:2" x14ac:dyDescent="0.2">
      <c r="A80" s="4" t="s">
        <v>59</v>
      </c>
      <c r="B80" s="5">
        <v>1</v>
      </c>
    </row>
    <row r="81" spans="1:2" x14ac:dyDescent="0.2">
      <c r="A81" s="4" t="s">
        <v>158</v>
      </c>
      <c r="B81" s="5">
        <v>1</v>
      </c>
    </row>
    <row r="82" spans="1:2" x14ac:dyDescent="0.2">
      <c r="A82" s="4" t="s">
        <v>155</v>
      </c>
      <c r="B82" s="5">
        <v>1</v>
      </c>
    </row>
    <row r="83" spans="1:2" x14ac:dyDescent="0.2">
      <c r="A83" s="4" t="s">
        <v>76</v>
      </c>
      <c r="B83" s="5">
        <v>1</v>
      </c>
    </row>
    <row r="84" spans="1:2" x14ac:dyDescent="0.2">
      <c r="A84" s="4" t="s">
        <v>60</v>
      </c>
      <c r="B84" s="5">
        <v>1</v>
      </c>
    </row>
    <row r="85" spans="1:2" x14ac:dyDescent="0.2">
      <c r="A85" s="4" t="s">
        <v>106</v>
      </c>
      <c r="B85" s="5">
        <v>1</v>
      </c>
    </row>
    <row r="86" spans="1:2" x14ac:dyDescent="0.2">
      <c r="A86" s="4" t="s">
        <v>93</v>
      </c>
      <c r="B86" s="5">
        <v>1</v>
      </c>
    </row>
    <row r="87" spans="1:2" x14ac:dyDescent="0.2">
      <c r="A87" s="4" t="s">
        <v>150</v>
      </c>
      <c r="B87" s="5">
        <v>1</v>
      </c>
    </row>
    <row r="88" spans="1:2" x14ac:dyDescent="0.2">
      <c r="A88" s="4" t="s">
        <v>111</v>
      </c>
      <c r="B88" s="5">
        <v>1</v>
      </c>
    </row>
    <row r="89" spans="1:2" x14ac:dyDescent="0.2">
      <c r="A89" s="4" t="s">
        <v>140</v>
      </c>
      <c r="B89" s="5">
        <v>1</v>
      </c>
    </row>
    <row r="90" spans="1:2" x14ac:dyDescent="0.2">
      <c r="A90" s="4" t="s">
        <v>152</v>
      </c>
      <c r="B90" s="5">
        <v>1</v>
      </c>
    </row>
    <row r="91" spans="1:2" x14ac:dyDescent="0.2">
      <c r="A91" s="4" t="s">
        <v>83</v>
      </c>
      <c r="B91" s="5">
        <v>1</v>
      </c>
    </row>
    <row r="92" spans="1:2" x14ac:dyDescent="0.2">
      <c r="A92" s="4" t="s">
        <v>159</v>
      </c>
      <c r="B92" s="5">
        <v>1</v>
      </c>
    </row>
    <row r="93" spans="1:2" x14ac:dyDescent="0.2">
      <c r="A93" s="4" t="s">
        <v>151</v>
      </c>
      <c r="B93" s="5">
        <v>1</v>
      </c>
    </row>
    <row r="94" spans="1:2" x14ac:dyDescent="0.2">
      <c r="A94" s="4" t="s">
        <v>71</v>
      </c>
      <c r="B94" s="5">
        <v>1</v>
      </c>
    </row>
    <row r="95" spans="1:2" x14ac:dyDescent="0.2">
      <c r="A95" s="4" t="s">
        <v>52</v>
      </c>
      <c r="B95" s="5">
        <v>1</v>
      </c>
    </row>
    <row r="96" spans="1:2" x14ac:dyDescent="0.2">
      <c r="A96" s="4" t="s">
        <v>147</v>
      </c>
      <c r="B96" s="5">
        <v>1</v>
      </c>
    </row>
    <row r="97" spans="1:2" x14ac:dyDescent="0.2">
      <c r="A97" s="4" t="s">
        <v>131</v>
      </c>
      <c r="B97" s="5">
        <v>1</v>
      </c>
    </row>
    <row r="98" spans="1:2" x14ac:dyDescent="0.2">
      <c r="A98" s="4" t="s">
        <v>46</v>
      </c>
      <c r="B98" s="5">
        <v>1</v>
      </c>
    </row>
    <row r="99" spans="1:2" x14ac:dyDescent="0.2">
      <c r="A99" s="4" t="s">
        <v>128</v>
      </c>
      <c r="B99" s="5">
        <v>1</v>
      </c>
    </row>
    <row r="100" spans="1:2" x14ac:dyDescent="0.2">
      <c r="A100" s="4" t="s">
        <v>84</v>
      </c>
      <c r="B100" s="5">
        <v>1</v>
      </c>
    </row>
    <row r="101" spans="1:2" x14ac:dyDescent="0.2">
      <c r="A101" s="4" t="s">
        <v>99</v>
      </c>
      <c r="B101" s="5">
        <v>1</v>
      </c>
    </row>
    <row r="102" spans="1:2" x14ac:dyDescent="0.2">
      <c r="A102" s="4" t="s">
        <v>136</v>
      </c>
      <c r="B102" s="5">
        <v>1</v>
      </c>
    </row>
    <row r="103" spans="1:2" x14ac:dyDescent="0.2">
      <c r="A103" s="4" t="s">
        <v>193</v>
      </c>
      <c r="B103" s="5">
        <v>175</v>
      </c>
    </row>
    <row r="111" spans="1:2" x14ac:dyDescent="0.2">
      <c r="A111" t="s">
        <v>296</v>
      </c>
    </row>
    <row r="113" spans="1:3" x14ac:dyDescent="0.2">
      <c r="A113" t="s">
        <v>295</v>
      </c>
    </row>
    <row r="114" spans="1:3" x14ac:dyDescent="0.2">
      <c r="A114" s="3" t="s">
        <v>192</v>
      </c>
      <c r="B114" t="s">
        <v>194</v>
      </c>
    </row>
    <row r="115" spans="1:3" x14ac:dyDescent="0.2">
      <c r="A115" s="4" t="s">
        <v>21</v>
      </c>
      <c r="B115" s="5">
        <v>44</v>
      </c>
      <c r="C115" s="19">
        <f>B115/B$129</f>
        <v>0.25142857142857145</v>
      </c>
    </row>
    <row r="116" spans="1:3" x14ac:dyDescent="0.2">
      <c r="A116" s="4" t="s">
        <v>44</v>
      </c>
      <c r="B116" s="5">
        <v>24</v>
      </c>
      <c r="C116" s="19">
        <f t="shared" ref="C116:C129" si="0">B116/B$129</f>
        <v>0.13714285714285715</v>
      </c>
    </row>
    <row r="117" spans="1:3" x14ac:dyDescent="0.2">
      <c r="A117" s="4" t="s">
        <v>290</v>
      </c>
      <c r="B117" s="5">
        <v>22</v>
      </c>
      <c r="C117" s="19">
        <f t="shared" si="0"/>
        <v>0.12571428571428572</v>
      </c>
    </row>
    <row r="118" spans="1:3" x14ac:dyDescent="0.2">
      <c r="A118" s="4" t="s">
        <v>50</v>
      </c>
      <c r="B118" s="5">
        <v>20</v>
      </c>
      <c r="C118" s="19">
        <f t="shared" si="0"/>
        <v>0.11428571428571428</v>
      </c>
    </row>
    <row r="119" spans="1:3" x14ac:dyDescent="0.2">
      <c r="A119" s="4" t="s">
        <v>291</v>
      </c>
      <c r="B119" s="5">
        <v>19</v>
      </c>
      <c r="C119" s="19">
        <f t="shared" si="0"/>
        <v>0.10857142857142857</v>
      </c>
    </row>
    <row r="120" spans="1:3" x14ac:dyDescent="0.2">
      <c r="A120" s="4" t="s">
        <v>55</v>
      </c>
      <c r="B120" s="5">
        <v>13</v>
      </c>
      <c r="C120" s="19">
        <f t="shared" si="0"/>
        <v>7.4285714285714288E-2</v>
      </c>
    </row>
    <row r="121" spans="1:3" x14ac:dyDescent="0.2">
      <c r="A121" s="4" t="s">
        <v>184</v>
      </c>
      <c r="B121" s="5">
        <v>6</v>
      </c>
      <c r="C121" s="19">
        <f t="shared" si="0"/>
        <v>3.4285714285714287E-2</v>
      </c>
    </row>
    <row r="122" spans="1:3" x14ac:dyDescent="0.2">
      <c r="A122" s="4" t="s">
        <v>185</v>
      </c>
      <c r="B122" s="5">
        <v>5</v>
      </c>
      <c r="C122" s="19">
        <f t="shared" si="0"/>
        <v>2.8571428571428571E-2</v>
      </c>
    </row>
    <row r="123" spans="1:3" x14ac:dyDescent="0.2">
      <c r="A123" s="4" t="s">
        <v>181</v>
      </c>
      <c r="B123" s="5">
        <v>5</v>
      </c>
      <c r="C123" s="19">
        <f t="shared" si="0"/>
        <v>2.8571428571428571E-2</v>
      </c>
    </row>
    <row r="124" spans="1:3" x14ac:dyDescent="0.2">
      <c r="A124" s="4" t="s">
        <v>121</v>
      </c>
      <c r="B124" s="5">
        <v>5</v>
      </c>
      <c r="C124" s="19">
        <f t="shared" si="0"/>
        <v>2.8571428571428571E-2</v>
      </c>
    </row>
    <row r="125" spans="1:3" x14ac:dyDescent="0.2">
      <c r="A125" s="4" t="s">
        <v>186</v>
      </c>
      <c r="B125" s="5">
        <v>4</v>
      </c>
      <c r="C125" s="19">
        <f t="shared" si="0"/>
        <v>2.2857142857142857E-2</v>
      </c>
    </row>
    <row r="126" spans="1:3" x14ac:dyDescent="0.2">
      <c r="A126" s="4" t="s">
        <v>187</v>
      </c>
      <c r="B126" s="5">
        <v>3</v>
      </c>
      <c r="C126" s="19">
        <f t="shared" si="0"/>
        <v>1.7142857142857144E-2</v>
      </c>
    </row>
    <row r="127" spans="1:3" x14ac:dyDescent="0.2">
      <c r="A127" s="4" t="s">
        <v>179</v>
      </c>
      <c r="B127" s="5">
        <v>3</v>
      </c>
      <c r="C127" s="19">
        <f t="shared" si="0"/>
        <v>1.7142857142857144E-2</v>
      </c>
    </row>
    <row r="128" spans="1:3" x14ac:dyDescent="0.2">
      <c r="A128" s="4" t="s">
        <v>73</v>
      </c>
      <c r="B128" s="5">
        <v>2</v>
      </c>
      <c r="C128" s="19">
        <f t="shared" si="0"/>
        <v>1.1428571428571429E-2</v>
      </c>
    </row>
    <row r="129" spans="1:3" x14ac:dyDescent="0.2">
      <c r="A129" s="4" t="s">
        <v>193</v>
      </c>
      <c r="B129" s="5">
        <v>175</v>
      </c>
      <c r="C129" s="19">
        <f t="shared" si="0"/>
        <v>1</v>
      </c>
    </row>
    <row r="138" spans="1:3" x14ac:dyDescent="0.2">
      <c r="A138" t="s">
        <v>297</v>
      </c>
    </row>
    <row r="140" spans="1:3" x14ac:dyDescent="0.2">
      <c r="A140" t="s">
        <v>295</v>
      </c>
    </row>
    <row r="141" spans="1:3" x14ac:dyDescent="0.2">
      <c r="A141" s="3" t="s">
        <v>192</v>
      </c>
      <c r="B141" t="s">
        <v>194</v>
      </c>
    </row>
    <row r="142" spans="1:3" x14ac:dyDescent="0.2">
      <c r="A142" s="4" t="s">
        <v>287</v>
      </c>
      <c r="B142" s="5">
        <v>99</v>
      </c>
    </row>
    <row r="143" spans="1:3" x14ac:dyDescent="0.2">
      <c r="A143" s="4" t="s">
        <v>261</v>
      </c>
      <c r="B143" s="5">
        <v>70</v>
      </c>
    </row>
    <row r="144" spans="1:3" x14ac:dyDescent="0.2">
      <c r="A144" s="4" t="s">
        <v>181</v>
      </c>
      <c r="B144" s="5">
        <v>4</v>
      </c>
    </row>
    <row r="145" spans="1:2" x14ac:dyDescent="0.2">
      <c r="A145" s="4" t="s">
        <v>289</v>
      </c>
      <c r="B145" s="5">
        <v>2</v>
      </c>
    </row>
    <row r="146" spans="1:2" x14ac:dyDescent="0.2">
      <c r="A146" s="4" t="s">
        <v>193</v>
      </c>
      <c r="B146" s="5">
        <v>175</v>
      </c>
    </row>
    <row r="155" spans="1:2" x14ac:dyDescent="0.2">
      <c r="A155" t="s">
        <v>298</v>
      </c>
    </row>
    <row r="157" spans="1:2" x14ac:dyDescent="0.2">
      <c r="A157" t="s">
        <v>295</v>
      </c>
    </row>
    <row r="158" spans="1:2" x14ac:dyDescent="0.2">
      <c r="A158" s="3" t="s">
        <v>192</v>
      </c>
      <c r="B158" t="s">
        <v>194</v>
      </c>
    </row>
    <row r="159" spans="1:2" x14ac:dyDescent="0.2">
      <c r="A159" s="4" t="s">
        <v>265</v>
      </c>
      <c r="B159" s="5">
        <v>11</v>
      </c>
    </row>
    <row r="160" spans="1:2" x14ac:dyDescent="0.2">
      <c r="A160" s="4" t="s">
        <v>284</v>
      </c>
      <c r="B160" s="5">
        <v>23</v>
      </c>
    </row>
    <row r="161" spans="1:2" x14ac:dyDescent="0.2">
      <c r="A161" s="4" t="s">
        <v>286</v>
      </c>
      <c r="B161" s="5">
        <v>141</v>
      </c>
    </row>
    <row r="162" spans="1:2" x14ac:dyDescent="0.2">
      <c r="A162" s="4" t="s">
        <v>193</v>
      </c>
      <c r="B162" s="5">
        <v>175</v>
      </c>
    </row>
  </sheetData>
  <pageMargins left="0.7" right="0.7" top="0.75" bottom="0.75" header="0.3" footer="0.3"/>
  <pageSetup orientation="portrait" horizontalDpi="0" verticalDpi="0"/>
  <drawing r:id="rId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87"/>
  <sheetViews>
    <sheetView zoomScale="80" zoomScaleNormal="80" workbookViewId="0">
      <selection activeCell="L101" sqref="L101"/>
    </sheetView>
  </sheetViews>
  <sheetFormatPr baseColWidth="10" defaultRowHeight="16" x14ac:dyDescent="0.2"/>
  <cols>
    <col min="1" max="1" width="65.83203125" customWidth="1"/>
    <col min="2" max="12" width="21.83203125" customWidth="1"/>
    <col min="13" max="14" width="21.83203125" hidden="1" customWidth="1"/>
    <col min="15" max="23" width="20.83203125" customWidth="1"/>
  </cols>
  <sheetData>
    <row r="1" spans="1:11" s="11" customFormat="1" ht="32" x14ac:dyDescent="0.2">
      <c r="A1" s="10" t="s">
        <v>2</v>
      </c>
      <c r="B1" t="s">
        <v>162</v>
      </c>
      <c r="C1" t="s">
        <v>161</v>
      </c>
      <c r="D1" t="s">
        <v>163</v>
      </c>
      <c r="E1" t="s">
        <v>43</v>
      </c>
      <c r="F1" s="14" t="s">
        <v>209</v>
      </c>
      <c r="G1" s="8" t="s">
        <v>8</v>
      </c>
      <c r="H1" s="18" t="s">
        <v>211</v>
      </c>
    </row>
    <row r="2" spans="1:11" x14ac:dyDescent="0.2">
      <c r="A2" t="s">
        <v>9</v>
      </c>
      <c r="B2" s="9">
        <f>COUNTIFS('weather-check_no_nulls'!$F:$F,'Q4 Stratified Answers'!$A2,'weather-check_no_nulls'!$H:$H,'Q4 Stratified Answers'!B$1)</f>
        <v>68</v>
      </c>
      <c r="C2" s="9">
        <f>COUNTIFS('weather-check_no_nulls'!$F:$F,'Q4 Stratified Answers'!$A2,'weather-check_no_nulls'!$H:$H,'Q4 Stratified Answers'!C$1)</f>
        <v>71</v>
      </c>
      <c r="D2" s="9">
        <f>COUNTIFS('weather-check_no_nulls'!$F:$F,'Q4 Stratified Answers'!$A2,'weather-check_no_nulls'!$H:$H,'Q4 Stratified Answers'!D$1)</f>
        <v>128</v>
      </c>
      <c r="E2" s="9">
        <f>COUNTIFS('weather-check_no_nulls'!$F:$F,'Q4 Stratified Answers'!$A2,'weather-check_no_nulls'!$H:$H,'Q4 Stratified Answers'!E$1)</f>
        <v>95</v>
      </c>
      <c r="F2" s="13">
        <f>SUM(B2:E2)</f>
        <v>362</v>
      </c>
      <c r="G2" s="8">
        <f>COUNTIFS('weather-check_no_nulls'!$F:$F,'Q4 Stratified Answers'!$A5,'weather-check_no_nulls'!$H:$H,'Q4 Stratified Answers'!G$1)</f>
        <v>0</v>
      </c>
      <c r="H2" s="18">
        <f>SUM(F2:G2)</f>
        <v>362</v>
      </c>
    </row>
    <row r="3" spans="1:11" x14ac:dyDescent="0.2">
      <c r="A3" t="s">
        <v>16</v>
      </c>
      <c r="B3" s="9">
        <f>COUNTIFS('weather-check_no_nulls'!$F:$F,'Q4 Stratified Answers'!$A3,'weather-check_no_nulls'!$H:$H,'Q4 Stratified Answers'!B$1)</f>
        <v>61</v>
      </c>
      <c r="C3" s="9">
        <f>COUNTIFS('weather-check_no_nulls'!$F:$F,'Q4 Stratified Answers'!$A3,'weather-check_no_nulls'!$H:$H,'Q4 Stratified Answers'!C$1)</f>
        <v>68</v>
      </c>
      <c r="D3" s="9">
        <f>COUNTIFS('weather-check_no_nulls'!$F:$F,'Q4 Stratified Answers'!$A3,'weather-check_no_nulls'!$H:$H,'Q4 Stratified Answers'!D$1)</f>
        <v>73</v>
      </c>
      <c r="E3" s="9">
        <f>COUNTIFS('weather-check_no_nulls'!$F:$F,'Q4 Stratified Answers'!$A3,'weather-check_no_nulls'!$H:$H,'Q4 Stratified Answers'!E$1)</f>
        <v>71</v>
      </c>
      <c r="F3" s="13">
        <f>SUM(B3:E3)</f>
        <v>273</v>
      </c>
      <c r="G3" s="8">
        <f>COUNTIFS('weather-check_no_nulls'!$F:$F,'Q4 Stratified Answers'!$A4,'weather-check_no_nulls'!$H:$H,'Q4 Stratified Answers'!G$1)</f>
        <v>0</v>
      </c>
      <c r="H3" s="18">
        <f t="shared" ref="H3:H5" si="0">SUM(F3:G3)</f>
        <v>273</v>
      </c>
      <c r="K3" s="19"/>
    </row>
    <row r="4" spans="1:11" x14ac:dyDescent="0.2">
      <c r="A4" t="s">
        <v>28</v>
      </c>
      <c r="B4" s="9">
        <f>COUNTIFS('weather-check_no_nulls'!$F:$F,'Q4 Stratified Answers'!$A4,'weather-check_no_nulls'!$H:$H,'Q4 Stratified Answers'!B$1)</f>
        <v>11</v>
      </c>
      <c r="C4" s="9">
        <f>COUNTIFS('weather-check_no_nulls'!$F:$F,'Q4 Stratified Answers'!$A4,'weather-check_no_nulls'!$H:$H,'Q4 Stratified Answers'!C$1)</f>
        <v>14</v>
      </c>
      <c r="D4" s="9">
        <f>COUNTIFS('weather-check_no_nulls'!$F:$F,'Q4 Stratified Answers'!$A4,'weather-check_no_nulls'!$H:$H,'Q4 Stratified Answers'!D$1)</f>
        <v>20</v>
      </c>
      <c r="E4" s="9">
        <f>COUNTIFS('weather-check_no_nulls'!$F:$F,'Q4 Stratified Answers'!$A4,'weather-check_no_nulls'!$H:$H,'Q4 Stratified Answers'!E$1)</f>
        <v>28</v>
      </c>
      <c r="F4" s="13">
        <f>SUM(B4:E4)</f>
        <v>73</v>
      </c>
      <c r="G4" s="8">
        <f>COUNTIFS('weather-check_no_nulls'!$F:$F,'Q4 Stratified Answers'!$A3,'weather-check_no_nulls'!$H:$H,'Q4 Stratified Answers'!G$1)</f>
        <v>1</v>
      </c>
      <c r="H4" s="18">
        <f t="shared" si="0"/>
        <v>74</v>
      </c>
      <c r="K4" s="19"/>
    </row>
    <row r="5" spans="1:11" x14ac:dyDescent="0.2">
      <c r="A5" t="s">
        <v>22</v>
      </c>
      <c r="B5" s="9">
        <f>COUNTIFS('weather-check_no_nulls'!$F:$F,'Q4 Stratified Answers'!$A5,'weather-check_no_nulls'!$H:$H,'Q4 Stratified Answers'!B$1)</f>
        <v>36</v>
      </c>
      <c r="C5" s="9">
        <f>COUNTIFS('weather-check_no_nulls'!$F:$F,'Q4 Stratified Answers'!$A5,'weather-check_no_nulls'!$H:$H,'Q4 Stratified Answers'!C$1)</f>
        <v>51</v>
      </c>
      <c r="D5" s="9">
        <f>COUNTIFS('weather-check_no_nulls'!$F:$F,'Q4 Stratified Answers'!$A5,'weather-check_no_nulls'!$H:$H,'Q4 Stratified Answers'!D$1)</f>
        <v>57</v>
      </c>
      <c r="E5" s="9">
        <f>COUNTIFS('weather-check_no_nulls'!$F:$F,'Q4 Stratified Answers'!$A5,'weather-check_no_nulls'!$H:$H,'Q4 Stratified Answers'!E$1)</f>
        <v>64</v>
      </c>
      <c r="F5" s="13">
        <f>SUM(B5:E5)</f>
        <v>208</v>
      </c>
      <c r="G5" s="8">
        <f>COUNTIFS('weather-check_no_nulls'!$F:$F,'Q4 Stratified Answers'!$A2,'weather-check_no_nulls'!$H:$H,'Q4 Stratified Answers'!G$1)</f>
        <v>0</v>
      </c>
      <c r="H5" s="18">
        <f t="shared" si="0"/>
        <v>208</v>
      </c>
      <c r="K5" s="19"/>
    </row>
    <row r="6" spans="1:11" x14ac:dyDescent="0.2">
      <c r="A6" s="13" t="s">
        <v>210</v>
      </c>
      <c r="B6" s="13">
        <f>SUM(B2:B5)</f>
        <v>176</v>
      </c>
      <c r="C6" s="13">
        <f t="shared" ref="C6:E6" si="1">SUM(C2:C5)</f>
        <v>204</v>
      </c>
      <c r="D6" s="13">
        <f t="shared" si="1"/>
        <v>278</v>
      </c>
      <c r="E6" s="13">
        <f t="shared" si="1"/>
        <v>258</v>
      </c>
      <c r="F6" s="13">
        <f>SUM(B6:E6)</f>
        <v>916</v>
      </c>
      <c r="G6" s="8"/>
      <c r="H6" s="18"/>
      <c r="K6" s="19"/>
    </row>
    <row r="7" spans="1:11" x14ac:dyDescent="0.2">
      <c r="A7" s="8" t="s">
        <v>8</v>
      </c>
      <c r="B7" s="8">
        <f>COUNTIFS('weather-check_no_nulls'!$F:$F,'Q4 Stratified Answers'!$A7,'weather-check_no_nulls'!$H:$H,'Q4 Stratified Answers'!B$1)</f>
        <v>0</v>
      </c>
      <c r="C7" s="8">
        <f>COUNTIFS('weather-check_no_nulls'!$F:$F,'Q4 Stratified Answers'!$A7,'weather-check_no_nulls'!$H:$H,'Q4 Stratified Answers'!C$1)</f>
        <v>0</v>
      </c>
      <c r="D7" s="8">
        <f>COUNTIFS('weather-check_no_nulls'!$F:$F,'Q4 Stratified Answers'!$A7,'weather-check_no_nulls'!$H:$H,'Q4 Stratified Answers'!D$1)</f>
        <v>0</v>
      </c>
      <c r="E7" s="8">
        <f>COUNTIFS('weather-check_no_nulls'!$F:$F,'Q4 Stratified Answers'!$A7,'weather-check_no_nulls'!$H:$H,'Q4 Stratified Answers'!E$1)</f>
        <v>0</v>
      </c>
      <c r="F7" s="8"/>
      <c r="G7" s="8">
        <f>COUNTIFS('weather-check_no_nulls'!$F:$F,'Q4 Stratified Answers'!$A7,'weather-check_no_nulls'!$H:$H,'Q4 Stratified Answers'!G$1)</f>
        <v>11</v>
      </c>
      <c r="H7" s="18">
        <f>SUM(B7:G7)</f>
        <v>11</v>
      </c>
      <c r="K7" s="19"/>
    </row>
    <row r="8" spans="1:11" x14ac:dyDescent="0.2">
      <c r="A8" s="18" t="s">
        <v>212</v>
      </c>
      <c r="B8" s="18">
        <f>SUM(B6:B7)</f>
        <v>176</v>
      </c>
      <c r="C8" s="18">
        <f t="shared" ref="C8:E8" si="2">SUM(C6:C7)</f>
        <v>204</v>
      </c>
      <c r="D8" s="18">
        <f t="shared" si="2"/>
        <v>278</v>
      </c>
      <c r="E8" s="18">
        <f t="shared" si="2"/>
        <v>258</v>
      </c>
      <c r="F8" s="18"/>
      <c r="G8" s="18">
        <f>SUM(G2:G7)</f>
        <v>12</v>
      </c>
      <c r="H8" s="16">
        <f>SUM(B8:G8)</f>
        <v>928</v>
      </c>
      <c r="K8" s="19"/>
    </row>
    <row r="9" spans="1:11" x14ac:dyDescent="0.2">
      <c r="K9" s="19"/>
    </row>
    <row r="10" spans="1:11" x14ac:dyDescent="0.2">
      <c r="K10" s="19"/>
    </row>
    <row r="11" spans="1:11" x14ac:dyDescent="0.2">
      <c r="A11" s="1" t="s">
        <v>213</v>
      </c>
      <c r="K11" s="19"/>
    </row>
    <row r="12" spans="1:11" ht="32" x14ac:dyDescent="0.2">
      <c r="A12" s="10" t="s">
        <v>2</v>
      </c>
      <c r="B12" t="s">
        <v>162</v>
      </c>
      <c r="C12" t="s">
        <v>161</v>
      </c>
      <c r="D12" t="s">
        <v>163</v>
      </c>
      <c r="E12" t="s">
        <v>43</v>
      </c>
      <c r="F12" s="14" t="s">
        <v>209</v>
      </c>
      <c r="G12" s="8" t="s">
        <v>8</v>
      </c>
      <c r="H12" s="18" t="s">
        <v>211</v>
      </c>
    </row>
    <row r="13" spans="1:11" x14ac:dyDescent="0.2">
      <c r="A13" t="s">
        <v>9</v>
      </c>
      <c r="B13" s="28">
        <f>B2/B$6</f>
        <v>0.38636363636363635</v>
      </c>
      <c r="C13" s="28">
        <f t="shared" ref="C13:F13" si="3">C2/C$6</f>
        <v>0.34803921568627449</v>
      </c>
      <c r="D13" s="28">
        <f t="shared" si="3"/>
        <v>0.46043165467625902</v>
      </c>
      <c r="E13" s="28">
        <f t="shared" si="3"/>
        <v>0.36821705426356588</v>
      </c>
      <c r="F13" s="20">
        <f t="shared" si="3"/>
        <v>0.39519650655021832</v>
      </c>
      <c r="G13" s="21">
        <f>G2/SUM(G$2:G$5)</f>
        <v>0</v>
      </c>
      <c r="H13" s="23">
        <f>H2/SUM(H$2:H$5)</f>
        <v>0.39476553980370777</v>
      </c>
    </row>
    <row r="14" spans="1:11" x14ac:dyDescent="0.2">
      <c r="A14" t="s">
        <v>16</v>
      </c>
      <c r="B14" s="28">
        <f t="shared" ref="B14:F17" si="4">B3/B$6</f>
        <v>0.34659090909090912</v>
      </c>
      <c r="C14" s="28">
        <f t="shared" si="4"/>
        <v>0.33333333333333331</v>
      </c>
      <c r="D14" s="28">
        <f t="shared" si="4"/>
        <v>0.26258992805755393</v>
      </c>
      <c r="E14" s="28">
        <f t="shared" si="4"/>
        <v>0.27519379844961239</v>
      </c>
      <c r="F14" s="20">
        <f t="shared" si="4"/>
        <v>0.29803493449781659</v>
      </c>
      <c r="G14" s="21">
        <f t="shared" ref="G14:H16" si="5">G3/SUM(G$2:G$5)</f>
        <v>0</v>
      </c>
      <c r="H14" s="23">
        <f t="shared" si="5"/>
        <v>0.29770992366412213</v>
      </c>
    </row>
    <row r="15" spans="1:11" x14ac:dyDescent="0.2">
      <c r="A15" t="s">
        <v>28</v>
      </c>
      <c r="B15" s="28">
        <f t="shared" si="4"/>
        <v>6.25E-2</v>
      </c>
      <c r="C15" s="28">
        <f t="shared" si="4"/>
        <v>6.8627450980392163E-2</v>
      </c>
      <c r="D15" s="28">
        <f t="shared" si="4"/>
        <v>7.1942446043165464E-2</v>
      </c>
      <c r="E15" s="28">
        <f t="shared" si="4"/>
        <v>0.10852713178294573</v>
      </c>
      <c r="F15" s="20">
        <f t="shared" si="4"/>
        <v>7.9694323144104809E-2</v>
      </c>
      <c r="G15" s="21">
        <f t="shared" si="5"/>
        <v>1</v>
      </c>
      <c r="H15" s="23">
        <f t="shared" si="5"/>
        <v>8.0697928026172303E-2</v>
      </c>
    </row>
    <row r="16" spans="1:11" x14ac:dyDescent="0.2">
      <c r="A16" t="s">
        <v>22</v>
      </c>
      <c r="B16" s="28">
        <f t="shared" si="4"/>
        <v>0.20454545454545456</v>
      </c>
      <c r="C16" s="28">
        <f t="shared" si="4"/>
        <v>0.25</v>
      </c>
      <c r="D16" s="28">
        <f t="shared" si="4"/>
        <v>0.20503597122302158</v>
      </c>
      <c r="E16" s="28">
        <f t="shared" si="4"/>
        <v>0.24806201550387597</v>
      </c>
      <c r="F16" s="20">
        <f t="shared" si="4"/>
        <v>0.22707423580786026</v>
      </c>
      <c r="G16" s="21">
        <f t="shared" si="5"/>
        <v>0</v>
      </c>
      <c r="H16" s="23">
        <f t="shared" si="5"/>
        <v>0.22682660850599781</v>
      </c>
    </row>
    <row r="17" spans="1:13" x14ac:dyDescent="0.2">
      <c r="A17" s="13" t="s">
        <v>210</v>
      </c>
      <c r="B17" s="20">
        <f t="shared" si="4"/>
        <v>1</v>
      </c>
      <c r="C17" s="20">
        <f t="shared" si="4"/>
        <v>1</v>
      </c>
      <c r="D17" s="20">
        <f t="shared" si="4"/>
        <v>1</v>
      </c>
      <c r="E17" s="20">
        <f t="shared" si="4"/>
        <v>1</v>
      </c>
      <c r="F17" s="20">
        <f t="shared" si="4"/>
        <v>1</v>
      </c>
      <c r="G17" s="8"/>
      <c r="H17" s="18"/>
    </row>
    <row r="18" spans="1:13" x14ac:dyDescent="0.2">
      <c r="A18" s="8" t="s">
        <v>8</v>
      </c>
      <c r="B18" s="21">
        <f>B7/B$8</f>
        <v>0</v>
      </c>
      <c r="C18" s="21">
        <f t="shared" ref="C18:E18" si="6">C7/C$8</f>
        <v>0</v>
      </c>
      <c r="D18" s="21">
        <f t="shared" si="6"/>
        <v>0</v>
      </c>
      <c r="E18" s="21">
        <f t="shared" si="6"/>
        <v>0</v>
      </c>
      <c r="F18" s="8"/>
      <c r="G18" s="21">
        <f t="shared" ref="G18:G19" si="7">G7/G$8</f>
        <v>0.91666666666666663</v>
      </c>
      <c r="H18" s="23">
        <f>H7/H$8</f>
        <v>1.1853448275862068E-2</v>
      </c>
    </row>
    <row r="19" spans="1:13" x14ac:dyDescent="0.2">
      <c r="A19" s="18" t="s">
        <v>212</v>
      </c>
      <c r="B19" s="22">
        <f t="shared" ref="B19:E19" si="8">B8/B$8</f>
        <v>1</v>
      </c>
      <c r="C19" s="22">
        <f t="shared" si="8"/>
        <v>1</v>
      </c>
      <c r="D19" s="22">
        <f t="shared" si="8"/>
        <v>1</v>
      </c>
      <c r="E19" s="22">
        <f t="shared" si="8"/>
        <v>1</v>
      </c>
      <c r="F19" s="18"/>
      <c r="G19" s="22">
        <f t="shared" si="7"/>
        <v>1</v>
      </c>
      <c r="H19" s="22">
        <f>H8/H$8</f>
        <v>1</v>
      </c>
    </row>
    <row r="23" spans="1:13" ht="32" x14ac:dyDescent="0.2">
      <c r="A23" s="10" t="s">
        <v>2</v>
      </c>
      <c r="B23" t="s">
        <v>30</v>
      </c>
      <c r="C23" t="s">
        <v>42</v>
      </c>
      <c r="D23" t="s">
        <v>15</v>
      </c>
      <c r="E23" t="s">
        <v>34</v>
      </c>
      <c r="F23" t="s">
        <v>38</v>
      </c>
      <c r="G23" t="s">
        <v>24</v>
      </c>
      <c r="H23" t="s">
        <v>12</v>
      </c>
      <c r="I23" t="s">
        <v>25</v>
      </c>
      <c r="J23" t="s">
        <v>20</v>
      </c>
      <c r="K23" s="13" t="s">
        <v>214</v>
      </c>
      <c r="L23" s="8" t="s">
        <v>8</v>
      </c>
      <c r="M23" s="18" t="s">
        <v>196</v>
      </c>
    </row>
    <row r="24" spans="1:13" x14ac:dyDescent="0.2">
      <c r="A24" t="s">
        <v>9</v>
      </c>
      <c r="B24" s="9">
        <f>COUNTIFS('weather-check_no_nulls'!$F:$F,'Q4 Stratified Answers'!$A24,'weather-check_no_nulls'!$M:$M,'Q4 Stratified Answers'!B$23)</f>
        <v>63</v>
      </c>
      <c r="C24" s="9">
        <f>COUNTIFS('weather-check_no_nulls'!$F:$F,'Q4 Stratified Answers'!$A24,'weather-check_no_nulls'!$M:$M,'Q4 Stratified Answers'!C$23)</f>
        <v>16</v>
      </c>
      <c r="D24" s="9">
        <f>COUNTIFS('weather-check_no_nulls'!$F:$F,'Q4 Stratified Answers'!$A24,'weather-check_no_nulls'!$M:$M,'Q4 Stratified Answers'!D$23)</f>
        <v>45</v>
      </c>
      <c r="E24" s="9">
        <f>COUNTIFS('weather-check_no_nulls'!$F:$F,'Q4 Stratified Answers'!$A24,'weather-check_no_nulls'!$M:$M,'Q4 Stratified Answers'!E$23)</f>
        <v>28</v>
      </c>
      <c r="F24" s="9">
        <f>COUNTIFS('weather-check_no_nulls'!$F:$F,'Q4 Stratified Answers'!$A24,'weather-check_no_nulls'!$M:$M,'Q4 Stratified Answers'!F$23)</f>
        <v>22</v>
      </c>
      <c r="G24" s="9">
        <f>COUNTIFS('weather-check_no_nulls'!$F:$F,'Q4 Stratified Answers'!$A24,'weather-check_no_nulls'!$M:$M,'Q4 Stratified Answers'!G$23)</f>
        <v>55</v>
      </c>
      <c r="H24" s="9">
        <f>COUNTIFS('weather-check_no_nulls'!$F:$F,'Q4 Stratified Answers'!$A24,'weather-check_no_nulls'!$M:$M,'Q4 Stratified Answers'!H$23)</f>
        <v>74</v>
      </c>
      <c r="I24" s="9">
        <f>COUNTIFS('weather-check_no_nulls'!$F:$F,'Q4 Stratified Answers'!$A24,'weather-check_no_nulls'!$M:$M,'Q4 Stratified Answers'!I$23)</f>
        <v>18</v>
      </c>
      <c r="J24" s="9">
        <f>COUNTIFS('weather-check_no_nulls'!$F:$F,'Q4 Stratified Answers'!$A24,'weather-check_no_nulls'!$M:$M,'Q4 Stratified Answers'!J$23)</f>
        <v>37</v>
      </c>
      <c r="K24" s="13">
        <f>SUM(B24:J24)</f>
        <v>358</v>
      </c>
      <c r="L24" s="8">
        <f>COUNTIFS('weather-check_no_nulls'!$F:$F,'Q4 Stratified Answers'!$A24,'weather-check_no_nulls'!$M:$M,'Q4 Stratified Answers'!L$23)</f>
        <v>4</v>
      </c>
      <c r="M24" s="18">
        <f>SUM(K24:L24)</f>
        <v>362</v>
      </c>
    </row>
    <row r="25" spans="1:13" x14ac:dyDescent="0.2">
      <c r="A25" t="s">
        <v>16</v>
      </c>
      <c r="B25" s="9">
        <f>COUNTIFS('weather-check_no_nulls'!$F:$F,'Q4 Stratified Answers'!$A25,'weather-check_no_nulls'!$M:$M,'Q4 Stratified Answers'!B$23)</f>
        <v>38</v>
      </c>
      <c r="C25" s="9">
        <f>COUNTIFS('weather-check_no_nulls'!$F:$F,'Q4 Stratified Answers'!$A25,'weather-check_no_nulls'!$M:$M,'Q4 Stratified Answers'!C$23)</f>
        <v>11</v>
      </c>
      <c r="D25" s="9">
        <f>COUNTIFS('weather-check_no_nulls'!$F:$F,'Q4 Stratified Answers'!$A25,'weather-check_no_nulls'!$M:$M,'Q4 Stratified Answers'!D$23)</f>
        <v>23</v>
      </c>
      <c r="E25" s="9">
        <f>COUNTIFS('weather-check_no_nulls'!$F:$F,'Q4 Stratified Answers'!$A25,'weather-check_no_nulls'!$M:$M,'Q4 Stratified Answers'!E$23)</f>
        <v>19</v>
      </c>
      <c r="F25" s="9">
        <f>COUNTIFS('weather-check_no_nulls'!$F:$F,'Q4 Stratified Answers'!$A25,'weather-check_no_nulls'!$M:$M,'Q4 Stratified Answers'!F$23)</f>
        <v>16</v>
      </c>
      <c r="G25" s="9">
        <f>COUNTIFS('weather-check_no_nulls'!$F:$F,'Q4 Stratified Answers'!$A25,'weather-check_no_nulls'!$M:$M,'Q4 Stratified Answers'!G$23)</f>
        <v>67</v>
      </c>
      <c r="H25" s="9">
        <f>COUNTIFS('weather-check_no_nulls'!$F:$F,'Q4 Stratified Answers'!$A25,'weather-check_no_nulls'!$M:$M,'Q4 Stratified Answers'!H$23)</f>
        <v>47</v>
      </c>
      <c r="I25" s="9">
        <f>COUNTIFS('weather-check_no_nulls'!$F:$F,'Q4 Stratified Answers'!$A25,'weather-check_no_nulls'!$M:$M,'Q4 Stratified Answers'!I$23)</f>
        <v>21</v>
      </c>
      <c r="J25" s="9">
        <f>COUNTIFS('weather-check_no_nulls'!$F:$F,'Q4 Stratified Answers'!$A25,'weather-check_no_nulls'!$M:$M,'Q4 Stratified Answers'!J$23)</f>
        <v>25</v>
      </c>
      <c r="K25" s="13">
        <f t="shared" ref="K25:K27" si="9">SUM(B25:J25)</f>
        <v>267</v>
      </c>
      <c r="L25" s="8">
        <f>COUNTIFS('weather-check_no_nulls'!$F:$F,'Q4 Stratified Answers'!$A25,'weather-check_no_nulls'!$M:$M,'Q4 Stratified Answers'!L$23)</f>
        <v>7</v>
      </c>
      <c r="M25" s="18">
        <f t="shared" ref="M25:M27" si="10">SUM(K25:L25)</f>
        <v>274</v>
      </c>
    </row>
    <row r="26" spans="1:13" x14ac:dyDescent="0.2">
      <c r="A26" t="s">
        <v>28</v>
      </c>
      <c r="B26" s="9">
        <f>COUNTIFS('weather-check_no_nulls'!$F:$F,'Q4 Stratified Answers'!$A26,'weather-check_no_nulls'!$M:$M,'Q4 Stratified Answers'!B$23)</f>
        <v>10</v>
      </c>
      <c r="C26" s="9">
        <f>COUNTIFS('weather-check_no_nulls'!$F:$F,'Q4 Stratified Answers'!$A26,'weather-check_no_nulls'!$M:$M,'Q4 Stratified Answers'!C$23)</f>
        <v>6</v>
      </c>
      <c r="D26" s="9">
        <f>COUNTIFS('weather-check_no_nulls'!$F:$F,'Q4 Stratified Answers'!$A26,'weather-check_no_nulls'!$M:$M,'Q4 Stratified Answers'!D$23)</f>
        <v>8</v>
      </c>
      <c r="E26" s="9">
        <f>COUNTIFS('weather-check_no_nulls'!$F:$F,'Q4 Stratified Answers'!$A26,'weather-check_no_nulls'!$M:$M,'Q4 Stratified Answers'!E$23)</f>
        <v>7</v>
      </c>
      <c r="F26" s="9">
        <f>COUNTIFS('weather-check_no_nulls'!$F:$F,'Q4 Stratified Answers'!$A26,'weather-check_no_nulls'!$M:$M,'Q4 Stratified Answers'!F$23)</f>
        <v>4</v>
      </c>
      <c r="G26" s="9">
        <f>COUNTIFS('weather-check_no_nulls'!$F:$F,'Q4 Stratified Answers'!$A26,'weather-check_no_nulls'!$M:$M,'Q4 Stratified Answers'!G$23)</f>
        <v>18</v>
      </c>
      <c r="H26" s="9">
        <f>COUNTIFS('weather-check_no_nulls'!$F:$F,'Q4 Stratified Answers'!$A26,'weather-check_no_nulls'!$M:$M,'Q4 Stratified Answers'!H$23)</f>
        <v>8</v>
      </c>
      <c r="I26" s="9">
        <f>COUNTIFS('weather-check_no_nulls'!$F:$F,'Q4 Stratified Answers'!$A26,'weather-check_no_nulls'!$M:$M,'Q4 Stratified Answers'!I$23)</f>
        <v>3</v>
      </c>
      <c r="J26" s="9">
        <f>COUNTIFS('weather-check_no_nulls'!$F:$F,'Q4 Stratified Answers'!$A26,'weather-check_no_nulls'!$M:$M,'Q4 Stratified Answers'!J$23)</f>
        <v>7</v>
      </c>
      <c r="K26" s="13">
        <f t="shared" si="9"/>
        <v>71</v>
      </c>
      <c r="L26" s="8">
        <f>COUNTIFS('weather-check_no_nulls'!$F:$F,'Q4 Stratified Answers'!$A26,'weather-check_no_nulls'!$M:$M,'Q4 Stratified Answers'!L$23)</f>
        <v>2</v>
      </c>
      <c r="M26" s="18">
        <f t="shared" si="10"/>
        <v>73</v>
      </c>
    </row>
    <row r="27" spans="1:13" x14ac:dyDescent="0.2">
      <c r="A27" t="s">
        <v>22</v>
      </c>
      <c r="B27" s="9">
        <f>COUNTIFS('weather-check_no_nulls'!$F:$F,'Q4 Stratified Answers'!$A27,'weather-check_no_nulls'!$M:$M,'Q4 Stratified Answers'!B$23)</f>
        <v>30</v>
      </c>
      <c r="C27" s="9">
        <f>COUNTIFS('weather-check_no_nulls'!$F:$F,'Q4 Stratified Answers'!$A27,'weather-check_no_nulls'!$M:$M,'Q4 Stratified Answers'!C$23)</f>
        <v>8</v>
      </c>
      <c r="D27" s="9">
        <f>COUNTIFS('weather-check_no_nulls'!$F:$F,'Q4 Stratified Answers'!$A27,'weather-check_no_nulls'!$M:$M,'Q4 Stratified Answers'!D$23)</f>
        <v>28</v>
      </c>
      <c r="E27" s="9">
        <f>COUNTIFS('weather-check_no_nulls'!$F:$F,'Q4 Stratified Answers'!$A27,'weather-check_no_nulls'!$M:$M,'Q4 Stratified Answers'!E$23)</f>
        <v>18</v>
      </c>
      <c r="F27" s="9">
        <f>COUNTIFS('weather-check_no_nulls'!$F:$F,'Q4 Stratified Answers'!$A27,'weather-check_no_nulls'!$M:$M,'Q4 Stratified Answers'!F$23)</f>
        <v>10</v>
      </c>
      <c r="G27" s="9">
        <f>COUNTIFS('weather-check_no_nulls'!$F:$F,'Q4 Stratified Answers'!$A27,'weather-check_no_nulls'!$M:$M,'Q4 Stratified Answers'!G$23)</f>
        <v>45</v>
      </c>
      <c r="H27" s="9">
        <f>COUNTIFS('weather-check_no_nulls'!$F:$F,'Q4 Stratified Answers'!$A27,'weather-check_no_nulls'!$M:$M,'Q4 Stratified Answers'!H$23)</f>
        <v>25</v>
      </c>
      <c r="I27" s="9">
        <f>COUNTIFS('weather-check_no_nulls'!$F:$F,'Q4 Stratified Answers'!$A27,'weather-check_no_nulls'!$M:$M,'Q4 Stratified Answers'!I$23)</f>
        <v>12</v>
      </c>
      <c r="J27" s="9">
        <f>COUNTIFS('weather-check_no_nulls'!$F:$F,'Q4 Stratified Answers'!$A27,'weather-check_no_nulls'!$M:$M,'Q4 Stratified Answers'!J$23)</f>
        <v>25</v>
      </c>
      <c r="K27" s="13">
        <f t="shared" si="9"/>
        <v>201</v>
      </c>
      <c r="L27" s="8">
        <f>COUNTIFS('weather-check_no_nulls'!$F:$F,'Q4 Stratified Answers'!$A27,'weather-check_no_nulls'!$M:$M,'Q4 Stratified Answers'!L$23)</f>
        <v>7</v>
      </c>
      <c r="M27" s="18">
        <f t="shared" si="10"/>
        <v>208</v>
      </c>
    </row>
    <row r="28" spans="1:13" x14ac:dyDescent="0.2">
      <c r="A28" s="13" t="s">
        <v>210</v>
      </c>
      <c r="B28" s="13">
        <f>SUM(B24:B27)</f>
        <v>141</v>
      </c>
      <c r="C28" s="13">
        <f t="shared" ref="C28:J28" si="11">SUM(C24:C27)</f>
        <v>41</v>
      </c>
      <c r="D28" s="13">
        <f t="shared" si="11"/>
        <v>104</v>
      </c>
      <c r="E28" s="13">
        <f t="shared" si="11"/>
        <v>72</v>
      </c>
      <c r="F28" s="13">
        <f t="shared" si="11"/>
        <v>52</v>
      </c>
      <c r="G28" s="13">
        <f t="shared" si="11"/>
        <v>185</v>
      </c>
      <c r="H28" s="13">
        <f t="shared" si="11"/>
        <v>154</v>
      </c>
      <c r="I28" s="13">
        <f t="shared" si="11"/>
        <v>54</v>
      </c>
      <c r="J28" s="13">
        <f t="shared" si="11"/>
        <v>94</v>
      </c>
      <c r="K28" s="13">
        <f>SUM(B28:J28)</f>
        <v>897</v>
      </c>
      <c r="L28" s="8"/>
      <c r="M28" s="18"/>
    </row>
    <row r="29" spans="1:13" x14ac:dyDescent="0.2">
      <c r="A29" s="8" t="s">
        <v>8</v>
      </c>
      <c r="B29" s="8">
        <f>COUNTIFS('weather-check_no_nulls'!$F:$F,'Q4 Stratified Answers'!$A29,'weather-check_no_nulls'!$M:$M,'Q4 Stratified Answers'!B$23)</f>
        <v>0</v>
      </c>
      <c r="C29" s="8">
        <f>COUNTIFS('weather-check_no_nulls'!$F:$F,'Q4 Stratified Answers'!$A29,'weather-check_no_nulls'!$M:$M,'Q4 Stratified Answers'!C$23)</f>
        <v>0</v>
      </c>
      <c r="D29" s="8">
        <f>COUNTIFS('weather-check_no_nulls'!$F:$F,'Q4 Stratified Answers'!$A29,'weather-check_no_nulls'!$M:$M,'Q4 Stratified Answers'!D$23)</f>
        <v>0</v>
      </c>
      <c r="E29" s="8">
        <f>COUNTIFS('weather-check_no_nulls'!$F:$F,'Q4 Stratified Answers'!$A29,'weather-check_no_nulls'!$M:$M,'Q4 Stratified Answers'!E$23)</f>
        <v>0</v>
      </c>
      <c r="F29" s="8">
        <f>COUNTIFS('weather-check_no_nulls'!$F:$F,'Q4 Stratified Answers'!$A29,'weather-check_no_nulls'!$M:$M,'Q4 Stratified Answers'!F$23)</f>
        <v>0</v>
      </c>
      <c r="G29" s="8">
        <f>COUNTIFS('weather-check_no_nulls'!$F:$F,'Q4 Stratified Answers'!$A29,'weather-check_no_nulls'!$M:$M,'Q4 Stratified Answers'!G$23)</f>
        <v>0</v>
      </c>
      <c r="H29" s="8">
        <f>COUNTIFS('weather-check_no_nulls'!$F:$F,'Q4 Stratified Answers'!$A29,'weather-check_no_nulls'!$M:$M,'Q4 Stratified Answers'!H$23)</f>
        <v>0</v>
      </c>
      <c r="I29" s="8">
        <f>COUNTIFS('weather-check_no_nulls'!$F:$F,'Q4 Stratified Answers'!$A29,'weather-check_no_nulls'!$M:$M,'Q4 Stratified Answers'!I$23)</f>
        <v>0</v>
      </c>
      <c r="J29" s="8">
        <f>COUNTIFS('weather-check_no_nulls'!$F:$F,'Q4 Stratified Answers'!$A29,'weather-check_no_nulls'!$M:$M,'Q4 Stratified Answers'!J$23)</f>
        <v>0</v>
      </c>
      <c r="K29" s="8"/>
      <c r="L29" s="8">
        <f>COUNTIFS('weather-check_no_nulls'!$F:$F,'Q4 Stratified Answers'!$A29,'weather-check_no_nulls'!$M:$M,'Q4 Stratified Answers'!L$23)</f>
        <v>11</v>
      </c>
      <c r="M29" s="18">
        <f>SUM(B29:L29)</f>
        <v>11</v>
      </c>
    </row>
    <row r="30" spans="1:13" x14ac:dyDescent="0.2">
      <c r="A30" s="18" t="s">
        <v>212</v>
      </c>
      <c r="B30" s="18">
        <f>SUM(B28:B29)</f>
        <v>141</v>
      </c>
      <c r="C30" s="18">
        <f t="shared" ref="C30:J30" si="12">SUM(C28:C29)</f>
        <v>41</v>
      </c>
      <c r="D30" s="18">
        <f t="shared" si="12"/>
        <v>104</v>
      </c>
      <c r="E30" s="18">
        <f t="shared" si="12"/>
        <v>72</v>
      </c>
      <c r="F30" s="18">
        <f t="shared" si="12"/>
        <v>52</v>
      </c>
      <c r="G30" s="18">
        <f t="shared" si="12"/>
        <v>185</v>
      </c>
      <c r="H30" s="18">
        <f t="shared" si="12"/>
        <v>154</v>
      </c>
      <c r="I30" s="18">
        <f t="shared" si="12"/>
        <v>54</v>
      </c>
      <c r="J30" s="18">
        <f t="shared" si="12"/>
        <v>94</v>
      </c>
      <c r="K30" s="18"/>
      <c r="L30" s="18">
        <f>SUM(L24:L29)</f>
        <v>31</v>
      </c>
      <c r="M30" s="16">
        <f>SUM(B30:L30)</f>
        <v>928</v>
      </c>
    </row>
    <row r="33" spans="1:13" x14ac:dyDescent="0.2">
      <c r="A33" s="1" t="s">
        <v>215</v>
      </c>
    </row>
    <row r="34" spans="1:13" ht="32" x14ac:dyDescent="0.2">
      <c r="A34" s="10" t="s">
        <v>2</v>
      </c>
      <c r="B34" t="s">
        <v>30</v>
      </c>
      <c r="C34" t="s">
        <v>42</v>
      </c>
      <c r="D34" t="s">
        <v>15</v>
      </c>
      <c r="E34" t="s">
        <v>34</v>
      </c>
      <c r="F34" t="s">
        <v>38</v>
      </c>
      <c r="G34" t="s">
        <v>24</v>
      </c>
      <c r="H34" t="s">
        <v>12</v>
      </c>
      <c r="I34" t="s">
        <v>25</v>
      </c>
      <c r="J34" t="s">
        <v>20</v>
      </c>
      <c r="K34" s="13" t="s">
        <v>214</v>
      </c>
      <c r="L34" s="8" t="s">
        <v>8</v>
      </c>
      <c r="M34" s="18" t="s">
        <v>196</v>
      </c>
    </row>
    <row r="35" spans="1:13" x14ac:dyDescent="0.2">
      <c r="A35" t="s">
        <v>9</v>
      </c>
      <c r="B35" s="28">
        <f>B24/B$28</f>
        <v>0.44680851063829785</v>
      </c>
      <c r="C35" s="28">
        <f>C24/C$28</f>
        <v>0.3902439024390244</v>
      </c>
      <c r="D35" s="28">
        <f>D24/D$28</f>
        <v>0.43269230769230771</v>
      </c>
      <c r="E35" s="28">
        <f>E24/E$28</f>
        <v>0.3888888888888889</v>
      </c>
      <c r="F35" s="28">
        <f>F24/F$28</f>
        <v>0.42307692307692307</v>
      </c>
      <c r="G35" s="28">
        <f>G24/G$28</f>
        <v>0.29729729729729731</v>
      </c>
      <c r="H35" s="28">
        <f>H24/H$28</f>
        <v>0.48051948051948051</v>
      </c>
      <c r="I35" s="28">
        <f>I24/I$28</f>
        <v>0.33333333333333331</v>
      </c>
      <c r="J35" s="28">
        <f>J24/J$28</f>
        <v>0.39361702127659576</v>
      </c>
      <c r="K35" s="20">
        <f>K24/K$28</f>
        <v>0.399108138238573</v>
      </c>
      <c r="L35" s="21">
        <f>L24/SUM(L$24:L$27)</f>
        <v>0.2</v>
      </c>
      <c r="M35" s="23">
        <f>M24/SUM(M$24:M$27)</f>
        <v>0.39476553980370777</v>
      </c>
    </row>
    <row r="36" spans="1:13" x14ac:dyDescent="0.2">
      <c r="A36" t="s">
        <v>16</v>
      </c>
      <c r="B36" s="28">
        <f>B25/B$28</f>
        <v>0.26950354609929078</v>
      </c>
      <c r="C36" s="28">
        <f>C25/C$28</f>
        <v>0.26829268292682928</v>
      </c>
      <c r="D36" s="28">
        <f>D25/D$28</f>
        <v>0.22115384615384615</v>
      </c>
      <c r="E36" s="28">
        <f>E25/E$28</f>
        <v>0.2638888888888889</v>
      </c>
      <c r="F36" s="28">
        <f>F25/F$28</f>
        <v>0.30769230769230771</v>
      </c>
      <c r="G36" s="28">
        <f>G25/G$28</f>
        <v>0.36216216216216218</v>
      </c>
      <c r="H36" s="28">
        <f>H25/H$28</f>
        <v>0.30519480519480519</v>
      </c>
      <c r="I36" s="28">
        <f>I25/I$28</f>
        <v>0.3888888888888889</v>
      </c>
      <c r="J36" s="28">
        <f>J25/J$28</f>
        <v>0.26595744680851063</v>
      </c>
      <c r="K36" s="20">
        <f>K25/K$28</f>
        <v>0.2976588628762542</v>
      </c>
      <c r="L36" s="21">
        <f>L25/SUM(L$24:L$27)</f>
        <v>0.35</v>
      </c>
      <c r="M36" s="23">
        <f>M25/SUM(M$24:M$27)</f>
        <v>0.29880043620501634</v>
      </c>
    </row>
    <row r="37" spans="1:13" x14ac:dyDescent="0.2">
      <c r="A37" t="s">
        <v>28</v>
      </c>
      <c r="B37" s="28">
        <f>B26/B$28</f>
        <v>7.0921985815602842E-2</v>
      </c>
      <c r="C37" s="28">
        <f>C26/C$28</f>
        <v>0.14634146341463414</v>
      </c>
      <c r="D37" s="28">
        <f>D26/D$28</f>
        <v>7.6923076923076927E-2</v>
      </c>
      <c r="E37" s="28">
        <f>E26/E$28</f>
        <v>9.7222222222222224E-2</v>
      </c>
      <c r="F37" s="28">
        <f>F26/F$28</f>
        <v>7.6923076923076927E-2</v>
      </c>
      <c r="G37" s="28">
        <f>G26/G$28</f>
        <v>9.7297297297297303E-2</v>
      </c>
      <c r="H37" s="28">
        <f>H26/H$28</f>
        <v>5.1948051948051951E-2</v>
      </c>
      <c r="I37" s="28">
        <f>I26/I$28</f>
        <v>5.5555555555555552E-2</v>
      </c>
      <c r="J37" s="28">
        <f>J26/J$28</f>
        <v>7.4468085106382975E-2</v>
      </c>
      <c r="K37" s="20">
        <f>K26/K$28</f>
        <v>7.9152731326644368E-2</v>
      </c>
      <c r="L37" s="21">
        <f>L26/SUM(L$24:L$27)</f>
        <v>0.1</v>
      </c>
      <c r="M37" s="23">
        <f>M26/SUM(M$24:M$27)</f>
        <v>7.9607415485278082E-2</v>
      </c>
    </row>
    <row r="38" spans="1:13" x14ac:dyDescent="0.2">
      <c r="A38" t="s">
        <v>22</v>
      </c>
      <c r="B38" s="28">
        <f>B27/B$28</f>
        <v>0.21276595744680851</v>
      </c>
      <c r="C38" s="28">
        <f>C27/C$28</f>
        <v>0.1951219512195122</v>
      </c>
      <c r="D38" s="28">
        <f>D27/D$28</f>
        <v>0.26923076923076922</v>
      </c>
      <c r="E38" s="28">
        <f>E27/E$28</f>
        <v>0.25</v>
      </c>
      <c r="F38" s="28">
        <f>F27/F$28</f>
        <v>0.19230769230769232</v>
      </c>
      <c r="G38" s="28">
        <f>G27/G$28</f>
        <v>0.24324324324324326</v>
      </c>
      <c r="H38" s="28">
        <f>H27/H$28</f>
        <v>0.16233766233766234</v>
      </c>
      <c r="I38" s="28">
        <f>I27/I$28</f>
        <v>0.22222222222222221</v>
      </c>
      <c r="J38" s="28">
        <f>J27/J$28</f>
        <v>0.26595744680851063</v>
      </c>
      <c r="K38" s="20">
        <f>K27/K$28</f>
        <v>0.22408026755852842</v>
      </c>
      <c r="L38" s="21">
        <f>L27/SUM(L$24:L$27)</f>
        <v>0.35</v>
      </c>
      <c r="M38" s="23">
        <f>M27/SUM(M$24:M$27)</f>
        <v>0.22682660850599781</v>
      </c>
    </row>
    <row r="39" spans="1:13" x14ac:dyDescent="0.2">
      <c r="A39" s="13" t="s">
        <v>210</v>
      </c>
      <c r="B39" s="20">
        <f>B28/B$28</f>
        <v>1</v>
      </c>
      <c r="C39" s="20">
        <f>C28/C$28</f>
        <v>1</v>
      </c>
      <c r="D39" s="20">
        <f>D28/D$28</f>
        <v>1</v>
      </c>
      <c r="E39" s="20">
        <f>E28/E$28</f>
        <v>1</v>
      </c>
      <c r="F39" s="20">
        <f>F28/F$28</f>
        <v>1</v>
      </c>
      <c r="G39" s="20">
        <f>G28/G$28</f>
        <v>1</v>
      </c>
      <c r="H39" s="20">
        <f>H28/H$28</f>
        <v>1</v>
      </c>
      <c r="I39" s="20">
        <f>I28/I$28</f>
        <v>1</v>
      </c>
      <c r="J39" s="20">
        <f>J28/J$28</f>
        <v>1</v>
      </c>
      <c r="K39" s="20">
        <f>K28/K$28</f>
        <v>1</v>
      </c>
      <c r="L39" s="8"/>
      <c r="M39" s="18"/>
    </row>
    <row r="40" spans="1:13" x14ac:dyDescent="0.2">
      <c r="A40" s="8" t="s">
        <v>8</v>
      </c>
      <c r="B40" s="21">
        <f>B29/B30</f>
        <v>0</v>
      </c>
      <c r="C40" s="21">
        <f t="shared" ref="C40:J40" si="13">C29/C30</f>
        <v>0</v>
      </c>
      <c r="D40" s="21">
        <f t="shared" si="13"/>
        <v>0</v>
      </c>
      <c r="E40" s="21">
        <f t="shared" si="13"/>
        <v>0</v>
      </c>
      <c r="F40" s="21">
        <f t="shared" si="13"/>
        <v>0</v>
      </c>
      <c r="G40" s="21">
        <f t="shared" si="13"/>
        <v>0</v>
      </c>
      <c r="H40" s="21">
        <f t="shared" si="13"/>
        <v>0</v>
      </c>
      <c r="I40" s="21">
        <f t="shared" si="13"/>
        <v>0</v>
      </c>
      <c r="J40" s="21">
        <f t="shared" si="13"/>
        <v>0</v>
      </c>
      <c r="K40" s="8"/>
      <c r="L40" s="21">
        <f>L29/L$30</f>
        <v>0.35483870967741937</v>
      </c>
      <c r="M40" s="23">
        <f>M29/M$30</f>
        <v>1.1853448275862068E-2</v>
      </c>
    </row>
    <row r="41" spans="1:13" x14ac:dyDescent="0.2">
      <c r="A41" s="18" t="s">
        <v>212</v>
      </c>
      <c r="B41" s="22">
        <f>SUM(B39:B40)</f>
        <v>1</v>
      </c>
      <c r="C41" s="22">
        <f t="shared" ref="C41:J41" si="14">SUM(C39:C40)</f>
        <v>1</v>
      </c>
      <c r="D41" s="22">
        <f t="shared" si="14"/>
        <v>1</v>
      </c>
      <c r="E41" s="22">
        <f t="shared" si="14"/>
        <v>1</v>
      </c>
      <c r="F41" s="22">
        <f t="shared" si="14"/>
        <v>1</v>
      </c>
      <c r="G41" s="22">
        <f t="shared" si="14"/>
        <v>1</v>
      </c>
      <c r="H41" s="22">
        <f t="shared" si="14"/>
        <v>1</v>
      </c>
      <c r="I41" s="22">
        <f t="shared" si="14"/>
        <v>1</v>
      </c>
      <c r="J41" s="22">
        <f t="shared" si="14"/>
        <v>1</v>
      </c>
      <c r="K41" s="18"/>
      <c r="L41" s="22">
        <f>L30/L$30</f>
        <v>1</v>
      </c>
      <c r="M41" s="22">
        <f>M30/M$30</f>
        <v>1</v>
      </c>
    </row>
    <row r="44" spans="1:13" x14ac:dyDescent="0.2">
      <c r="A44" s="1" t="s">
        <v>306</v>
      </c>
    </row>
    <row r="45" spans="1:13" ht="32" x14ac:dyDescent="0.2">
      <c r="A45" s="10" t="s">
        <v>2</v>
      </c>
      <c r="B45" t="s">
        <v>36</v>
      </c>
      <c r="C45" t="s">
        <v>10</v>
      </c>
      <c r="D45" s="14" t="s">
        <v>305</v>
      </c>
      <c r="E45" s="8" t="s">
        <v>8</v>
      </c>
      <c r="F45" s="18" t="s">
        <v>304</v>
      </c>
    </row>
    <row r="46" spans="1:13" x14ac:dyDescent="0.2">
      <c r="A46" t="s">
        <v>9</v>
      </c>
      <c r="B46" s="9">
        <f>COUNTIFS('weather-check_no_nulls'!$J:$J,'Q4 Stratified Answers'!B$45,'weather-check_no_nulls'!$F:$F,'Q4 Stratified Answers'!$A46)</f>
        <v>214</v>
      </c>
      <c r="C46" s="9">
        <f>COUNTIFS('weather-check_no_nulls'!$J:$J,'Q4 Stratified Answers'!C$45,'weather-check_no_nulls'!$F:$F,'Q4 Stratified Answers'!$A46)</f>
        <v>148</v>
      </c>
      <c r="D46" s="13">
        <f>SUM(B46:C46)</f>
        <v>362</v>
      </c>
      <c r="E46" s="8">
        <f>COUNTIFS('weather-check_no_nulls'!$J:$J,'Q4 Stratified Answers'!E$45,'weather-check_no_nulls'!$F:$F,'Q4 Stratified Answers'!$A46)</f>
        <v>0</v>
      </c>
      <c r="F46" s="18">
        <f>SUM(B46:C46,E46)</f>
        <v>362</v>
      </c>
    </row>
    <row r="47" spans="1:13" x14ac:dyDescent="0.2">
      <c r="A47" t="s">
        <v>16</v>
      </c>
      <c r="B47" s="9">
        <f>COUNTIFS('weather-check_no_nulls'!$J:$J,'Q4 Stratified Answers'!B$45,'weather-check_no_nulls'!$F:$F,'Q4 Stratified Answers'!$A47)</f>
        <v>156</v>
      </c>
      <c r="C47" s="9">
        <f>COUNTIFS('weather-check_no_nulls'!$J:$J,'Q4 Stratified Answers'!C$45,'weather-check_no_nulls'!$F:$F,'Q4 Stratified Answers'!$A47)</f>
        <v>117</v>
      </c>
      <c r="D47" s="13">
        <f t="shared" ref="D47:D49" si="15">SUM(B47:C47)</f>
        <v>273</v>
      </c>
      <c r="E47" s="8">
        <f>COUNTIFS('weather-check_no_nulls'!$J:$J,'Q4 Stratified Answers'!E$45,'weather-check_no_nulls'!$F:$F,'Q4 Stratified Answers'!$A47)</f>
        <v>1</v>
      </c>
      <c r="F47" s="18">
        <f t="shared" ref="F47:F52" si="16">SUM(B47:C47,E47)</f>
        <v>274</v>
      </c>
    </row>
    <row r="48" spans="1:13" x14ac:dyDescent="0.2">
      <c r="A48" t="s">
        <v>28</v>
      </c>
      <c r="B48" s="9">
        <f>COUNTIFS('weather-check_no_nulls'!$J:$J,'Q4 Stratified Answers'!B$45,'weather-check_no_nulls'!$F:$F,'Q4 Stratified Answers'!$A48)</f>
        <v>45</v>
      </c>
      <c r="C48" s="9">
        <f>COUNTIFS('weather-check_no_nulls'!$J:$J,'Q4 Stratified Answers'!C$45,'weather-check_no_nulls'!$F:$F,'Q4 Stratified Answers'!$A48)</f>
        <v>28</v>
      </c>
      <c r="D48" s="13">
        <f t="shared" si="15"/>
        <v>73</v>
      </c>
      <c r="E48" s="8">
        <f>COUNTIFS('weather-check_no_nulls'!$J:$J,'Q4 Stratified Answers'!E$45,'weather-check_no_nulls'!$F:$F,'Q4 Stratified Answers'!$A48)</f>
        <v>0</v>
      </c>
      <c r="F48" s="18">
        <f t="shared" si="16"/>
        <v>73</v>
      </c>
    </row>
    <row r="49" spans="1:6" x14ac:dyDescent="0.2">
      <c r="A49" t="s">
        <v>22</v>
      </c>
      <c r="B49" s="9">
        <f>COUNTIFS('weather-check_no_nulls'!$J:$J,'Q4 Stratified Answers'!B$45,'weather-check_no_nulls'!$F:$F,'Q4 Stratified Answers'!$A49)</f>
        <v>112</v>
      </c>
      <c r="C49" s="9">
        <f>COUNTIFS('weather-check_no_nulls'!$J:$J,'Q4 Stratified Answers'!C$45,'weather-check_no_nulls'!$F:$F,'Q4 Stratified Answers'!$A49)</f>
        <v>96</v>
      </c>
      <c r="D49" s="13">
        <f t="shared" si="15"/>
        <v>208</v>
      </c>
      <c r="E49" s="8">
        <f>COUNTIFS('weather-check_no_nulls'!$J:$J,'Q4 Stratified Answers'!E$45,'weather-check_no_nulls'!$F:$F,'Q4 Stratified Answers'!$A49)</f>
        <v>0</v>
      </c>
      <c r="F49" s="18">
        <f t="shared" si="16"/>
        <v>208</v>
      </c>
    </row>
    <row r="50" spans="1:6" x14ac:dyDescent="0.2">
      <c r="A50" s="13" t="s">
        <v>210</v>
      </c>
      <c r="B50" s="13">
        <f>SUM(B46:B49)</f>
        <v>527</v>
      </c>
      <c r="C50" s="13">
        <f t="shared" ref="C50:E50" si="17">SUM(C46:C49)</f>
        <v>389</v>
      </c>
      <c r="D50" s="13">
        <f t="shared" si="17"/>
        <v>916</v>
      </c>
      <c r="E50" s="8">
        <f t="shared" si="17"/>
        <v>1</v>
      </c>
      <c r="F50" s="18">
        <f t="shared" si="16"/>
        <v>917</v>
      </c>
    </row>
    <row r="51" spans="1:6" x14ac:dyDescent="0.2">
      <c r="A51" s="8" t="s">
        <v>8</v>
      </c>
      <c r="B51" s="8">
        <f>COUNTIFS('weather-check_no_nulls'!$J:$J,'Q4 Stratified Answers'!B$45,'weather-check_no_nulls'!$F:$F,'Q4 Stratified Answers'!$A51)</f>
        <v>0</v>
      </c>
      <c r="C51" s="8">
        <f>COUNTIFS('weather-check_no_nulls'!$J:$J,'Q4 Stratified Answers'!C$45,'weather-check_no_nulls'!$F:$F,'Q4 Stratified Answers'!$A51)</f>
        <v>0</v>
      </c>
      <c r="D51" s="8"/>
      <c r="E51" s="8">
        <f>COUNTIFS('weather-check_no_nulls'!$J:$J,'Q4 Stratified Answers'!E$45,'weather-check_no_nulls'!$F:$F,'Q4 Stratified Answers'!$A51)</f>
        <v>11</v>
      </c>
      <c r="F51" s="18">
        <f t="shared" si="16"/>
        <v>11</v>
      </c>
    </row>
    <row r="52" spans="1:6" x14ac:dyDescent="0.2">
      <c r="A52" s="18" t="s">
        <v>212</v>
      </c>
      <c r="B52" s="18">
        <f>SUM(B50:B51)</f>
        <v>527</v>
      </c>
      <c r="C52" s="18">
        <f t="shared" ref="C52:E52" si="18">SUM(C50:C51)</f>
        <v>389</v>
      </c>
      <c r="D52" s="18"/>
      <c r="E52" s="18">
        <f t="shared" si="18"/>
        <v>12</v>
      </c>
      <c r="F52" s="16">
        <f t="shared" si="16"/>
        <v>928</v>
      </c>
    </row>
    <row r="56" spans="1:6" ht="32" x14ac:dyDescent="0.2">
      <c r="A56" s="10" t="s">
        <v>2</v>
      </c>
      <c r="B56" t="s">
        <v>36</v>
      </c>
      <c r="C56" t="s">
        <v>10</v>
      </c>
      <c r="D56" s="14" t="s">
        <v>305</v>
      </c>
      <c r="E56" s="8" t="s">
        <v>8</v>
      </c>
      <c r="F56" s="18" t="s">
        <v>304</v>
      </c>
    </row>
    <row r="57" spans="1:6" x14ac:dyDescent="0.2">
      <c r="A57" t="s">
        <v>9</v>
      </c>
      <c r="B57" s="28">
        <f>B46/B$50</f>
        <v>0.40607210626185958</v>
      </c>
      <c r="C57" s="28">
        <f t="shared" ref="C57:E61" si="19">C46/C$50</f>
        <v>0.38046272493573263</v>
      </c>
      <c r="D57" s="20">
        <f t="shared" si="19"/>
        <v>0.39519650655021832</v>
      </c>
      <c r="E57" s="21">
        <f t="shared" si="19"/>
        <v>0</v>
      </c>
      <c r="F57" s="23">
        <f t="shared" ref="F57" si="20">F46/F$50</f>
        <v>0.39476553980370777</v>
      </c>
    </row>
    <row r="58" spans="1:6" x14ac:dyDescent="0.2">
      <c r="A58" t="s">
        <v>16</v>
      </c>
      <c r="B58" s="28">
        <f t="shared" ref="B58:C58" si="21">B47/B$50</f>
        <v>0.29601518026565465</v>
      </c>
      <c r="C58" s="28">
        <f t="shared" si="19"/>
        <v>0.30077120822622105</v>
      </c>
      <c r="D58" s="20">
        <f t="shared" si="19"/>
        <v>0.29803493449781659</v>
      </c>
      <c r="E58" s="21">
        <f t="shared" si="19"/>
        <v>1</v>
      </c>
      <c r="F58" s="23">
        <f t="shared" ref="F58" si="22">F47/F$50</f>
        <v>0.29880043620501634</v>
      </c>
    </row>
    <row r="59" spans="1:6" x14ac:dyDescent="0.2">
      <c r="A59" t="s">
        <v>28</v>
      </c>
      <c r="B59" s="28">
        <f t="shared" ref="B59:C59" si="23">B48/B$50</f>
        <v>8.5388994307400379E-2</v>
      </c>
      <c r="C59" s="28">
        <f t="shared" si="19"/>
        <v>7.1979434447300775E-2</v>
      </c>
      <c r="D59" s="20">
        <f t="shared" si="19"/>
        <v>7.9694323144104809E-2</v>
      </c>
      <c r="E59" s="21">
        <f t="shared" si="19"/>
        <v>0</v>
      </c>
      <c r="F59" s="23">
        <f t="shared" ref="F59" si="24">F48/F$50</f>
        <v>7.9607415485278082E-2</v>
      </c>
    </row>
    <row r="60" spans="1:6" x14ac:dyDescent="0.2">
      <c r="A60" t="s">
        <v>22</v>
      </c>
      <c r="B60" s="28">
        <f t="shared" ref="B60:C60" si="25">B49/B$50</f>
        <v>0.21252371916508539</v>
      </c>
      <c r="C60" s="28">
        <f t="shared" si="19"/>
        <v>0.2467866323907455</v>
      </c>
      <c r="D60" s="20">
        <f t="shared" si="19"/>
        <v>0.22707423580786026</v>
      </c>
      <c r="E60" s="21">
        <f t="shared" si="19"/>
        <v>0</v>
      </c>
      <c r="F60" s="23">
        <f t="shared" ref="F60" si="26">F49/F$50</f>
        <v>0.22682660850599781</v>
      </c>
    </row>
    <row r="61" spans="1:6" x14ac:dyDescent="0.2">
      <c r="A61" s="13" t="s">
        <v>210</v>
      </c>
      <c r="B61" s="20">
        <f t="shared" ref="B61:C61" si="27">B50/B$50</f>
        <v>1</v>
      </c>
      <c r="C61" s="20">
        <f t="shared" si="19"/>
        <v>1</v>
      </c>
      <c r="D61" s="20">
        <f t="shared" si="19"/>
        <v>1</v>
      </c>
      <c r="E61" s="21">
        <f t="shared" si="19"/>
        <v>1</v>
      </c>
      <c r="F61" s="23">
        <f t="shared" ref="F61" si="28">F50/F$50</f>
        <v>1</v>
      </c>
    </row>
    <row r="62" spans="1:6" x14ac:dyDescent="0.2">
      <c r="A62" s="8" t="s">
        <v>8</v>
      </c>
      <c r="B62" s="21">
        <f>B51/B$52</f>
        <v>0</v>
      </c>
      <c r="C62" s="21">
        <f t="shared" ref="C62:E62" si="29">C51/C$52</f>
        <v>0</v>
      </c>
      <c r="D62" s="21"/>
      <c r="E62" s="21">
        <f t="shared" si="29"/>
        <v>0.91666666666666663</v>
      </c>
      <c r="F62" s="23">
        <f>F51/F$52</f>
        <v>1.1853448275862068E-2</v>
      </c>
    </row>
    <row r="63" spans="1:6" x14ac:dyDescent="0.2">
      <c r="A63" s="18" t="s">
        <v>212</v>
      </c>
      <c r="B63" s="22">
        <f t="shared" ref="B63:F63" si="30">B52/B$52</f>
        <v>1</v>
      </c>
      <c r="C63" s="22">
        <f t="shared" si="30"/>
        <v>1</v>
      </c>
      <c r="D63" s="22"/>
      <c r="E63" s="22">
        <f t="shared" si="30"/>
        <v>1</v>
      </c>
      <c r="F63" s="22">
        <f t="shared" si="30"/>
        <v>1</v>
      </c>
    </row>
    <row r="67" spans="1:15" x14ac:dyDescent="0.2">
      <c r="A67" s="1" t="s">
        <v>307</v>
      </c>
    </row>
    <row r="68" spans="1:15" ht="32" x14ac:dyDescent="0.2">
      <c r="A68" s="10" t="s">
        <v>2</v>
      </c>
      <c r="B68" t="s">
        <v>29</v>
      </c>
      <c r="C68" t="s">
        <v>32</v>
      </c>
      <c r="D68" t="s">
        <v>23</v>
      </c>
      <c r="E68" t="s">
        <v>11</v>
      </c>
      <c r="F68" t="s">
        <v>33</v>
      </c>
      <c r="G68" t="s">
        <v>14</v>
      </c>
      <c r="H68" t="s">
        <v>48</v>
      </c>
      <c r="I68" t="s">
        <v>18</v>
      </c>
      <c r="J68" t="s">
        <v>47</v>
      </c>
      <c r="K68" t="s">
        <v>39</v>
      </c>
      <c r="L68" s="14" t="s">
        <v>308</v>
      </c>
      <c r="M68" s="8" t="s">
        <v>13</v>
      </c>
      <c r="N68" s="8" t="s">
        <v>8</v>
      </c>
      <c r="O68" s="18" t="s">
        <v>200</v>
      </c>
    </row>
    <row r="69" spans="1:15" x14ac:dyDescent="0.2">
      <c r="A69" t="s">
        <v>9</v>
      </c>
      <c r="B69" s="9">
        <f>COUNTIFS('weather-check_no_nulls'!$K:$K,'Q4 Stratified Answers'!B$68,'weather-check_no_nulls'!$F:$F,'Q4 Stratified Answers'!$A69)</f>
        <v>17</v>
      </c>
      <c r="C69" s="9">
        <f>COUNTIFS('weather-check_no_nulls'!$K:$K,'Q4 Stratified Answers'!C$68,'weather-check_no_nulls'!$F:$F,'Q4 Stratified Answers'!$A69)</f>
        <v>28</v>
      </c>
      <c r="D69" s="9">
        <f>COUNTIFS('weather-check_no_nulls'!$K:$K,'Q4 Stratified Answers'!D$68,'weather-check_no_nulls'!$F:$F,'Q4 Stratified Answers'!$A69)</f>
        <v>54</v>
      </c>
      <c r="E69" s="9">
        <f>COUNTIFS('weather-check_no_nulls'!$K:$K,'Q4 Stratified Answers'!E$68,'weather-check_no_nulls'!$F:$F,'Q4 Stratified Answers'!$A69)</f>
        <v>48</v>
      </c>
      <c r="F69" s="9">
        <f>COUNTIFS('weather-check_no_nulls'!$K:$K,'Q4 Stratified Answers'!F$68,'weather-check_no_nulls'!$F:$F,'Q4 Stratified Answers'!$A69)</f>
        <v>41</v>
      </c>
      <c r="G69" s="9">
        <f>COUNTIFS('weather-check_no_nulls'!$K:$K,'Q4 Stratified Answers'!G$68,'weather-check_no_nulls'!$F:$F,'Q4 Stratified Answers'!$A69)</f>
        <v>44</v>
      </c>
      <c r="H69" s="9">
        <f>COUNTIFS('weather-check_no_nulls'!$K:$K,'Q4 Stratified Answers'!H$68,'weather-check_no_nulls'!$F:$F,'Q4 Stratified Answers'!$A69)</f>
        <v>19</v>
      </c>
      <c r="I69" s="9">
        <f>COUNTIFS('weather-check_no_nulls'!$K:$K,'Q4 Stratified Answers'!I$68,'weather-check_no_nulls'!$F:$F,'Q4 Stratified Answers'!$A69)</f>
        <v>14</v>
      </c>
      <c r="J69" s="9">
        <f>COUNTIFS('weather-check_no_nulls'!$K:$K,'Q4 Stratified Answers'!J$68,'weather-check_no_nulls'!$F:$F,'Q4 Stratified Answers'!$A69)</f>
        <v>12</v>
      </c>
      <c r="K69" s="9">
        <f>COUNTIFS('weather-check_no_nulls'!$K:$K,'Q4 Stratified Answers'!K$68,'weather-check_no_nulls'!$F:$F,'Q4 Stratified Answers'!$A69)</f>
        <v>27</v>
      </c>
      <c r="L69" s="13">
        <f>SUM(B69:K69)</f>
        <v>304</v>
      </c>
      <c r="M69" s="8">
        <f>COUNTIFS('weather-check_no_nulls'!$K:$K,'Q4 Stratified Answers'!M$68,'weather-check_no_nulls'!$F:$F,'Q4 Stratified Answers'!$A69)</f>
        <v>57</v>
      </c>
      <c r="N69" s="8">
        <f>COUNTIFS('weather-check_no_nulls'!$K:$K,'Q4 Stratified Answers'!N$68,'weather-check_no_nulls'!$F:$F,'Q4 Stratified Answers'!$A69)</f>
        <v>1</v>
      </c>
      <c r="O69" s="18">
        <f>SUM(B69:K69,M69,N69)</f>
        <v>362</v>
      </c>
    </row>
    <row r="70" spans="1:15" x14ac:dyDescent="0.2">
      <c r="A70" t="s">
        <v>16</v>
      </c>
      <c r="B70" s="9">
        <f>COUNTIFS('weather-check_no_nulls'!$K:$K,'Q4 Stratified Answers'!B$68,'weather-check_no_nulls'!$F:$F,'Q4 Stratified Answers'!$A70)</f>
        <v>11</v>
      </c>
      <c r="C70" s="9">
        <f>COUNTIFS('weather-check_no_nulls'!$K:$K,'Q4 Stratified Answers'!C$68,'weather-check_no_nulls'!$F:$F,'Q4 Stratified Answers'!$A70)</f>
        <v>27</v>
      </c>
      <c r="D70" s="9">
        <f>COUNTIFS('weather-check_no_nulls'!$K:$K,'Q4 Stratified Answers'!D$68,'weather-check_no_nulls'!$F:$F,'Q4 Stratified Answers'!$A70)</f>
        <v>37</v>
      </c>
      <c r="E70" s="9">
        <f>COUNTIFS('weather-check_no_nulls'!$K:$K,'Q4 Stratified Answers'!E$68,'weather-check_no_nulls'!$F:$F,'Q4 Stratified Answers'!$A70)</f>
        <v>33</v>
      </c>
      <c r="F70" s="9">
        <f>COUNTIFS('weather-check_no_nulls'!$K:$K,'Q4 Stratified Answers'!F$68,'weather-check_no_nulls'!$F:$F,'Q4 Stratified Answers'!$A70)</f>
        <v>28</v>
      </c>
      <c r="G70" s="9">
        <f>COUNTIFS('weather-check_no_nulls'!$K:$K,'Q4 Stratified Answers'!G$68,'weather-check_no_nulls'!$F:$F,'Q4 Stratified Answers'!$A70)</f>
        <v>33</v>
      </c>
      <c r="H70" s="9">
        <f>COUNTIFS('weather-check_no_nulls'!$K:$K,'Q4 Stratified Answers'!H$68,'weather-check_no_nulls'!$F:$F,'Q4 Stratified Answers'!$A70)</f>
        <v>16</v>
      </c>
      <c r="I70" s="9">
        <f>COUNTIFS('weather-check_no_nulls'!$K:$K,'Q4 Stratified Answers'!I$68,'weather-check_no_nulls'!$F:$F,'Q4 Stratified Answers'!$A70)</f>
        <v>13</v>
      </c>
      <c r="J70" s="9">
        <f>COUNTIFS('weather-check_no_nulls'!$K:$K,'Q4 Stratified Answers'!J$68,'weather-check_no_nulls'!$F:$F,'Q4 Stratified Answers'!$A70)</f>
        <v>4</v>
      </c>
      <c r="K70" s="9">
        <f>COUNTIFS('weather-check_no_nulls'!$K:$K,'Q4 Stratified Answers'!K$68,'weather-check_no_nulls'!$F:$F,'Q4 Stratified Answers'!$A70)</f>
        <v>15</v>
      </c>
      <c r="L70" s="13">
        <f t="shared" ref="L70:L75" si="31">SUM(B70:K70)</f>
        <v>217</v>
      </c>
      <c r="M70" s="8">
        <f>COUNTIFS('weather-check_no_nulls'!$K:$K,'Q4 Stratified Answers'!M$68,'weather-check_no_nulls'!$F:$F,'Q4 Stratified Answers'!$A70)</f>
        <v>56</v>
      </c>
      <c r="N70" s="8">
        <f>COUNTIFS('weather-check_no_nulls'!$K:$K,'Q4 Stratified Answers'!N$68,'weather-check_no_nulls'!$F:$F,'Q4 Stratified Answers'!$A70)</f>
        <v>1</v>
      </c>
      <c r="O70" s="18">
        <f t="shared" ref="O70:O75" si="32">SUM(B70:K70,M70,N70)</f>
        <v>274</v>
      </c>
    </row>
    <row r="71" spans="1:15" x14ac:dyDescent="0.2">
      <c r="A71" t="s">
        <v>28</v>
      </c>
      <c r="B71" s="9">
        <f>COUNTIFS('weather-check_no_nulls'!$K:$K,'Q4 Stratified Answers'!B$68,'weather-check_no_nulls'!$F:$F,'Q4 Stratified Answers'!$A71)</f>
        <v>4</v>
      </c>
      <c r="C71" s="9">
        <f>COUNTIFS('weather-check_no_nulls'!$K:$K,'Q4 Stratified Answers'!C$68,'weather-check_no_nulls'!$F:$F,'Q4 Stratified Answers'!$A71)</f>
        <v>10</v>
      </c>
      <c r="D71" s="9">
        <f>COUNTIFS('weather-check_no_nulls'!$K:$K,'Q4 Stratified Answers'!D$68,'weather-check_no_nulls'!$F:$F,'Q4 Stratified Answers'!$A71)</f>
        <v>10</v>
      </c>
      <c r="E71" s="9">
        <f>COUNTIFS('weather-check_no_nulls'!$K:$K,'Q4 Stratified Answers'!E$68,'weather-check_no_nulls'!$F:$F,'Q4 Stratified Answers'!$A71)</f>
        <v>10</v>
      </c>
      <c r="F71" s="9">
        <f>COUNTIFS('weather-check_no_nulls'!$K:$K,'Q4 Stratified Answers'!F$68,'weather-check_no_nulls'!$F:$F,'Q4 Stratified Answers'!$A71)</f>
        <v>11</v>
      </c>
      <c r="G71" s="9">
        <f>COUNTIFS('weather-check_no_nulls'!$K:$K,'Q4 Stratified Answers'!G$68,'weather-check_no_nulls'!$F:$F,'Q4 Stratified Answers'!$A71)</f>
        <v>8</v>
      </c>
      <c r="H71" s="9">
        <f>COUNTIFS('weather-check_no_nulls'!$K:$K,'Q4 Stratified Answers'!H$68,'weather-check_no_nulls'!$F:$F,'Q4 Stratified Answers'!$A71)</f>
        <v>5</v>
      </c>
      <c r="I71" s="9">
        <f>COUNTIFS('weather-check_no_nulls'!$K:$K,'Q4 Stratified Answers'!I$68,'weather-check_no_nulls'!$F:$F,'Q4 Stratified Answers'!$A71)</f>
        <v>2</v>
      </c>
      <c r="J71" s="9">
        <f>COUNTIFS('weather-check_no_nulls'!$K:$K,'Q4 Stratified Answers'!J$68,'weather-check_no_nulls'!$F:$F,'Q4 Stratified Answers'!$A71)</f>
        <v>1</v>
      </c>
      <c r="K71" s="9">
        <f>COUNTIFS('weather-check_no_nulls'!$K:$K,'Q4 Stratified Answers'!K$68,'weather-check_no_nulls'!$F:$F,'Q4 Stratified Answers'!$A71)</f>
        <v>3</v>
      </c>
      <c r="L71" s="13">
        <f t="shared" si="31"/>
        <v>64</v>
      </c>
      <c r="M71" s="8">
        <f>COUNTIFS('weather-check_no_nulls'!$K:$K,'Q4 Stratified Answers'!M$68,'weather-check_no_nulls'!$F:$F,'Q4 Stratified Answers'!$A71)</f>
        <v>9</v>
      </c>
      <c r="N71" s="8">
        <f>COUNTIFS('weather-check_no_nulls'!$K:$K,'Q4 Stratified Answers'!N$68,'weather-check_no_nulls'!$F:$F,'Q4 Stratified Answers'!$A71)</f>
        <v>0</v>
      </c>
      <c r="O71" s="18">
        <f t="shared" si="32"/>
        <v>73</v>
      </c>
    </row>
    <row r="72" spans="1:15" x14ac:dyDescent="0.2">
      <c r="A72" t="s">
        <v>22</v>
      </c>
      <c r="B72" s="9">
        <f>COUNTIFS('weather-check_no_nulls'!$K:$K,'Q4 Stratified Answers'!B$68,'weather-check_no_nulls'!$F:$F,'Q4 Stratified Answers'!$A72)</f>
        <v>13</v>
      </c>
      <c r="C72" s="9">
        <f>COUNTIFS('weather-check_no_nulls'!$K:$K,'Q4 Stratified Answers'!C$68,'weather-check_no_nulls'!$F:$F,'Q4 Stratified Answers'!$A72)</f>
        <v>16</v>
      </c>
      <c r="D72" s="9">
        <f>COUNTIFS('weather-check_no_nulls'!$K:$K,'Q4 Stratified Answers'!D$68,'weather-check_no_nulls'!$F:$F,'Q4 Stratified Answers'!$A72)</f>
        <v>31</v>
      </c>
      <c r="E72" s="9">
        <f>COUNTIFS('weather-check_no_nulls'!$K:$K,'Q4 Stratified Answers'!E$68,'weather-check_no_nulls'!$F:$F,'Q4 Stratified Answers'!$A72)</f>
        <v>20</v>
      </c>
      <c r="F72" s="9">
        <f>COUNTIFS('weather-check_no_nulls'!$K:$K,'Q4 Stratified Answers'!F$68,'weather-check_no_nulls'!$F:$F,'Q4 Stratified Answers'!$A72)</f>
        <v>24</v>
      </c>
      <c r="G72" s="9">
        <f>COUNTIFS('weather-check_no_nulls'!$K:$K,'Q4 Stratified Answers'!G$68,'weather-check_no_nulls'!$F:$F,'Q4 Stratified Answers'!$A72)</f>
        <v>19</v>
      </c>
      <c r="H72" s="9">
        <f>COUNTIFS('weather-check_no_nulls'!$K:$K,'Q4 Stratified Answers'!H$68,'weather-check_no_nulls'!$F:$F,'Q4 Stratified Answers'!$A72)</f>
        <v>9</v>
      </c>
      <c r="I72" s="9">
        <f>COUNTIFS('weather-check_no_nulls'!$K:$K,'Q4 Stratified Answers'!I$68,'weather-check_no_nulls'!$F:$F,'Q4 Stratified Answers'!$A72)</f>
        <v>10</v>
      </c>
      <c r="J72" s="9">
        <f>COUNTIFS('weather-check_no_nulls'!$K:$K,'Q4 Stratified Answers'!J$68,'weather-check_no_nulls'!$F:$F,'Q4 Stratified Answers'!$A72)</f>
        <v>6</v>
      </c>
      <c r="K72" s="9">
        <f>COUNTIFS('weather-check_no_nulls'!$K:$K,'Q4 Stratified Answers'!K$68,'weather-check_no_nulls'!$F:$F,'Q4 Stratified Answers'!$A72)</f>
        <v>13</v>
      </c>
      <c r="L72" s="13">
        <f t="shared" si="31"/>
        <v>161</v>
      </c>
      <c r="M72" s="8">
        <f>COUNTIFS('weather-check_no_nulls'!$K:$K,'Q4 Stratified Answers'!M$68,'weather-check_no_nulls'!$F:$F,'Q4 Stratified Answers'!$A72)</f>
        <v>47</v>
      </c>
      <c r="N72" s="8">
        <f>COUNTIFS('weather-check_no_nulls'!$K:$K,'Q4 Stratified Answers'!N$68,'weather-check_no_nulls'!$F:$F,'Q4 Stratified Answers'!$A72)</f>
        <v>0</v>
      </c>
      <c r="O72" s="18">
        <f t="shared" si="32"/>
        <v>208</v>
      </c>
    </row>
    <row r="73" spans="1:15" x14ac:dyDescent="0.2">
      <c r="A73" s="13" t="s">
        <v>210</v>
      </c>
      <c r="B73" s="13">
        <f>SUM(B69:B72)</f>
        <v>45</v>
      </c>
      <c r="C73" s="13">
        <f t="shared" ref="C73:K73" si="33">SUM(C69:C72)</f>
        <v>81</v>
      </c>
      <c r="D73" s="13">
        <f t="shared" si="33"/>
        <v>132</v>
      </c>
      <c r="E73" s="13">
        <f t="shared" si="33"/>
        <v>111</v>
      </c>
      <c r="F73" s="13">
        <f t="shared" si="33"/>
        <v>104</v>
      </c>
      <c r="G73" s="13">
        <f t="shared" si="33"/>
        <v>104</v>
      </c>
      <c r="H73" s="13">
        <f t="shared" si="33"/>
        <v>49</v>
      </c>
      <c r="I73" s="13">
        <f t="shared" si="33"/>
        <v>39</v>
      </c>
      <c r="J73" s="13">
        <f t="shared" si="33"/>
        <v>23</v>
      </c>
      <c r="K73" s="13">
        <f t="shared" si="33"/>
        <v>58</v>
      </c>
      <c r="L73" s="63">
        <f>SUM(L69:L72)</f>
        <v>746</v>
      </c>
      <c r="M73" s="8">
        <f>SUM(M69:M72)</f>
        <v>169</v>
      </c>
      <c r="N73" s="8">
        <f>SUM(N69:N72)</f>
        <v>2</v>
      </c>
      <c r="O73" s="17">
        <f t="shared" si="32"/>
        <v>917</v>
      </c>
    </row>
    <row r="74" spans="1:15" x14ac:dyDescent="0.2">
      <c r="A74" s="8" t="s">
        <v>8</v>
      </c>
      <c r="B74" s="8">
        <f>COUNTIFS('weather-check_no_nulls'!$K:$K,'Q4 Stratified Answers'!B$68,'weather-check_no_nulls'!$F:$F,'Q4 Stratified Answers'!$A74)</f>
        <v>0</v>
      </c>
      <c r="C74" s="8">
        <f>COUNTIFS('weather-check_no_nulls'!$K:$K,'Q4 Stratified Answers'!C$68,'weather-check_no_nulls'!$F:$F,'Q4 Stratified Answers'!$A74)</f>
        <v>0</v>
      </c>
      <c r="D74" s="8">
        <f>COUNTIFS('weather-check_no_nulls'!$K:$K,'Q4 Stratified Answers'!D$68,'weather-check_no_nulls'!$F:$F,'Q4 Stratified Answers'!$A74)</f>
        <v>0</v>
      </c>
      <c r="E74" s="8">
        <f>COUNTIFS('weather-check_no_nulls'!$K:$K,'Q4 Stratified Answers'!E$68,'weather-check_no_nulls'!$F:$F,'Q4 Stratified Answers'!$A74)</f>
        <v>0</v>
      </c>
      <c r="F74" s="8">
        <f>COUNTIFS('weather-check_no_nulls'!$K:$K,'Q4 Stratified Answers'!F$68,'weather-check_no_nulls'!$F:$F,'Q4 Stratified Answers'!$A74)</f>
        <v>0</v>
      </c>
      <c r="G74" s="8">
        <f>COUNTIFS('weather-check_no_nulls'!$K:$K,'Q4 Stratified Answers'!G$68,'weather-check_no_nulls'!$F:$F,'Q4 Stratified Answers'!$A74)</f>
        <v>0</v>
      </c>
      <c r="H74" s="8">
        <f>COUNTIFS('weather-check_no_nulls'!$K:$K,'Q4 Stratified Answers'!H$68,'weather-check_no_nulls'!$F:$F,'Q4 Stratified Answers'!$A74)</f>
        <v>0</v>
      </c>
      <c r="I74" s="8">
        <f>COUNTIFS('weather-check_no_nulls'!$K:$K,'Q4 Stratified Answers'!I$68,'weather-check_no_nulls'!$F:$F,'Q4 Stratified Answers'!$A74)</f>
        <v>0</v>
      </c>
      <c r="J74" s="8">
        <f>COUNTIFS('weather-check_no_nulls'!$K:$K,'Q4 Stratified Answers'!J$68,'weather-check_no_nulls'!$F:$F,'Q4 Stratified Answers'!$A74)</f>
        <v>0</v>
      </c>
      <c r="K74" s="8">
        <f>COUNTIFS('weather-check_no_nulls'!$K:$K,'Q4 Stratified Answers'!K$68,'weather-check_no_nulls'!$F:$F,'Q4 Stratified Answers'!$A74)</f>
        <v>0</v>
      </c>
      <c r="L74" s="8"/>
      <c r="M74" s="8">
        <f>COUNTIFS('weather-check_no_nulls'!$K:$K,'Q4 Stratified Answers'!M$68,'weather-check_no_nulls'!$F:$F,'Q4 Stratified Answers'!$A74)</f>
        <v>0</v>
      </c>
      <c r="N74" s="8">
        <f>COUNTIFS('weather-check_no_nulls'!$K:$K,'Q4 Stratified Answers'!N$68,'weather-check_no_nulls'!$F:$F,'Q4 Stratified Answers'!$A74)</f>
        <v>11</v>
      </c>
      <c r="O74" s="18">
        <f t="shared" si="32"/>
        <v>11</v>
      </c>
    </row>
    <row r="75" spans="1:15" x14ac:dyDescent="0.2">
      <c r="A75" s="18" t="s">
        <v>212</v>
      </c>
      <c r="B75" s="18">
        <f>SUM(B73:B74)</f>
        <v>45</v>
      </c>
      <c r="C75" s="18">
        <f t="shared" ref="C75:K75" si="34">SUM(C73:C74)</f>
        <v>81</v>
      </c>
      <c r="D75" s="18">
        <f t="shared" si="34"/>
        <v>132</v>
      </c>
      <c r="E75" s="18">
        <f t="shared" si="34"/>
        <v>111</v>
      </c>
      <c r="F75" s="18">
        <f t="shared" si="34"/>
        <v>104</v>
      </c>
      <c r="G75" s="18">
        <f t="shared" si="34"/>
        <v>104</v>
      </c>
      <c r="H75" s="18">
        <f t="shared" si="34"/>
        <v>49</v>
      </c>
      <c r="I75" s="18">
        <f t="shared" si="34"/>
        <v>39</v>
      </c>
      <c r="J75" s="18">
        <f t="shared" si="34"/>
        <v>23</v>
      </c>
      <c r="K75" s="18">
        <f t="shared" si="34"/>
        <v>58</v>
      </c>
      <c r="L75" s="18"/>
      <c r="M75" s="18">
        <f>SUM(M73:M74)</f>
        <v>169</v>
      </c>
      <c r="N75" s="18">
        <f>SUM(N73:N74)</f>
        <v>13</v>
      </c>
      <c r="O75" s="16">
        <f t="shared" si="32"/>
        <v>928</v>
      </c>
    </row>
    <row r="79" spans="1:15" x14ac:dyDescent="0.2">
      <c r="A79" s="1" t="s">
        <v>307</v>
      </c>
    </row>
    <row r="80" spans="1:15" ht="32" x14ac:dyDescent="0.2">
      <c r="A80" s="10" t="s">
        <v>2</v>
      </c>
      <c r="B80" t="s">
        <v>29</v>
      </c>
      <c r="C80" t="s">
        <v>32</v>
      </c>
      <c r="D80" t="s">
        <v>23</v>
      </c>
      <c r="E80" t="s">
        <v>11</v>
      </c>
      <c r="F80" t="s">
        <v>33</v>
      </c>
      <c r="G80" t="s">
        <v>14</v>
      </c>
      <c r="H80" t="s">
        <v>48</v>
      </c>
      <c r="I80" t="s">
        <v>18</v>
      </c>
      <c r="J80" t="s">
        <v>47</v>
      </c>
      <c r="K80" t="s">
        <v>39</v>
      </c>
      <c r="L80" s="14" t="s">
        <v>308</v>
      </c>
      <c r="M80" s="8" t="s">
        <v>13</v>
      </c>
      <c r="N80" s="8" t="s">
        <v>8</v>
      </c>
      <c r="O80" s="18" t="s">
        <v>200</v>
      </c>
    </row>
    <row r="81" spans="1:15" x14ac:dyDescent="0.2">
      <c r="A81" t="s">
        <v>9</v>
      </c>
      <c r="B81" s="28">
        <f>B69/B$73</f>
        <v>0.37777777777777777</v>
      </c>
      <c r="C81" s="28">
        <f t="shared" ref="C81:K81" si="35">C69/C$73</f>
        <v>0.34567901234567899</v>
      </c>
      <c r="D81" s="28">
        <f t="shared" si="35"/>
        <v>0.40909090909090912</v>
      </c>
      <c r="E81" s="28">
        <f t="shared" si="35"/>
        <v>0.43243243243243246</v>
      </c>
      <c r="F81" s="28">
        <f t="shared" si="35"/>
        <v>0.39423076923076922</v>
      </c>
      <c r="G81" s="28">
        <f t="shared" si="35"/>
        <v>0.42307692307692307</v>
      </c>
      <c r="H81" s="28">
        <f t="shared" si="35"/>
        <v>0.38775510204081631</v>
      </c>
      <c r="I81" s="28">
        <f t="shared" si="35"/>
        <v>0.35897435897435898</v>
      </c>
      <c r="J81" s="28">
        <f t="shared" si="35"/>
        <v>0.52173913043478259</v>
      </c>
      <c r="K81" s="28">
        <f t="shared" si="35"/>
        <v>0.46551724137931033</v>
      </c>
      <c r="L81" s="20">
        <f t="shared" ref="L81:O81" si="36">L69/L$73</f>
        <v>0.40750670241286863</v>
      </c>
      <c r="M81" s="21">
        <f t="shared" si="36"/>
        <v>0.33727810650887574</v>
      </c>
      <c r="N81" s="21">
        <f t="shared" si="36"/>
        <v>0.5</v>
      </c>
      <c r="O81" s="23">
        <f t="shared" si="36"/>
        <v>0.39476553980370777</v>
      </c>
    </row>
    <row r="82" spans="1:15" x14ac:dyDescent="0.2">
      <c r="A82" t="s">
        <v>16</v>
      </c>
      <c r="B82" s="28">
        <f t="shared" ref="B82:K85" si="37">B70/B$73</f>
        <v>0.24444444444444444</v>
      </c>
      <c r="C82" s="28">
        <f t="shared" si="37"/>
        <v>0.33333333333333331</v>
      </c>
      <c r="D82" s="28">
        <f t="shared" si="37"/>
        <v>0.28030303030303028</v>
      </c>
      <c r="E82" s="28">
        <f t="shared" si="37"/>
        <v>0.29729729729729731</v>
      </c>
      <c r="F82" s="28">
        <f t="shared" si="37"/>
        <v>0.26923076923076922</v>
      </c>
      <c r="G82" s="28">
        <f t="shared" si="37"/>
        <v>0.31730769230769229</v>
      </c>
      <c r="H82" s="28">
        <f t="shared" si="37"/>
        <v>0.32653061224489793</v>
      </c>
      <c r="I82" s="28">
        <f t="shared" si="37"/>
        <v>0.33333333333333331</v>
      </c>
      <c r="J82" s="28">
        <f t="shared" si="37"/>
        <v>0.17391304347826086</v>
      </c>
      <c r="K82" s="28">
        <f t="shared" si="37"/>
        <v>0.25862068965517243</v>
      </c>
      <c r="L82" s="20">
        <f t="shared" ref="L82:O82" si="38">L70/L$73</f>
        <v>0.29088471849865954</v>
      </c>
      <c r="M82" s="21">
        <f t="shared" si="38"/>
        <v>0.33136094674556216</v>
      </c>
      <c r="N82" s="21">
        <f t="shared" si="38"/>
        <v>0.5</v>
      </c>
      <c r="O82" s="23">
        <f t="shared" si="38"/>
        <v>0.29880043620501634</v>
      </c>
    </row>
    <row r="83" spans="1:15" x14ac:dyDescent="0.2">
      <c r="A83" t="s">
        <v>28</v>
      </c>
      <c r="B83" s="28">
        <f t="shared" si="37"/>
        <v>8.8888888888888892E-2</v>
      </c>
      <c r="C83" s="28">
        <f t="shared" si="37"/>
        <v>0.12345679012345678</v>
      </c>
      <c r="D83" s="28">
        <f t="shared" si="37"/>
        <v>7.575757575757576E-2</v>
      </c>
      <c r="E83" s="28">
        <f t="shared" si="37"/>
        <v>9.0090090090090086E-2</v>
      </c>
      <c r="F83" s="28">
        <f t="shared" si="37"/>
        <v>0.10576923076923077</v>
      </c>
      <c r="G83" s="28">
        <f t="shared" si="37"/>
        <v>7.6923076923076927E-2</v>
      </c>
      <c r="H83" s="28">
        <f t="shared" si="37"/>
        <v>0.10204081632653061</v>
      </c>
      <c r="I83" s="28">
        <f t="shared" si="37"/>
        <v>5.128205128205128E-2</v>
      </c>
      <c r="J83" s="28">
        <f t="shared" si="37"/>
        <v>4.3478260869565216E-2</v>
      </c>
      <c r="K83" s="28">
        <f t="shared" si="37"/>
        <v>5.1724137931034482E-2</v>
      </c>
      <c r="L83" s="20">
        <f t="shared" ref="L83:O83" si="39">L71/L$73</f>
        <v>8.5790884718498661E-2</v>
      </c>
      <c r="M83" s="21">
        <f t="shared" si="39"/>
        <v>5.3254437869822487E-2</v>
      </c>
      <c r="N83" s="21">
        <f t="shared" si="39"/>
        <v>0</v>
      </c>
      <c r="O83" s="23">
        <f t="shared" si="39"/>
        <v>7.9607415485278082E-2</v>
      </c>
    </row>
    <row r="84" spans="1:15" x14ac:dyDescent="0.2">
      <c r="A84" t="s">
        <v>22</v>
      </c>
      <c r="B84" s="28">
        <f t="shared" si="37"/>
        <v>0.28888888888888886</v>
      </c>
      <c r="C84" s="28">
        <f t="shared" si="37"/>
        <v>0.19753086419753085</v>
      </c>
      <c r="D84" s="28">
        <f t="shared" si="37"/>
        <v>0.23484848484848486</v>
      </c>
      <c r="E84" s="28">
        <f t="shared" si="37"/>
        <v>0.18018018018018017</v>
      </c>
      <c r="F84" s="28">
        <f t="shared" si="37"/>
        <v>0.23076923076923078</v>
      </c>
      <c r="G84" s="28">
        <f t="shared" si="37"/>
        <v>0.18269230769230768</v>
      </c>
      <c r="H84" s="28">
        <f t="shared" si="37"/>
        <v>0.18367346938775511</v>
      </c>
      <c r="I84" s="28">
        <f t="shared" si="37"/>
        <v>0.25641025641025639</v>
      </c>
      <c r="J84" s="28">
        <f t="shared" si="37"/>
        <v>0.2608695652173913</v>
      </c>
      <c r="K84" s="28">
        <f t="shared" si="37"/>
        <v>0.22413793103448276</v>
      </c>
      <c r="L84" s="20">
        <f t="shared" ref="L84:O84" si="40">L72/L$73</f>
        <v>0.2158176943699732</v>
      </c>
      <c r="M84" s="21">
        <f t="shared" si="40"/>
        <v>0.27810650887573962</v>
      </c>
      <c r="N84" s="21">
        <f t="shared" si="40"/>
        <v>0</v>
      </c>
      <c r="O84" s="23">
        <f t="shared" si="40"/>
        <v>0.22682660850599781</v>
      </c>
    </row>
    <row r="85" spans="1:15" x14ac:dyDescent="0.2">
      <c r="A85" s="13" t="s">
        <v>210</v>
      </c>
      <c r="B85" s="20">
        <f t="shared" si="37"/>
        <v>1</v>
      </c>
      <c r="C85" s="20">
        <f t="shared" si="37"/>
        <v>1</v>
      </c>
      <c r="D85" s="20">
        <f t="shared" si="37"/>
        <v>1</v>
      </c>
      <c r="E85" s="20">
        <f t="shared" si="37"/>
        <v>1</v>
      </c>
      <c r="F85" s="20">
        <f t="shared" si="37"/>
        <v>1</v>
      </c>
      <c r="G85" s="20">
        <f t="shared" si="37"/>
        <v>1</v>
      </c>
      <c r="H85" s="20">
        <f t="shared" si="37"/>
        <v>1</v>
      </c>
      <c r="I85" s="20">
        <f t="shared" si="37"/>
        <v>1</v>
      </c>
      <c r="J85" s="20">
        <f t="shared" si="37"/>
        <v>1</v>
      </c>
      <c r="K85" s="20">
        <f t="shared" si="37"/>
        <v>1</v>
      </c>
      <c r="L85" s="20">
        <f t="shared" ref="L85:O85" si="41">L73/L$73</f>
        <v>1</v>
      </c>
      <c r="M85" s="21"/>
      <c r="N85" s="21"/>
      <c r="O85" s="24">
        <f t="shared" si="41"/>
        <v>1</v>
      </c>
    </row>
    <row r="86" spans="1:15" x14ac:dyDescent="0.2">
      <c r="A86" s="8" t="s">
        <v>8</v>
      </c>
      <c r="B86" s="21">
        <f>B74/B$75</f>
        <v>0</v>
      </c>
      <c r="C86" s="21">
        <f t="shared" ref="C86:K86" si="42">C74/C$75</f>
        <v>0</v>
      </c>
      <c r="D86" s="21">
        <f t="shared" si="42"/>
        <v>0</v>
      </c>
      <c r="E86" s="21">
        <f t="shared" si="42"/>
        <v>0</v>
      </c>
      <c r="F86" s="21">
        <f t="shared" si="42"/>
        <v>0</v>
      </c>
      <c r="G86" s="21">
        <f t="shared" si="42"/>
        <v>0</v>
      </c>
      <c r="H86" s="21">
        <f t="shared" si="42"/>
        <v>0</v>
      </c>
      <c r="I86" s="21">
        <f t="shared" si="42"/>
        <v>0</v>
      </c>
      <c r="J86" s="21">
        <f t="shared" si="42"/>
        <v>0</v>
      </c>
      <c r="K86" s="21">
        <f t="shared" si="42"/>
        <v>0</v>
      </c>
      <c r="L86" s="8"/>
      <c r="M86" s="21">
        <f>M74/(M$75)</f>
        <v>0</v>
      </c>
      <c r="N86" s="21">
        <f t="shared" ref="N86:O86" si="43">N74/(N$75)</f>
        <v>0.84615384615384615</v>
      </c>
      <c r="O86" s="23">
        <f>O74/(O$75)</f>
        <v>1.1853448275862068E-2</v>
      </c>
    </row>
    <row r="87" spans="1:15" x14ac:dyDescent="0.2">
      <c r="A87" s="18" t="s">
        <v>212</v>
      </c>
      <c r="B87" s="23">
        <f>B75/B$75</f>
        <v>1</v>
      </c>
      <c r="C87" s="23">
        <f t="shared" ref="C87:K87" si="44">C75/C$75</f>
        <v>1</v>
      </c>
      <c r="D87" s="23">
        <f t="shared" si="44"/>
        <v>1</v>
      </c>
      <c r="E87" s="23">
        <f t="shared" si="44"/>
        <v>1</v>
      </c>
      <c r="F87" s="23">
        <f t="shared" si="44"/>
        <v>1</v>
      </c>
      <c r="G87" s="23">
        <f t="shared" si="44"/>
        <v>1</v>
      </c>
      <c r="H87" s="23">
        <f t="shared" si="44"/>
        <v>1</v>
      </c>
      <c r="I87" s="23">
        <f t="shared" si="44"/>
        <v>1</v>
      </c>
      <c r="J87" s="23">
        <f t="shared" si="44"/>
        <v>1</v>
      </c>
      <c r="K87" s="23">
        <f t="shared" si="44"/>
        <v>1</v>
      </c>
      <c r="L87" s="18"/>
      <c r="M87" s="23">
        <f t="shared" ref="M87:O87" si="45">M75/(M$75)</f>
        <v>1</v>
      </c>
      <c r="N87" s="23">
        <f t="shared" si="45"/>
        <v>1</v>
      </c>
      <c r="O87" s="22">
        <f t="shared" si="45"/>
        <v>1</v>
      </c>
    </row>
  </sheetData>
  <conditionalFormatting sqref="B13:E16"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{296F1768-EEB6-FC47-A920-E9F75D8F8678}</x14:id>
        </ext>
      </extLst>
    </cfRule>
  </conditionalFormatting>
  <conditionalFormatting sqref="B35:J38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{68996B47-A083-5944-AFAC-73EF15CE078F}</x14:id>
        </ext>
      </extLst>
    </cfRule>
  </conditionalFormatting>
  <conditionalFormatting sqref="K35:K38">
    <cfRule type="dataBar" priority="9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{99AC3211-78C9-A04D-BE3C-4BA9E99A3447}</x14:id>
        </ext>
      </extLst>
    </cfRule>
  </conditionalFormatting>
  <conditionalFormatting sqref="M35:M37">
    <cfRule type="dataBar" priority="8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{39C57C49-DCBF-B144-B2DA-99288D38445E}</x14:id>
        </ext>
      </extLst>
    </cfRule>
  </conditionalFormatting>
  <conditionalFormatting sqref="M38">
    <cfRule type="dataBar" priority="7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{B689ED78-A458-B34E-8732-50A36B9C67C3}</x14:id>
        </ext>
      </extLst>
    </cfRule>
  </conditionalFormatting>
  <conditionalFormatting sqref="F13:F16">
    <cfRule type="dataBar" priority="6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{12E3372F-7AF2-F94E-BA26-417F5C21DDAA}</x14:id>
        </ext>
      </extLst>
    </cfRule>
  </conditionalFormatting>
  <conditionalFormatting sqref="H13:H16">
    <cfRule type="dataBar" priority="5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{58C9F88B-5184-9445-9643-C6EB84A0B94F}</x14:id>
        </ext>
      </extLst>
    </cfRule>
  </conditionalFormatting>
  <conditionalFormatting sqref="B57:C60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{BFF77D14-00C0-BC44-9B6E-C66D521E3C12}</x14:id>
        </ext>
      </extLst>
    </cfRule>
  </conditionalFormatting>
  <conditionalFormatting sqref="D57:D60 F57:F60">
    <cfRule type="dataBar" priority="3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{D5650FAB-6F00-9B47-BE26-D08DF0D379FD}</x14:id>
        </ext>
      </extLst>
    </cfRule>
  </conditionalFormatting>
  <conditionalFormatting sqref="B81:K84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{94D01AE8-C245-1B4F-81F3-4BC1B3958FEA}</x14:id>
        </ext>
      </extLst>
    </cfRule>
  </conditionalFormatting>
  <conditionalFormatting sqref="L81:L84 O81:O84">
    <cfRule type="dataBar" priority="1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{E686612B-6C1E-674C-B192-92ADC1119F2C}</x14:id>
        </ext>
      </extLst>
    </cfRule>
  </conditionalFormatting>
  <pageMargins left="0.7" right="0.7" top="0.75" bottom="0.75" header="0.3" footer="0.3"/>
  <pageSetup orientation="portrait" horizontalDpi="0" verticalDpi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96F1768-EEB6-FC47-A920-E9F75D8F86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B13:E16</xm:sqref>
        </x14:conditionalFormatting>
        <x14:conditionalFormatting xmlns:xm="http://schemas.microsoft.com/office/excel/2006/main">
          <x14:cfRule type="dataBar" id="{68996B47-A083-5944-AFAC-73EF15CE07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B35:J38</xm:sqref>
        </x14:conditionalFormatting>
        <x14:conditionalFormatting xmlns:xm="http://schemas.microsoft.com/office/excel/2006/main">
          <x14:cfRule type="dataBar" id="{99AC3211-78C9-A04D-BE3C-4BA9E99A34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K35:K38</xm:sqref>
        </x14:conditionalFormatting>
        <x14:conditionalFormatting xmlns:xm="http://schemas.microsoft.com/office/excel/2006/main">
          <x14:cfRule type="dataBar" id="{39C57C49-DCBF-B144-B2DA-99288D3844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M35:M37</xm:sqref>
        </x14:conditionalFormatting>
        <x14:conditionalFormatting xmlns:xm="http://schemas.microsoft.com/office/excel/2006/main">
          <x14:cfRule type="dataBar" id="{B689ED78-A458-B34E-8732-50A36B9C67C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M38</xm:sqref>
        </x14:conditionalFormatting>
        <x14:conditionalFormatting xmlns:xm="http://schemas.microsoft.com/office/excel/2006/main">
          <x14:cfRule type="dataBar" id="{12E3372F-7AF2-F94E-BA26-417F5C21DDA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F13:F16</xm:sqref>
        </x14:conditionalFormatting>
        <x14:conditionalFormatting xmlns:xm="http://schemas.microsoft.com/office/excel/2006/main">
          <x14:cfRule type="dataBar" id="{58C9F88B-5184-9445-9643-C6EB84A0B94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H13:H16</xm:sqref>
        </x14:conditionalFormatting>
        <x14:conditionalFormatting xmlns:xm="http://schemas.microsoft.com/office/excel/2006/main">
          <x14:cfRule type="dataBar" id="{BFF77D14-00C0-BC44-9B6E-C66D521E3C1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B57:C60</xm:sqref>
        </x14:conditionalFormatting>
        <x14:conditionalFormatting xmlns:xm="http://schemas.microsoft.com/office/excel/2006/main">
          <x14:cfRule type="dataBar" id="{D5650FAB-6F00-9B47-BE26-D08DF0D379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D57:D60 F57:F60</xm:sqref>
        </x14:conditionalFormatting>
        <x14:conditionalFormatting xmlns:xm="http://schemas.microsoft.com/office/excel/2006/main">
          <x14:cfRule type="dataBar" id="{94D01AE8-C245-1B4F-81F3-4BC1B3958FE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B81:K84</xm:sqref>
        </x14:conditionalFormatting>
        <x14:conditionalFormatting xmlns:xm="http://schemas.microsoft.com/office/excel/2006/main">
          <x14:cfRule type="dataBar" id="{E686612B-6C1E-674C-B192-92ADC1119F2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L81:L84 O81:O84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weather-check_no_nulls</vt:lpstr>
      <vt:lpstr>Histograms-Data Sampling</vt:lpstr>
      <vt:lpstr>Brainstorming exercise-mapping</vt:lpstr>
      <vt:lpstr>mappings</vt:lpstr>
      <vt:lpstr>Q1 Check weather daily and Q2</vt:lpstr>
      <vt:lpstr>Q3-various ways to group</vt:lpstr>
      <vt:lpstr>Q4 Stratified Answers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2017-12-16T03:32:06Z</dcterms:created>
  <dcterms:modified xsi:type="dcterms:W3CDTF">2017-12-19T00:10:50Z</dcterms:modified>
</cp:coreProperties>
</file>